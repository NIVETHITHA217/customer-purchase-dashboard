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C:\Users\Santhiya\OneDrive\Desktop\"/>
    </mc:Choice>
  </mc:AlternateContent>
  <xr:revisionPtr revIDLastSave="0" documentId="8_{9F31D878-608D-46A8-AC30-97BEA3FD83E0}" xr6:coauthVersionLast="47" xr6:coauthVersionMax="47" xr10:uidLastSave="{00000000-0000-0000-0000-000000000000}"/>
  <bookViews>
    <workbookView xWindow="-108" yWindow="-108" windowWidth="23256" windowHeight="12456" xr2:uid="{40D6287E-F4E0-453E-AF1D-1A16FCA6F888}"/>
  </bookViews>
  <sheets>
    <sheet name="Dashboard" sheetId="11" r:id="rId1"/>
    <sheet name="customer_purchase_behavior_data" sheetId="1" r:id="rId2"/>
    <sheet name="Sheet2" sheetId="3" r:id="rId3"/>
    <sheet name="Sheet3" sheetId="4" r:id="rId4"/>
    <sheet name="Sheet7" sheetId="8" r:id="rId5"/>
    <sheet name="Sheet6" sheetId="7" r:id="rId6"/>
    <sheet name="Sheet8" sheetId="9" r:id="rId7"/>
  </sheets>
  <definedNames>
    <definedName name="_xlcn.WorksheetConnection_customer_purchase_behavior_dataset1.csvTable11" hidden="1">Table1[]</definedName>
    <definedName name="Slicer_Customer_ID">#N/A</definedName>
    <definedName name="Slicer_Gender">#N/A</definedName>
    <definedName name="Slicer_Product_Category">#N/A</definedName>
  </definedNames>
  <calcPr calcId="191029"/>
  <pivotCaches>
    <pivotCache cacheId="0" r:id="rId8"/>
    <pivotCache cacheId="1"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customer_purchase_behavior_dataset (1).csv!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T2" i="1" l="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S2" i="1"/>
  <c r="S328" i="1"/>
  <c r="S329" i="1"/>
  <c r="S3" i="1"/>
  <c r="S4" i="1"/>
  <c r="S683" i="1"/>
  <c r="S684" i="1"/>
  <c r="S685" i="1"/>
  <c r="S330" i="1"/>
  <c r="S331" i="1"/>
  <c r="S5" i="1"/>
  <c r="S332" i="1"/>
  <c r="S686" i="1"/>
  <c r="S687" i="1"/>
  <c r="S333" i="1"/>
  <c r="S334" i="1"/>
  <c r="S335" i="1"/>
  <c r="S6" i="1"/>
  <c r="S336" i="1"/>
  <c r="S337" i="1"/>
  <c r="S688" i="1"/>
  <c r="S338" i="1"/>
  <c r="S689" i="1"/>
  <c r="S690" i="1"/>
  <c r="S691" i="1"/>
  <c r="S692" i="1"/>
  <c r="S7" i="1"/>
  <c r="S693" i="1"/>
  <c r="S694" i="1"/>
  <c r="S695" i="1"/>
  <c r="S8" i="1"/>
  <c r="S339" i="1"/>
  <c r="S340" i="1"/>
  <c r="S696" i="1"/>
  <c r="S9" i="1"/>
  <c r="S10" i="1"/>
  <c r="S341" i="1"/>
  <c r="S342" i="1"/>
  <c r="S697" i="1"/>
  <c r="S343" i="1"/>
  <c r="S11" i="1"/>
  <c r="S344" i="1"/>
  <c r="S698" i="1"/>
  <c r="S699" i="1"/>
  <c r="S345" i="1"/>
  <c r="S700" i="1"/>
  <c r="S12" i="1"/>
  <c r="S13" i="1"/>
  <c r="S346" i="1"/>
  <c r="S14" i="1"/>
  <c r="S347" i="1"/>
  <c r="S701" i="1"/>
  <c r="S702" i="1"/>
  <c r="S15" i="1"/>
  <c r="S16" i="1"/>
  <c r="S348" i="1"/>
  <c r="S349" i="1"/>
  <c r="S350" i="1"/>
  <c r="S703" i="1"/>
  <c r="S704" i="1"/>
  <c r="S351" i="1"/>
  <c r="S705" i="1"/>
  <c r="S17" i="1"/>
  <c r="S18" i="1"/>
  <c r="S352" i="1"/>
  <c r="S706" i="1"/>
  <c r="S353" i="1"/>
  <c r="S19" i="1"/>
  <c r="S354" i="1"/>
  <c r="S20" i="1"/>
  <c r="S355" i="1"/>
  <c r="S356" i="1"/>
  <c r="S21" i="1"/>
  <c r="S357" i="1"/>
  <c r="S22" i="1"/>
  <c r="S707" i="1"/>
  <c r="S708" i="1"/>
  <c r="S23" i="1"/>
  <c r="S709" i="1"/>
  <c r="S710" i="1"/>
  <c r="S711" i="1"/>
  <c r="S24" i="1"/>
  <c r="S25" i="1"/>
  <c r="S26" i="1"/>
  <c r="S358" i="1"/>
  <c r="S712" i="1"/>
  <c r="S359" i="1"/>
  <c r="S27" i="1"/>
  <c r="S28" i="1"/>
  <c r="S29" i="1"/>
  <c r="S30" i="1"/>
  <c r="S713" i="1"/>
  <c r="S31" i="1"/>
  <c r="S360" i="1"/>
  <c r="S714" i="1"/>
  <c r="S361" i="1"/>
  <c r="S32" i="1"/>
  <c r="S715" i="1"/>
  <c r="S33" i="1"/>
  <c r="S362" i="1"/>
  <c r="S363" i="1"/>
  <c r="S34" i="1"/>
  <c r="S364" i="1"/>
  <c r="S35" i="1"/>
  <c r="S365" i="1"/>
  <c r="S716" i="1"/>
  <c r="S717" i="1"/>
  <c r="S366" i="1"/>
  <c r="S718" i="1"/>
  <c r="S719" i="1"/>
  <c r="S36" i="1"/>
  <c r="S720" i="1"/>
  <c r="S367" i="1"/>
  <c r="S721" i="1"/>
  <c r="S37" i="1"/>
  <c r="S38" i="1"/>
  <c r="S368" i="1"/>
  <c r="S722" i="1"/>
  <c r="S723" i="1"/>
  <c r="S724" i="1"/>
  <c r="S725" i="1"/>
  <c r="S726" i="1"/>
  <c r="S727" i="1"/>
  <c r="S369" i="1"/>
  <c r="S370" i="1"/>
  <c r="S371" i="1"/>
  <c r="S728" i="1"/>
  <c r="S372" i="1"/>
  <c r="S39" i="1"/>
  <c r="S40" i="1"/>
  <c r="S373" i="1"/>
  <c r="S41" i="1"/>
  <c r="S729" i="1"/>
  <c r="S730" i="1"/>
  <c r="S374" i="1"/>
  <c r="S42" i="1"/>
  <c r="S43" i="1"/>
  <c r="S44" i="1"/>
  <c r="S731" i="1"/>
  <c r="S732" i="1"/>
  <c r="S45" i="1"/>
  <c r="S375" i="1"/>
  <c r="S376" i="1"/>
  <c r="S733" i="1"/>
  <c r="S46" i="1"/>
  <c r="S377" i="1"/>
  <c r="S734" i="1"/>
  <c r="S735" i="1"/>
  <c r="S47" i="1"/>
  <c r="S48" i="1"/>
  <c r="S378" i="1"/>
  <c r="S379" i="1"/>
  <c r="S736" i="1"/>
  <c r="S380" i="1"/>
  <c r="S49" i="1"/>
  <c r="S50" i="1"/>
  <c r="S381" i="1"/>
  <c r="S51" i="1"/>
  <c r="S382" i="1"/>
  <c r="S383" i="1"/>
  <c r="S737" i="1"/>
  <c r="S384" i="1"/>
  <c r="S385" i="1"/>
  <c r="S386" i="1"/>
  <c r="S52" i="1"/>
  <c r="S53" i="1"/>
  <c r="S738" i="1"/>
  <c r="S387" i="1"/>
  <c r="S54" i="1"/>
  <c r="S739" i="1"/>
  <c r="S388" i="1"/>
  <c r="S389" i="1"/>
  <c r="S390" i="1"/>
  <c r="S740" i="1"/>
  <c r="S55" i="1"/>
  <c r="S56" i="1"/>
  <c r="S741" i="1"/>
  <c r="S57" i="1"/>
  <c r="S391" i="1"/>
  <c r="S58" i="1"/>
  <c r="S742" i="1"/>
  <c r="S59" i="1"/>
  <c r="S60" i="1"/>
  <c r="S392" i="1"/>
  <c r="S393" i="1"/>
  <c r="S743" i="1"/>
  <c r="S394" i="1"/>
  <c r="S61" i="1"/>
  <c r="S395" i="1"/>
  <c r="S744" i="1"/>
  <c r="S745" i="1"/>
  <c r="S746" i="1"/>
  <c r="S396" i="1"/>
  <c r="S747" i="1"/>
  <c r="S748" i="1"/>
  <c r="S62" i="1"/>
  <c r="S749" i="1"/>
  <c r="S397" i="1"/>
  <c r="S398" i="1"/>
  <c r="S750" i="1"/>
  <c r="S399" i="1"/>
  <c r="S400" i="1"/>
  <c r="S751" i="1"/>
  <c r="S401" i="1"/>
  <c r="S752" i="1"/>
  <c r="S753" i="1"/>
  <c r="S63" i="1"/>
  <c r="S64" i="1"/>
  <c r="S402" i="1"/>
  <c r="S65" i="1"/>
  <c r="S754" i="1"/>
  <c r="S755" i="1"/>
  <c r="S403" i="1"/>
  <c r="S404" i="1"/>
  <c r="S756" i="1"/>
  <c r="S757" i="1"/>
  <c r="S758" i="1"/>
  <c r="S759" i="1"/>
  <c r="S760" i="1"/>
  <c r="S761" i="1"/>
  <c r="S405" i="1"/>
  <c r="S762" i="1"/>
  <c r="S66" i="1"/>
  <c r="S67" i="1"/>
  <c r="S763" i="1"/>
  <c r="S406" i="1"/>
  <c r="S764" i="1"/>
  <c r="S765" i="1"/>
  <c r="S68" i="1"/>
  <c r="S766" i="1"/>
  <c r="S407" i="1"/>
  <c r="S408" i="1"/>
  <c r="S69" i="1"/>
  <c r="S70" i="1"/>
  <c r="S767" i="1"/>
  <c r="S71" i="1"/>
  <c r="S72" i="1"/>
  <c r="S73" i="1"/>
  <c r="S74" i="1"/>
  <c r="S768" i="1"/>
  <c r="S409" i="1"/>
  <c r="S769" i="1"/>
  <c r="S75" i="1"/>
  <c r="S410" i="1"/>
  <c r="S770" i="1"/>
  <c r="S76" i="1"/>
  <c r="S77" i="1"/>
  <c r="S771" i="1"/>
  <c r="S772" i="1"/>
  <c r="S773" i="1"/>
  <c r="S411" i="1"/>
  <c r="S412" i="1"/>
  <c r="S413" i="1"/>
  <c r="S414" i="1"/>
  <c r="S415" i="1"/>
  <c r="S416" i="1"/>
  <c r="S417" i="1"/>
  <c r="S418" i="1"/>
  <c r="S774" i="1"/>
  <c r="S78" i="1"/>
  <c r="S419" i="1"/>
  <c r="S79" i="1"/>
  <c r="S775" i="1"/>
  <c r="S776" i="1"/>
  <c r="S420" i="1"/>
  <c r="S777" i="1"/>
  <c r="S80" i="1"/>
  <c r="S81" i="1"/>
  <c r="S421" i="1"/>
  <c r="S82" i="1"/>
  <c r="S778" i="1"/>
  <c r="S422" i="1"/>
  <c r="S779" i="1"/>
  <c r="S780" i="1"/>
  <c r="S83" i="1"/>
  <c r="S423" i="1"/>
  <c r="S84" i="1"/>
  <c r="S781" i="1"/>
  <c r="S782" i="1"/>
  <c r="S85" i="1"/>
  <c r="S424" i="1"/>
  <c r="S783" i="1"/>
  <c r="S425" i="1"/>
  <c r="S784" i="1"/>
  <c r="S785" i="1"/>
  <c r="S786" i="1"/>
  <c r="S426" i="1"/>
  <c r="S787" i="1"/>
  <c r="S788" i="1"/>
  <c r="S86" i="1"/>
  <c r="S789" i="1"/>
  <c r="S87" i="1"/>
  <c r="S427" i="1"/>
  <c r="S790" i="1"/>
  <c r="S88" i="1"/>
  <c r="S791" i="1"/>
  <c r="S428" i="1"/>
  <c r="S89" i="1"/>
  <c r="S90" i="1"/>
  <c r="S91" i="1"/>
  <c r="S429" i="1"/>
  <c r="S792" i="1"/>
  <c r="S430" i="1"/>
  <c r="S92" i="1"/>
  <c r="S431" i="1"/>
  <c r="S93" i="1"/>
  <c r="S432" i="1"/>
  <c r="S94" i="1"/>
  <c r="S433" i="1"/>
  <c r="S434" i="1"/>
  <c r="S95" i="1"/>
  <c r="S96" i="1"/>
  <c r="S97" i="1"/>
  <c r="S98" i="1"/>
  <c r="S435" i="1"/>
  <c r="S99" i="1"/>
  <c r="S793" i="1"/>
  <c r="S436" i="1"/>
  <c r="S794" i="1"/>
  <c r="S437" i="1"/>
  <c r="S795" i="1"/>
  <c r="S100" i="1"/>
  <c r="S101" i="1"/>
  <c r="S796" i="1"/>
  <c r="S797" i="1"/>
  <c r="S438" i="1"/>
  <c r="S798" i="1"/>
  <c r="S799" i="1"/>
  <c r="S102" i="1"/>
  <c r="S800" i="1"/>
  <c r="S439" i="1"/>
  <c r="S801" i="1"/>
  <c r="S802" i="1"/>
  <c r="S803" i="1"/>
  <c r="S804" i="1"/>
  <c r="S440" i="1"/>
  <c r="S441" i="1"/>
  <c r="S442" i="1"/>
  <c r="S805" i="1"/>
  <c r="S443" i="1"/>
  <c r="S444" i="1"/>
  <c r="S445" i="1"/>
  <c r="S103" i="1"/>
  <c r="S446" i="1"/>
  <c r="S104" i="1"/>
  <c r="S105" i="1"/>
  <c r="S806" i="1"/>
  <c r="S447" i="1"/>
  <c r="S807" i="1"/>
  <c r="S808" i="1"/>
  <c r="S106" i="1"/>
  <c r="S448" i="1"/>
  <c r="S809" i="1"/>
  <c r="S449" i="1"/>
  <c r="S107" i="1"/>
  <c r="S108" i="1"/>
  <c r="S109" i="1"/>
  <c r="S110" i="1"/>
  <c r="S111" i="1"/>
  <c r="S450" i="1"/>
  <c r="S810" i="1"/>
  <c r="S451" i="1"/>
  <c r="S452" i="1"/>
  <c r="S811" i="1"/>
  <c r="S453" i="1"/>
  <c r="S454" i="1"/>
  <c r="S812" i="1"/>
  <c r="S455" i="1"/>
  <c r="S112" i="1"/>
  <c r="S456" i="1"/>
  <c r="S113" i="1"/>
  <c r="S114" i="1"/>
  <c r="S457" i="1"/>
  <c r="S813" i="1"/>
  <c r="S115" i="1"/>
  <c r="S116" i="1"/>
  <c r="S458" i="1"/>
  <c r="S459" i="1"/>
  <c r="S460" i="1"/>
  <c r="S461" i="1"/>
  <c r="S117" i="1"/>
  <c r="S462" i="1"/>
  <c r="S118" i="1"/>
  <c r="S119" i="1"/>
  <c r="S463" i="1"/>
  <c r="S814" i="1"/>
  <c r="S464" i="1"/>
  <c r="S120" i="1"/>
  <c r="S465" i="1"/>
  <c r="S466" i="1"/>
  <c r="S467" i="1"/>
  <c r="S468" i="1"/>
  <c r="S121" i="1"/>
  <c r="S469" i="1"/>
  <c r="S815" i="1"/>
  <c r="S470" i="1"/>
  <c r="S471" i="1"/>
  <c r="S472" i="1"/>
  <c r="S122" i="1"/>
  <c r="S816" i="1"/>
  <c r="S123" i="1"/>
  <c r="S473" i="1"/>
  <c r="S817" i="1"/>
  <c r="S474" i="1"/>
  <c r="S124" i="1"/>
  <c r="S818" i="1"/>
  <c r="S125" i="1"/>
  <c r="S126" i="1"/>
  <c r="S127" i="1"/>
  <c r="S475" i="1"/>
  <c r="S476" i="1"/>
  <c r="S128" i="1"/>
  <c r="S129" i="1"/>
  <c r="S477" i="1"/>
  <c r="S478" i="1"/>
  <c r="S130" i="1"/>
  <c r="S479" i="1"/>
  <c r="S819" i="1"/>
  <c r="S820" i="1"/>
  <c r="S480" i="1"/>
  <c r="S821" i="1"/>
  <c r="S481" i="1"/>
  <c r="S822" i="1"/>
  <c r="S823" i="1"/>
  <c r="S131" i="1"/>
  <c r="S824" i="1"/>
  <c r="S132" i="1"/>
  <c r="S825" i="1"/>
  <c r="S482" i="1"/>
  <c r="S826" i="1"/>
  <c r="S827" i="1"/>
  <c r="S133" i="1"/>
  <c r="S828" i="1"/>
  <c r="S134" i="1"/>
  <c r="S135" i="1"/>
  <c r="S136" i="1"/>
  <c r="S829" i="1"/>
  <c r="S137" i="1"/>
  <c r="S483" i="1"/>
  <c r="S138" i="1"/>
  <c r="S484" i="1"/>
  <c r="S830" i="1"/>
  <c r="S831" i="1"/>
  <c r="S139" i="1"/>
  <c r="S140" i="1"/>
  <c r="S485" i="1"/>
  <c r="S486" i="1"/>
  <c r="S487" i="1"/>
  <c r="S488" i="1"/>
  <c r="S489" i="1"/>
  <c r="S141" i="1"/>
  <c r="S832" i="1"/>
  <c r="S490" i="1"/>
  <c r="S833" i="1"/>
  <c r="S142" i="1"/>
  <c r="S834" i="1"/>
  <c r="S143" i="1"/>
  <c r="S491" i="1"/>
  <c r="S492" i="1"/>
  <c r="S835" i="1"/>
  <c r="S144" i="1"/>
  <c r="S493" i="1"/>
  <c r="S836" i="1"/>
  <c r="S494" i="1"/>
  <c r="S145" i="1"/>
  <c r="S146" i="1"/>
  <c r="S495" i="1"/>
  <c r="S147" i="1"/>
  <c r="S837" i="1"/>
  <c r="S148" i="1"/>
  <c r="S496" i="1"/>
  <c r="S838" i="1"/>
  <c r="S497" i="1"/>
  <c r="S839" i="1"/>
  <c r="S149" i="1"/>
  <c r="S840" i="1"/>
  <c r="S841" i="1"/>
  <c r="S150" i="1"/>
  <c r="S498" i="1"/>
  <c r="S151" i="1"/>
  <c r="S152" i="1"/>
  <c r="S153" i="1"/>
  <c r="S154" i="1"/>
  <c r="S499" i="1"/>
  <c r="S842" i="1"/>
  <c r="S155" i="1"/>
  <c r="S156" i="1"/>
  <c r="S500" i="1"/>
  <c r="S157" i="1"/>
  <c r="S501" i="1"/>
  <c r="S843" i="1"/>
  <c r="S158" i="1"/>
  <c r="S502" i="1"/>
  <c r="S844" i="1"/>
  <c r="S159" i="1"/>
  <c r="S160" i="1"/>
  <c r="S845" i="1"/>
  <c r="S503" i="1"/>
  <c r="S504" i="1"/>
  <c r="S846" i="1"/>
  <c r="S505" i="1"/>
  <c r="S847" i="1"/>
  <c r="S506" i="1"/>
  <c r="S848" i="1"/>
  <c r="S849" i="1"/>
  <c r="S850" i="1"/>
  <c r="S507" i="1"/>
  <c r="S851" i="1"/>
  <c r="S852" i="1"/>
  <c r="S508" i="1"/>
  <c r="S509" i="1"/>
  <c r="S853" i="1"/>
  <c r="S510" i="1"/>
  <c r="S161" i="1"/>
  <c r="S854" i="1"/>
  <c r="S855" i="1"/>
  <c r="S162" i="1"/>
  <c r="S856" i="1"/>
  <c r="S511" i="1"/>
  <c r="S857" i="1"/>
  <c r="S858" i="1"/>
  <c r="S859" i="1"/>
  <c r="S163" i="1"/>
  <c r="S860" i="1"/>
  <c r="S861" i="1"/>
  <c r="S862" i="1"/>
  <c r="S863" i="1"/>
  <c r="S512" i="1"/>
  <c r="S164" i="1"/>
  <c r="S513" i="1"/>
  <c r="S514" i="1"/>
  <c r="S165" i="1"/>
  <c r="S166" i="1"/>
  <c r="S864" i="1"/>
  <c r="S515" i="1"/>
  <c r="S516" i="1"/>
  <c r="S865" i="1"/>
  <c r="S167" i="1"/>
  <c r="S866" i="1"/>
  <c r="S168" i="1"/>
  <c r="S169" i="1"/>
  <c r="S517" i="1"/>
  <c r="S170" i="1"/>
  <c r="S171" i="1"/>
  <c r="S518" i="1"/>
  <c r="S867" i="1"/>
  <c r="S172" i="1"/>
  <c r="S519" i="1"/>
  <c r="S868" i="1"/>
  <c r="S869" i="1"/>
  <c r="S520" i="1"/>
  <c r="S521" i="1"/>
  <c r="S173" i="1"/>
  <c r="S174" i="1"/>
  <c r="S522" i="1"/>
  <c r="S870" i="1"/>
  <c r="S523" i="1"/>
  <c r="S871" i="1"/>
  <c r="S175" i="1"/>
  <c r="S524" i="1"/>
  <c r="S525" i="1"/>
  <c r="S526" i="1"/>
  <c r="S872" i="1"/>
  <c r="S527" i="1"/>
  <c r="S528" i="1"/>
  <c r="S176" i="1"/>
  <c r="S177" i="1"/>
  <c r="S178" i="1"/>
  <c r="S179" i="1"/>
  <c r="S873" i="1"/>
  <c r="S529" i="1"/>
  <c r="S530" i="1"/>
  <c r="S531" i="1"/>
  <c r="S874" i="1"/>
  <c r="S180" i="1"/>
  <c r="S875" i="1"/>
  <c r="S181" i="1"/>
  <c r="S182" i="1"/>
  <c r="S183" i="1"/>
  <c r="S184" i="1"/>
  <c r="S532" i="1"/>
  <c r="S533" i="1"/>
  <c r="S185" i="1"/>
  <c r="S186" i="1"/>
  <c r="S187" i="1"/>
  <c r="S188" i="1"/>
  <c r="S534" i="1"/>
  <c r="S876" i="1"/>
  <c r="S189" i="1"/>
  <c r="S877" i="1"/>
  <c r="S190" i="1"/>
  <c r="S535" i="1"/>
  <c r="S878" i="1"/>
  <c r="S191" i="1"/>
  <c r="S879" i="1"/>
  <c r="S192" i="1"/>
  <c r="S193" i="1"/>
  <c r="S880" i="1"/>
  <c r="S194" i="1"/>
  <c r="S195" i="1"/>
  <c r="S536" i="1"/>
  <c r="S537" i="1"/>
  <c r="S196" i="1"/>
  <c r="S881" i="1"/>
  <c r="S882" i="1"/>
  <c r="S538" i="1"/>
  <c r="S197" i="1"/>
  <c r="S539" i="1"/>
  <c r="S540" i="1"/>
  <c r="S198" i="1"/>
  <c r="S199" i="1"/>
  <c r="S541" i="1"/>
  <c r="S200" i="1"/>
  <c r="S542" i="1"/>
  <c r="S201" i="1"/>
  <c r="S883" i="1"/>
  <c r="S884" i="1"/>
  <c r="S543" i="1"/>
  <c r="S544" i="1"/>
  <c r="S202" i="1"/>
  <c r="S885" i="1"/>
  <c r="S886" i="1"/>
  <c r="S203" i="1"/>
  <c r="S887" i="1"/>
  <c r="S888" i="1"/>
  <c r="S545" i="1"/>
  <c r="S204" i="1"/>
  <c r="S205" i="1"/>
  <c r="S889" i="1"/>
  <c r="S206" i="1"/>
  <c r="S207" i="1"/>
  <c r="S208" i="1"/>
  <c r="S890" i="1"/>
  <c r="S891" i="1"/>
  <c r="S546" i="1"/>
  <c r="S547" i="1"/>
  <c r="S209" i="1"/>
  <c r="S548" i="1"/>
  <c r="S892" i="1"/>
  <c r="S549" i="1"/>
  <c r="S210" i="1"/>
  <c r="S893" i="1"/>
  <c r="S894" i="1"/>
  <c r="S895" i="1"/>
  <c r="S896" i="1"/>
  <c r="S211" i="1"/>
  <c r="S550" i="1"/>
  <c r="S897" i="1"/>
  <c r="S551" i="1"/>
  <c r="S898" i="1"/>
  <c r="S212" i="1"/>
  <c r="S552" i="1"/>
  <c r="S899" i="1"/>
  <c r="S553" i="1"/>
  <c r="S900" i="1"/>
  <c r="S554" i="1"/>
  <c r="S213" i="1"/>
  <c r="S555" i="1"/>
  <c r="S901" i="1"/>
  <c r="S214" i="1"/>
  <c r="S902" i="1"/>
  <c r="S556" i="1"/>
  <c r="S557" i="1"/>
  <c r="S558" i="1"/>
  <c r="S215" i="1"/>
  <c r="S903" i="1"/>
  <c r="S216" i="1"/>
  <c r="S904" i="1"/>
  <c r="S905" i="1"/>
  <c r="S217" i="1"/>
  <c r="S906" i="1"/>
  <c r="S907" i="1"/>
  <c r="S908" i="1"/>
  <c r="S559" i="1"/>
  <c r="S218" i="1"/>
  <c r="S219" i="1"/>
  <c r="S560" i="1"/>
  <c r="S220" i="1"/>
  <c r="S561" i="1"/>
  <c r="S221" i="1"/>
  <c r="S909" i="1"/>
  <c r="S222" i="1"/>
  <c r="S562" i="1"/>
  <c r="S563" i="1"/>
  <c r="S564" i="1"/>
  <c r="S565" i="1"/>
  <c r="S566" i="1"/>
  <c r="S910" i="1"/>
  <c r="S911" i="1"/>
  <c r="S223" i="1"/>
  <c r="S567" i="1"/>
  <c r="S912" i="1"/>
  <c r="S913" i="1"/>
  <c r="S224" i="1"/>
  <c r="S225" i="1"/>
  <c r="S226" i="1"/>
  <c r="S568" i="1"/>
  <c r="S227" i="1"/>
  <c r="S569" i="1"/>
  <c r="S228" i="1"/>
  <c r="S914" i="1"/>
  <c r="S915" i="1"/>
  <c r="S570" i="1"/>
  <c r="S916" i="1"/>
  <c r="S917" i="1"/>
  <c r="S571" i="1"/>
  <c r="S229" i="1"/>
  <c r="S918" i="1"/>
  <c r="S572" i="1"/>
  <c r="S230" i="1"/>
  <c r="S573" i="1"/>
  <c r="S574" i="1"/>
  <c r="S575" i="1"/>
  <c r="S576" i="1"/>
  <c r="S231" i="1"/>
  <c r="S577" i="1"/>
  <c r="S232" i="1"/>
  <c r="S578" i="1"/>
  <c r="S919" i="1"/>
  <c r="S579" i="1"/>
  <c r="S233" i="1"/>
  <c r="S920" i="1"/>
  <c r="S234" i="1"/>
  <c r="S921" i="1"/>
  <c r="S580" i="1"/>
  <c r="S922" i="1"/>
  <c r="S235" i="1"/>
  <c r="S923" i="1"/>
  <c r="S236" i="1"/>
  <c r="S237" i="1"/>
  <c r="S238" i="1"/>
  <c r="S239" i="1"/>
  <c r="S581" i="1"/>
  <c r="S240" i="1"/>
  <c r="S241" i="1"/>
  <c r="S582" i="1"/>
  <c r="S583" i="1"/>
  <c r="S242" i="1"/>
  <c r="S584" i="1"/>
  <c r="S243" i="1"/>
  <c r="S585" i="1"/>
  <c r="S244" i="1"/>
  <c r="S245" i="1"/>
  <c r="S586" i="1"/>
  <c r="S924" i="1"/>
  <c r="S587" i="1"/>
  <c r="S246" i="1"/>
  <c r="S925" i="1"/>
  <c r="S588" i="1"/>
  <c r="S926" i="1"/>
  <c r="S927" i="1"/>
  <c r="S589" i="1"/>
  <c r="S247" i="1"/>
  <c r="S590" i="1"/>
  <c r="S248" i="1"/>
  <c r="S249" i="1"/>
  <c r="S250" i="1"/>
  <c r="S928" i="1"/>
  <c r="S591" i="1"/>
  <c r="S592" i="1"/>
  <c r="S251" i="1"/>
  <c r="S252" i="1"/>
  <c r="S593" i="1"/>
  <c r="S253" i="1"/>
  <c r="S594" i="1"/>
  <c r="S254" i="1"/>
  <c r="S255" i="1"/>
  <c r="S595" i="1"/>
  <c r="S929" i="1"/>
  <c r="S596" i="1"/>
  <c r="S930" i="1"/>
  <c r="S597" i="1"/>
  <c r="S931" i="1"/>
  <c r="S932" i="1"/>
  <c r="S598" i="1"/>
  <c r="S933" i="1"/>
  <c r="S934" i="1"/>
  <c r="S935" i="1"/>
  <c r="S256" i="1"/>
  <c r="S599" i="1"/>
  <c r="S936" i="1"/>
  <c r="S937" i="1"/>
  <c r="S257" i="1"/>
  <c r="S600" i="1"/>
  <c r="S938" i="1"/>
  <c r="S939" i="1"/>
  <c r="S940" i="1"/>
  <c r="S601" i="1"/>
  <c r="S941" i="1"/>
  <c r="S258" i="1"/>
  <c r="S259" i="1"/>
  <c r="S260" i="1"/>
  <c r="S602" i="1"/>
  <c r="S603" i="1"/>
  <c r="S942" i="1"/>
  <c r="S943" i="1"/>
  <c r="S261" i="1"/>
  <c r="S604" i="1"/>
  <c r="S605" i="1"/>
  <c r="S262" i="1"/>
  <c r="S606" i="1"/>
  <c r="S263" i="1"/>
  <c r="S607" i="1"/>
  <c r="S944" i="1"/>
  <c r="S945" i="1"/>
  <c r="S608" i="1"/>
  <c r="S609" i="1"/>
  <c r="S946" i="1"/>
  <c r="S947" i="1"/>
  <c r="S610" i="1"/>
  <c r="S611" i="1"/>
  <c r="S612" i="1"/>
  <c r="S264" i="1"/>
  <c r="S265" i="1"/>
  <c r="S613" i="1"/>
  <c r="S266" i="1"/>
  <c r="S948" i="1"/>
  <c r="S614" i="1"/>
  <c r="S949" i="1"/>
  <c r="S615" i="1"/>
  <c r="S267" i="1"/>
  <c r="S950" i="1"/>
  <c r="S951" i="1"/>
  <c r="S952" i="1"/>
  <c r="S953" i="1"/>
  <c r="S268" i="1"/>
  <c r="S616" i="1"/>
  <c r="S617" i="1"/>
  <c r="S954" i="1"/>
  <c r="S269" i="1"/>
  <c r="S270" i="1"/>
  <c r="S618" i="1"/>
  <c r="S619" i="1"/>
  <c r="S271" i="1"/>
  <c r="S620" i="1"/>
  <c r="S621" i="1"/>
  <c r="S272" i="1"/>
  <c r="S273" i="1"/>
  <c r="S622" i="1"/>
  <c r="S623" i="1"/>
  <c r="S624" i="1"/>
  <c r="S625" i="1"/>
  <c r="S274" i="1"/>
  <c r="S626" i="1"/>
  <c r="S275" i="1"/>
  <c r="S627" i="1"/>
  <c r="S628" i="1"/>
  <c r="S955" i="1"/>
  <c r="S629" i="1"/>
  <c r="S630" i="1"/>
  <c r="S276" i="1"/>
  <c r="S631" i="1"/>
  <c r="S632" i="1"/>
  <c r="S633" i="1"/>
  <c r="S634" i="1"/>
  <c r="S277" i="1"/>
  <c r="S278" i="1"/>
  <c r="S635" i="1"/>
  <c r="S636" i="1"/>
  <c r="S279" i="1"/>
  <c r="S280" i="1"/>
  <c r="S281" i="1"/>
  <c r="S282" i="1"/>
  <c r="S956" i="1"/>
  <c r="S957" i="1"/>
  <c r="S283" i="1"/>
  <c r="S637" i="1"/>
  <c r="S958" i="1"/>
  <c r="S638" i="1"/>
  <c r="S284" i="1"/>
  <c r="S285" i="1"/>
  <c r="S959" i="1"/>
  <c r="S960" i="1"/>
  <c r="S286" i="1"/>
  <c r="S961" i="1"/>
  <c r="S287" i="1"/>
  <c r="S962" i="1"/>
  <c r="S639" i="1"/>
  <c r="S963" i="1"/>
  <c r="S640" i="1"/>
  <c r="S288" i="1"/>
  <c r="S641" i="1"/>
  <c r="S289" i="1"/>
  <c r="S290" i="1"/>
  <c r="S291" i="1"/>
  <c r="S964" i="1"/>
  <c r="S965" i="1"/>
  <c r="S292" i="1"/>
  <c r="S966" i="1"/>
  <c r="S293" i="1"/>
  <c r="S294" i="1"/>
  <c r="S642" i="1"/>
  <c r="S643" i="1"/>
  <c r="S967" i="1"/>
  <c r="S295" i="1"/>
  <c r="S968" i="1"/>
  <c r="S969" i="1"/>
  <c r="S296" i="1"/>
  <c r="S297" i="1"/>
  <c r="S970" i="1"/>
  <c r="S298" i="1"/>
  <c r="S971" i="1"/>
  <c r="S644" i="1"/>
  <c r="S972" i="1"/>
  <c r="S299" i="1"/>
  <c r="S645" i="1"/>
  <c r="S646" i="1"/>
  <c r="S647" i="1"/>
  <c r="S300" i="1"/>
  <c r="S648" i="1"/>
  <c r="S973" i="1"/>
  <c r="S649" i="1"/>
  <c r="S650" i="1"/>
  <c r="S301" i="1"/>
  <c r="S974" i="1"/>
  <c r="S651" i="1"/>
  <c r="S302" i="1"/>
  <c r="S975" i="1"/>
  <c r="S652" i="1"/>
  <c r="S653" i="1"/>
  <c r="S976" i="1"/>
  <c r="S977" i="1"/>
  <c r="S303" i="1"/>
  <c r="S978" i="1"/>
  <c r="S979" i="1"/>
  <c r="S980" i="1"/>
  <c r="S654" i="1"/>
  <c r="S304" i="1"/>
  <c r="S981" i="1"/>
  <c r="S305" i="1"/>
  <c r="S655" i="1"/>
  <c r="S306" i="1"/>
  <c r="S656" i="1"/>
  <c r="S307" i="1"/>
  <c r="S982" i="1"/>
  <c r="S657" i="1"/>
  <c r="S983" i="1"/>
  <c r="S658" i="1"/>
  <c r="S308" i="1"/>
  <c r="S309" i="1"/>
  <c r="S984" i="1"/>
  <c r="S310" i="1"/>
  <c r="S659" i="1"/>
  <c r="S985" i="1"/>
  <c r="S986" i="1"/>
  <c r="S660" i="1"/>
  <c r="S661" i="1"/>
  <c r="S311" i="1"/>
  <c r="S312" i="1"/>
  <c r="S662" i="1"/>
  <c r="S313" i="1"/>
  <c r="S987" i="1"/>
  <c r="S663" i="1"/>
  <c r="S988" i="1"/>
  <c r="S314" i="1"/>
  <c r="S315" i="1"/>
  <c r="S664" i="1"/>
  <c r="S316" i="1"/>
  <c r="S665" i="1"/>
  <c r="S989" i="1"/>
  <c r="S990" i="1"/>
  <c r="S991" i="1"/>
  <c r="S666" i="1"/>
  <c r="S667" i="1"/>
  <c r="S992" i="1"/>
  <c r="S668" i="1"/>
  <c r="S317" i="1"/>
  <c r="S993" i="1"/>
  <c r="S994" i="1"/>
  <c r="S318" i="1"/>
  <c r="S669" i="1"/>
  <c r="S670" i="1"/>
  <c r="S671" i="1"/>
  <c r="S995" i="1"/>
  <c r="S319" i="1"/>
  <c r="S320" i="1"/>
  <c r="S672" i="1"/>
  <c r="S321" i="1"/>
  <c r="S322" i="1"/>
  <c r="S673" i="1"/>
  <c r="S674" i="1"/>
  <c r="S675" i="1"/>
  <c r="S676" i="1"/>
  <c r="S677" i="1"/>
  <c r="S996" i="1"/>
  <c r="S678" i="1"/>
  <c r="S323" i="1"/>
  <c r="S324" i="1"/>
  <c r="S679" i="1"/>
  <c r="S680" i="1"/>
  <c r="S997" i="1"/>
  <c r="S998" i="1"/>
  <c r="S999" i="1"/>
  <c r="S681" i="1"/>
  <c r="S682" i="1"/>
  <c r="S1000" i="1"/>
  <c r="S325" i="1"/>
  <c r="S1001" i="1"/>
  <c r="S326" i="1"/>
  <c r="S327"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C1A1836-AF65-40FB-A080-FFE7A46D6EC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11F79C7A-A7F8-4F50-A7FC-E34DB6F18C11}" name="WorksheetConnection_customer_purchase_behavior_dataset (1).csv!Table1" type="102" refreshedVersion="8" minRefreshableVersion="5">
    <extLst>
      <ext xmlns:x15="http://schemas.microsoft.com/office/spreadsheetml/2010/11/main" uri="{DE250136-89BD-433C-8126-D09CA5730AF9}">
        <x15:connection id="Table1" autoDelete="1">
          <x15:rangePr sourceName="_xlcn.WorksheetConnection_customer_purchase_behavior_dataset1.csvTable11"/>
        </x15:connection>
      </ext>
    </extLst>
  </connection>
</connections>
</file>

<file path=xl/sharedStrings.xml><?xml version="1.0" encoding="utf-8"?>
<sst xmlns="http://schemas.openxmlformats.org/spreadsheetml/2006/main" count="10072" uniqueCount="1267">
  <si>
    <t>Customer_ID</t>
  </si>
  <si>
    <t>Gender</t>
  </si>
  <si>
    <t>Age</t>
  </si>
  <si>
    <t>Location</t>
  </si>
  <si>
    <t>Marital_Status</t>
  </si>
  <si>
    <t>Income_Level</t>
  </si>
  <si>
    <t>Product_Category</t>
  </si>
  <si>
    <t>Product_ID</t>
  </si>
  <si>
    <t>Purchase_Amount</t>
  </si>
  <si>
    <t>Quantity</t>
  </si>
  <si>
    <t>Purchase_Date</t>
  </si>
  <si>
    <t>Payment_Method</t>
  </si>
  <si>
    <t>Loyalty_Score</t>
  </si>
  <si>
    <t>Discount_Applied</t>
  </si>
  <si>
    <t>Channel</t>
  </si>
  <si>
    <t>CUST0001</t>
  </si>
  <si>
    <t>Other</t>
  </si>
  <si>
    <t>Boston</t>
  </si>
  <si>
    <t>Divorced</t>
  </si>
  <si>
    <t>High</t>
  </si>
  <si>
    <t>Groceries</t>
  </si>
  <si>
    <t>PROD0187</t>
  </si>
  <si>
    <t>Cash</t>
  </si>
  <si>
    <t>No</t>
  </si>
  <si>
    <t>Online</t>
  </si>
  <si>
    <t>CUST0002</t>
  </si>
  <si>
    <t>Male</t>
  </si>
  <si>
    <t>Medium</t>
  </si>
  <si>
    <t>Electronics</t>
  </si>
  <si>
    <t>PROD0116</t>
  </si>
  <si>
    <t>Online Wallet</t>
  </si>
  <si>
    <t>CUST0003</t>
  </si>
  <si>
    <t>Los Angeles</t>
  </si>
  <si>
    <t>Married</t>
  </si>
  <si>
    <t>Toys</t>
  </si>
  <si>
    <t>PROD0138</t>
  </si>
  <si>
    <t>Credit Card</t>
  </si>
  <si>
    <t>CUST0004</t>
  </si>
  <si>
    <t>Houston</t>
  </si>
  <si>
    <t>Home Decor</t>
  </si>
  <si>
    <t>PROD0130</t>
  </si>
  <si>
    <t>UPI</t>
  </si>
  <si>
    <t>CUST0005</t>
  </si>
  <si>
    <t>New York</t>
  </si>
  <si>
    <t>Low</t>
  </si>
  <si>
    <t>PROD0194</t>
  </si>
  <si>
    <t>Yes</t>
  </si>
  <si>
    <t>In-store</t>
  </si>
  <si>
    <t>CUST0006</t>
  </si>
  <si>
    <t>Single</t>
  </si>
  <si>
    <t>PROD0060</t>
  </si>
  <si>
    <t>CUST0007</t>
  </si>
  <si>
    <t>PROD0017</t>
  </si>
  <si>
    <t>CUST0008</t>
  </si>
  <si>
    <t>Female</t>
  </si>
  <si>
    <t>Books</t>
  </si>
  <si>
    <t>PROD0096</t>
  </si>
  <si>
    <t>CUST0009</t>
  </si>
  <si>
    <t>PROD0144</t>
  </si>
  <si>
    <t>CUST0010</t>
  </si>
  <si>
    <t>Phoenix</t>
  </si>
  <si>
    <t>Clothing</t>
  </si>
  <si>
    <t>PROD0016</t>
  </si>
  <si>
    <t>CUST0011</t>
  </si>
  <si>
    <t>Miami</t>
  </si>
  <si>
    <t>PROD0046</t>
  </si>
  <si>
    <t>CUST0012</t>
  </si>
  <si>
    <t>PROD0167</t>
  </si>
  <si>
    <t>CUST0013</t>
  </si>
  <si>
    <t>Sports</t>
  </si>
  <si>
    <t>PROD0159</t>
  </si>
  <si>
    <t>CUST0014</t>
  </si>
  <si>
    <t>PROD0107</t>
  </si>
  <si>
    <t>CUST0015</t>
  </si>
  <si>
    <t>PROD0088</t>
  </si>
  <si>
    <t>CUST0016</t>
  </si>
  <si>
    <t>PROD0129</t>
  </si>
  <si>
    <t>CUST0017</t>
  </si>
  <si>
    <t>Seattle</t>
  </si>
  <si>
    <t>PROD0139</t>
  </si>
  <si>
    <t>CUST0018</t>
  </si>
  <si>
    <t>PROD0119</t>
  </si>
  <si>
    <t>CUST0019</t>
  </si>
  <si>
    <t>PROD0085</t>
  </si>
  <si>
    <t>CUST0020</t>
  </si>
  <si>
    <t>PROD0004</t>
  </si>
  <si>
    <t>CUST0021</t>
  </si>
  <si>
    <t>PROD0071</t>
  </si>
  <si>
    <t>CUST0022</t>
  </si>
  <si>
    <t>PROD0154</t>
  </si>
  <si>
    <t>CUST0023</t>
  </si>
  <si>
    <t>PROD0111</t>
  </si>
  <si>
    <t>CUST0024</t>
  </si>
  <si>
    <t>PROD0050</t>
  </si>
  <si>
    <t>CUST0025</t>
  </si>
  <si>
    <t>PROD0140</t>
  </si>
  <si>
    <t>CUST0026</t>
  </si>
  <si>
    <t>PROD0095</t>
  </si>
  <si>
    <t>CUST0027</t>
  </si>
  <si>
    <t>PROD0092</t>
  </si>
  <si>
    <t>CUST0028</t>
  </si>
  <si>
    <t>PROD0065</t>
  </si>
  <si>
    <t>CUST0029</t>
  </si>
  <si>
    <t>PROD0047</t>
  </si>
  <si>
    <t>CUST0030</t>
  </si>
  <si>
    <t>PROD0181</t>
  </si>
  <si>
    <t>CUST0031</t>
  </si>
  <si>
    <t>PROD0106</t>
  </si>
  <si>
    <t>CUST0032</t>
  </si>
  <si>
    <t>Chicago</t>
  </si>
  <si>
    <t>PROD0199</t>
  </si>
  <si>
    <t>CUST0033</t>
  </si>
  <si>
    <t>CUST0034</t>
  </si>
  <si>
    <t>CUST0035</t>
  </si>
  <si>
    <t>PROD0024</t>
  </si>
  <si>
    <t>CUST0036</t>
  </si>
  <si>
    <t>CUST0037</t>
  </si>
  <si>
    <t>PROD0108</t>
  </si>
  <si>
    <t>CUST0038</t>
  </si>
  <si>
    <t>PROD0019</t>
  </si>
  <si>
    <t>CUST0039</t>
  </si>
  <si>
    <t>CUST0040</t>
  </si>
  <si>
    <t>PROD0040</t>
  </si>
  <si>
    <t>CUST0041</t>
  </si>
  <si>
    <t>CUST0042</t>
  </si>
  <si>
    <t>PROD0171</t>
  </si>
  <si>
    <t>CUST0043</t>
  </si>
  <si>
    <t>PROD0075</t>
  </si>
  <si>
    <t>CUST0044</t>
  </si>
  <si>
    <t>PROD0195</t>
  </si>
  <si>
    <t>CUST0045</t>
  </si>
  <si>
    <t>PROD0012</t>
  </si>
  <si>
    <t>CUST0046</t>
  </si>
  <si>
    <t>CUST0047</t>
  </si>
  <si>
    <t>PROD0027</t>
  </si>
  <si>
    <t>CUST0048</t>
  </si>
  <si>
    <t>PROD0113</t>
  </si>
  <si>
    <t>CUST0049</t>
  </si>
  <si>
    <t>PROD0182</t>
  </si>
  <si>
    <t>CUST0050</t>
  </si>
  <si>
    <t>CUST0051</t>
  </si>
  <si>
    <t>PROD0049</t>
  </si>
  <si>
    <t>CUST0052</t>
  </si>
  <si>
    <t>CUST0053</t>
  </si>
  <si>
    <t>CUST0054</t>
  </si>
  <si>
    <t>CUST0055</t>
  </si>
  <si>
    <t>CUST0056</t>
  </si>
  <si>
    <t>PROD0030</t>
  </si>
  <si>
    <t>CUST0057</t>
  </si>
  <si>
    <t>PROD0084</t>
  </si>
  <si>
    <t>CUST0058</t>
  </si>
  <si>
    <t>PROD0166</t>
  </si>
  <si>
    <t>CUST0059</t>
  </si>
  <si>
    <t>PROD0028</t>
  </si>
  <si>
    <t>CUST0060</t>
  </si>
  <si>
    <t>PROD0025</t>
  </si>
  <si>
    <t>CUST0061</t>
  </si>
  <si>
    <t>CUST0062</t>
  </si>
  <si>
    <t>PROD0125</t>
  </si>
  <si>
    <t>CUST0063</t>
  </si>
  <si>
    <t>PROD0010</t>
  </si>
  <si>
    <t>CUST0064</t>
  </si>
  <si>
    <t>PROD0188</t>
  </si>
  <si>
    <t>CUST0065</t>
  </si>
  <si>
    <t>PROD0042</t>
  </si>
  <si>
    <t>CUST0066</t>
  </si>
  <si>
    <t>CUST0067</t>
  </si>
  <si>
    <t>PROD0077</t>
  </si>
  <si>
    <t>CUST0068</t>
  </si>
  <si>
    <t>PROD0105</t>
  </si>
  <si>
    <t>CUST0069</t>
  </si>
  <si>
    <t>PROD0118</t>
  </si>
  <si>
    <t>CUST0070</t>
  </si>
  <si>
    <t>CUST0071</t>
  </si>
  <si>
    <t>CUST0072</t>
  </si>
  <si>
    <t>PROD0165</t>
  </si>
  <si>
    <t>CUST0073</t>
  </si>
  <si>
    <t>PROD0022</t>
  </si>
  <si>
    <t>CUST0074</t>
  </si>
  <si>
    <t>PROD0185</t>
  </si>
  <si>
    <t>CUST0075</t>
  </si>
  <si>
    <t>CUST0076</t>
  </si>
  <si>
    <t>CUST0077</t>
  </si>
  <si>
    <t>PROD0041</t>
  </si>
  <si>
    <t>CUST0078</t>
  </si>
  <si>
    <t>PROD0080</t>
  </si>
  <si>
    <t>CUST0079</t>
  </si>
  <si>
    <t>PROD0162</t>
  </si>
  <si>
    <t>CUST0080</t>
  </si>
  <si>
    <t>PROD0160</t>
  </si>
  <si>
    <t>CUST0081</t>
  </si>
  <si>
    <t>PROD0089</t>
  </si>
  <si>
    <t>CUST0082</t>
  </si>
  <si>
    <t>PROD0066</t>
  </si>
  <si>
    <t>CUST0083</t>
  </si>
  <si>
    <t>CUST0084</t>
  </si>
  <si>
    <t>PROD0168</t>
  </si>
  <si>
    <t>CUST0085</t>
  </si>
  <si>
    <t>PROD0073</t>
  </si>
  <si>
    <t>CUST0086</t>
  </si>
  <si>
    <t>PROD0076</t>
  </si>
  <si>
    <t>CUST0087</t>
  </si>
  <si>
    <t>PROD0090</t>
  </si>
  <si>
    <t>CUST0088</t>
  </si>
  <si>
    <t>CUST0089</t>
  </si>
  <si>
    <t>CUST0090</t>
  </si>
  <si>
    <t>PROD0176</t>
  </si>
  <si>
    <t>CUST0091</t>
  </si>
  <si>
    <t>PROD0020</t>
  </si>
  <si>
    <t>CUST0092</t>
  </si>
  <si>
    <t>PROD0039</t>
  </si>
  <si>
    <t>CUST0093</t>
  </si>
  <si>
    <t>CUST0094</t>
  </si>
  <si>
    <t>CUST0095</t>
  </si>
  <si>
    <t>CUST0096</t>
  </si>
  <si>
    <t>PROD0179</t>
  </si>
  <si>
    <t>CUST0097</t>
  </si>
  <si>
    <t>PROD0124</t>
  </si>
  <si>
    <t>CUST0098</t>
  </si>
  <si>
    <t>PROD0164</t>
  </si>
  <si>
    <t>CUST0099</t>
  </si>
  <si>
    <t>PROD0152</t>
  </si>
  <si>
    <t>CUST0100</t>
  </si>
  <si>
    <t>PROD0155</t>
  </si>
  <si>
    <t>CUST0101</t>
  </si>
  <si>
    <t>CUST0102</t>
  </si>
  <si>
    <t>CUST0103</t>
  </si>
  <si>
    <t>PROD0057</t>
  </si>
  <si>
    <t>CUST0104</t>
  </si>
  <si>
    <t>PROD0078</t>
  </si>
  <si>
    <t>CUST0105</t>
  </si>
  <si>
    <t>CUST0106</t>
  </si>
  <si>
    <t>PROD0029</t>
  </si>
  <si>
    <t>CUST0107</t>
  </si>
  <si>
    <t>PROD0015</t>
  </si>
  <si>
    <t>CUST0108</t>
  </si>
  <si>
    <t>CUST0109</t>
  </si>
  <si>
    <t>PROD0101</t>
  </si>
  <si>
    <t>CUST0110</t>
  </si>
  <si>
    <t>PROD0156</t>
  </si>
  <si>
    <t>CUST0111</t>
  </si>
  <si>
    <t>CUST0112</t>
  </si>
  <si>
    <t>CUST0113</t>
  </si>
  <si>
    <t>PROD0103</t>
  </si>
  <si>
    <t>CUST0114</t>
  </si>
  <si>
    <t>CUST0115</t>
  </si>
  <si>
    <t>PROD0149</t>
  </si>
  <si>
    <t>CUST0116</t>
  </si>
  <si>
    <t>CUST0117</t>
  </si>
  <si>
    <t>PROD0110</t>
  </si>
  <si>
    <t>CUST0118</t>
  </si>
  <si>
    <t>CUST0119</t>
  </si>
  <si>
    <t>CUST0120</t>
  </si>
  <si>
    <t>PROD0146</t>
  </si>
  <si>
    <t>CUST0121</t>
  </si>
  <si>
    <t>PROD0142</t>
  </si>
  <si>
    <t>CUST0122</t>
  </si>
  <si>
    <t>CUST0123</t>
  </si>
  <si>
    <t>PROD0128</t>
  </si>
  <si>
    <t>CUST0124</t>
  </si>
  <si>
    <t>PROD0058</t>
  </si>
  <si>
    <t>CUST0125</t>
  </si>
  <si>
    <t>CUST0126</t>
  </si>
  <si>
    <t>PROD0150</t>
  </si>
  <si>
    <t>CUST0127</t>
  </si>
  <si>
    <t>PROD0198</t>
  </si>
  <si>
    <t>CUST0128</t>
  </si>
  <si>
    <t>PROD0036</t>
  </si>
  <si>
    <t>CUST0129</t>
  </si>
  <si>
    <t>PROD0173</t>
  </si>
  <si>
    <t>CUST0130</t>
  </si>
  <si>
    <t>CUST0131</t>
  </si>
  <si>
    <t>CUST0132</t>
  </si>
  <si>
    <t>PROD0127</t>
  </si>
  <si>
    <t>CUST0133</t>
  </si>
  <si>
    <t>CUST0134</t>
  </si>
  <si>
    <t>PROD0189</t>
  </si>
  <si>
    <t>CUST0135</t>
  </si>
  <si>
    <t>PROD0100</t>
  </si>
  <si>
    <t>CUST0136</t>
  </si>
  <si>
    <t>PROD0184</t>
  </si>
  <si>
    <t>CUST0137</t>
  </si>
  <si>
    <t>CUST0138</t>
  </si>
  <si>
    <t>PROD0161</t>
  </si>
  <si>
    <t>CUST0139</t>
  </si>
  <si>
    <t>CUST0140</t>
  </si>
  <si>
    <t>CUST0141</t>
  </si>
  <si>
    <t>PROD0148</t>
  </si>
  <si>
    <t>CUST0142</t>
  </si>
  <si>
    <t>PROD0018</t>
  </si>
  <si>
    <t>CUST0143</t>
  </si>
  <si>
    <t>PROD0038</t>
  </si>
  <si>
    <t>CUST0144</t>
  </si>
  <si>
    <t>CUST0145</t>
  </si>
  <si>
    <t>PROD0151</t>
  </si>
  <si>
    <t>CUST0146</t>
  </si>
  <si>
    <t>PROD0109</t>
  </si>
  <si>
    <t>CUST0147</t>
  </si>
  <si>
    <t>PROD0123</t>
  </si>
  <si>
    <t>CUST0148</t>
  </si>
  <si>
    <t>CUST0149</t>
  </si>
  <si>
    <t>CUST0150</t>
  </si>
  <si>
    <t>PROD0197</t>
  </si>
  <si>
    <t>CUST0151</t>
  </si>
  <si>
    <t>PROD0196</t>
  </si>
  <si>
    <t>CUST0152</t>
  </si>
  <si>
    <t>CUST0153</t>
  </si>
  <si>
    <t>PROD0104</t>
  </si>
  <si>
    <t>CUST0154</t>
  </si>
  <si>
    <t>CUST0155</t>
  </si>
  <si>
    <t>CUST0156</t>
  </si>
  <si>
    <t>CUST0157</t>
  </si>
  <si>
    <t>PROD0081</t>
  </si>
  <si>
    <t>CUST0158</t>
  </si>
  <si>
    <t>PROD0087</t>
  </si>
  <si>
    <t>CUST0159</t>
  </si>
  <si>
    <t>CUST0160</t>
  </si>
  <si>
    <t>PROD0061</t>
  </si>
  <si>
    <t>CUST0161</t>
  </si>
  <si>
    <t>CUST0162</t>
  </si>
  <si>
    <t>CUST0163</t>
  </si>
  <si>
    <t>PROD0032</t>
  </si>
  <si>
    <t>CUST0164</t>
  </si>
  <si>
    <t>CUST0165</t>
  </si>
  <si>
    <t>PROD0044</t>
  </si>
  <si>
    <t>CUST0166</t>
  </si>
  <si>
    <t>PROD0145</t>
  </si>
  <si>
    <t>CUST0167</t>
  </si>
  <si>
    <t>PROD0169</t>
  </si>
  <si>
    <t>CUST0168</t>
  </si>
  <si>
    <t>PROD0054</t>
  </si>
  <si>
    <t>CUST0169</t>
  </si>
  <si>
    <t>CUST0170</t>
  </si>
  <si>
    <t>PROD0098</t>
  </si>
  <si>
    <t>CUST0171</t>
  </si>
  <si>
    <t>PROD0005</t>
  </si>
  <si>
    <t>CUST0172</t>
  </si>
  <si>
    <t>CUST0173</t>
  </si>
  <si>
    <t>CUST0174</t>
  </si>
  <si>
    <t>CUST0175</t>
  </si>
  <si>
    <t>CUST0176</t>
  </si>
  <si>
    <t>CUST0177</t>
  </si>
  <si>
    <t>CUST0178</t>
  </si>
  <si>
    <t>PROD0079</t>
  </si>
  <si>
    <t>CUST0179</t>
  </si>
  <si>
    <t>PROD0043</t>
  </si>
  <si>
    <t>CUST0180</t>
  </si>
  <si>
    <t>PROD0097</t>
  </si>
  <si>
    <t>CUST0181</t>
  </si>
  <si>
    <t>PROD0031</t>
  </si>
  <si>
    <t>CUST0182</t>
  </si>
  <si>
    <t>PROD0099</t>
  </si>
  <si>
    <t>CUST0183</t>
  </si>
  <si>
    <t>CUST0184</t>
  </si>
  <si>
    <t>PROD0083</t>
  </si>
  <si>
    <t>CUST0185</t>
  </si>
  <si>
    <t>CUST0186</t>
  </si>
  <si>
    <t>CUST0187</t>
  </si>
  <si>
    <t>PROD0190</t>
  </si>
  <si>
    <t>CUST0188</t>
  </si>
  <si>
    <t>CUST0189</t>
  </si>
  <si>
    <t>CUST0190</t>
  </si>
  <si>
    <t>PROD0141</t>
  </si>
  <si>
    <t>CUST0191</t>
  </si>
  <si>
    <t>PROD0035</t>
  </si>
  <si>
    <t>CUST0192</t>
  </si>
  <si>
    <t>PROD0133</t>
  </si>
  <si>
    <t>CUST0193</t>
  </si>
  <si>
    <t>CUST0194</t>
  </si>
  <si>
    <t>PROD0070</t>
  </si>
  <si>
    <t>CUST0195</t>
  </si>
  <si>
    <t>PROD0153</t>
  </si>
  <si>
    <t>CUST0196</t>
  </si>
  <si>
    <t>CUST0197</t>
  </si>
  <si>
    <t>CUST0198</t>
  </si>
  <si>
    <t>CUST0199</t>
  </si>
  <si>
    <t>CUST0200</t>
  </si>
  <si>
    <t>PROD0069</t>
  </si>
  <si>
    <t>CUST0201</t>
  </si>
  <si>
    <t>CUST0202</t>
  </si>
  <si>
    <t>PROD0072</t>
  </si>
  <si>
    <t>CUST0203</t>
  </si>
  <si>
    <t>CUST0204</t>
  </si>
  <si>
    <t>PROD0172</t>
  </si>
  <si>
    <t>CUST0205</t>
  </si>
  <si>
    <t>CUST0206</t>
  </si>
  <si>
    <t>CUST0207</t>
  </si>
  <si>
    <t>CUST0208</t>
  </si>
  <si>
    <t>CUST0209</t>
  </si>
  <si>
    <t>CUST0210</t>
  </si>
  <si>
    <t>CUST0211</t>
  </si>
  <si>
    <t>PROD0157</t>
  </si>
  <si>
    <t>CUST0212</t>
  </si>
  <si>
    <t>CUST0213</t>
  </si>
  <si>
    <t>CUST0214</t>
  </si>
  <si>
    <t>CUST0215</t>
  </si>
  <si>
    <t>CUST0216</t>
  </si>
  <si>
    <t>CUST0217</t>
  </si>
  <si>
    <t>CUST0218</t>
  </si>
  <si>
    <t>PROD0193</t>
  </si>
  <si>
    <t>CUST0219</t>
  </si>
  <si>
    <t>CUST0220</t>
  </si>
  <si>
    <t>CUST0221</t>
  </si>
  <si>
    <t>CUST0222</t>
  </si>
  <si>
    <t>CUST0223</t>
  </si>
  <si>
    <t>CUST0224</t>
  </si>
  <si>
    <t>CUST0225</t>
  </si>
  <si>
    <t>CUST0226</t>
  </si>
  <si>
    <t>CUST0227</t>
  </si>
  <si>
    <t>CUST0228</t>
  </si>
  <si>
    <t>CUST0229</t>
  </si>
  <si>
    <t>PROD0008</t>
  </si>
  <si>
    <t>CUST0230</t>
  </si>
  <si>
    <t>CUST0231</t>
  </si>
  <si>
    <t>PROD0112</t>
  </si>
  <si>
    <t>CUST0232</t>
  </si>
  <si>
    <t>CUST0233</t>
  </si>
  <si>
    <t>CUST0234</t>
  </si>
  <si>
    <t>PROD0131</t>
  </si>
  <si>
    <t>CUST0235</t>
  </si>
  <si>
    <t>CUST0236</t>
  </si>
  <si>
    <t>PROD0163</t>
  </si>
  <si>
    <t>CUST0237</t>
  </si>
  <si>
    <t>CUST0238</t>
  </si>
  <si>
    <t>CUST0239</t>
  </si>
  <si>
    <t>CUST0240</t>
  </si>
  <si>
    <t>CUST0241</t>
  </si>
  <si>
    <t>CUST0242</t>
  </si>
  <si>
    <t>CUST0243</t>
  </si>
  <si>
    <t>CUST0244</t>
  </si>
  <si>
    <t>CUST0245</t>
  </si>
  <si>
    <t>PROD0102</t>
  </si>
  <si>
    <t>CUST0246</t>
  </si>
  <si>
    <t>CUST0247</t>
  </si>
  <si>
    <t>CUST0248</t>
  </si>
  <si>
    <t>CUST0249</t>
  </si>
  <si>
    <t>CUST0250</t>
  </si>
  <si>
    <t>CUST0251</t>
  </si>
  <si>
    <t>CUST0252</t>
  </si>
  <si>
    <t>PROD0086</t>
  </si>
  <si>
    <t>CUST0253</t>
  </si>
  <si>
    <t>PROD0052</t>
  </si>
  <si>
    <t>CUST0254</t>
  </si>
  <si>
    <t>CUST0255</t>
  </si>
  <si>
    <t>CUST0256</t>
  </si>
  <si>
    <t>CUST0257</t>
  </si>
  <si>
    <t>CUST0258</t>
  </si>
  <si>
    <t>CUST0259</t>
  </si>
  <si>
    <t>CUST0260</t>
  </si>
  <si>
    <t>CUST0261</t>
  </si>
  <si>
    <t>PROD0115</t>
  </si>
  <si>
    <t>CUST0262</t>
  </si>
  <si>
    <t>PROD0026</t>
  </si>
  <si>
    <t>CUST0263</t>
  </si>
  <si>
    <t>CUST0264</t>
  </si>
  <si>
    <t>CUST0265</t>
  </si>
  <si>
    <t>CUST0266</t>
  </si>
  <si>
    <t>CUST0267</t>
  </si>
  <si>
    <t>PROD0137</t>
  </si>
  <si>
    <t>CUST0268</t>
  </si>
  <si>
    <t>CUST0269</t>
  </si>
  <si>
    <t>CUST0270</t>
  </si>
  <si>
    <t>CUST0271</t>
  </si>
  <si>
    <t>CUST0272</t>
  </si>
  <si>
    <t>CUST0273</t>
  </si>
  <si>
    <t>PROD0183</t>
  </si>
  <si>
    <t>CUST0274</t>
  </si>
  <si>
    <t>PROD0011</t>
  </si>
  <si>
    <t>CUST0275</t>
  </si>
  <si>
    <t>CUST0276</t>
  </si>
  <si>
    <t>CUST0277</t>
  </si>
  <si>
    <t>CUST0278</t>
  </si>
  <si>
    <t>CUST0279</t>
  </si>
  <si>
    <t>CUST0280</t>
  </si>
  <si>
    <t>CUST0281</t>
  </si>
  <si>
    <t>CUST0282</t>
  </si>
  <si>
    <t>CUST0283</t>
  </si>
  <si>
    <t>PROD0192</t>
  </si>
  <si>
    <t>CUST0284</t>
  </si>
  <si>
    <t>PROD0134</t>
  </si>
  <si>
    <t>CUST0285</t>
  </si>
  <si>
    <t>PROD0174</t>
  </si>
  <si>
    <t>CUST0286</t>
  </si>
  <si>
    <t>CUST0287</t>
  </si>
  <si>
    <t>CUST0288</t>
  </si>
  <si>
    <t>PROD0170</t>
  </si>
  <si>
    <t>CUST0289</t>
  </si>
  <si>
    <t>CUST0290</t>
  </si>
  <si>
    <t>CUST0291</t>
  </si>
  <si>
    <t>CUST0292</t>
  </si>
  <si>
    <t>CUST0293</t>
  </si>
  <si>
    <t>CUST0294</t>
  </si>
  <si>
    <t>CUST0295</t>
  </si>
  <si>
    <t>PROD0175</t>
  </si>
  <si>
    <t>CUST0296</t>
  </si>
  <si>
    <t>PROD0120</t>
  </si>
  <si>
    <t>CUST0297</t>
  </si>
  <si>
    <t>PROD0007</t>
  </si>
  <si>
    <t>CUST0298</t>
  </si>
  <si>
    <t>CUST0299</t>
  </si>
  <si>
    <t>CUST0300</t>
  </si>
  <si>
    <t>CUST0301</t>
  </si>
  <si>
    <t>PROD0068</t>
  </si>
  <si>
    <t>CUST0302</t>
  </si>
  <si>
    <t>CUST0303</t>
  </si>
  <si>
    <t>CUST0304</t>
  </si>
  <si>
    <t>CUST0305</t>
  </si>
  <si>
    <t>CUST0306</t>
  </si>
  <si>
    <t>CUST0307</t>
  </si>
  <si>
    <t>CUST0308</t>
  </si>
  <si>
    <t>CUST0309</t>
  </si>
  <si>
    <t>PROD0051</t>
  </si>
  <si>
    <t>CUST0310</t>
  </si>
  <si>
    <t>PROD0117</t>
  </si>
  <si>
    <t>CUST0311</t>
  </si>
  <si>
    <t>CUST0312</t>
  </si>
  <si>
    <t>CUST0313</t>
  </si>
  <si>
    <t>PROD0053</t>
  </si>
  <si>
    <t>CUST0314</t>
  </si>
  <si>
    <t>CUST0315</t>
  </si>
  <si>
    <t>PROD0121</t>
  </si>
  <si>
    <t>CUST0316</t>
  </si>
  <si>
    <t>PROD0013</t>
  </si>
  <si>
    <t>CUST0317</t>
  </si>
  <si>
    <t>CUST0318</t>
  </si>
  <si>
    <t>CUST0319</t>
  </si>
  <si>
    <t>CUST0320</t>
  </si>
  <si>
    <t>CUST0321</t>
  </si>
  <si>
    <t>CUST0322</t>
  </si>
  <si>
    <t>CUST0323</t>
  </si>
  <si>
    <t>CUST0324</t>
  </si>
  <si>
    <t>CUST0325</t>
  </si>
  <si>
    <t>CUST0326</t>
  </si>
  <si>
    <t>CUST0327</t>
  </si>
  <si>
    <t>CUST0328</t>
  </si>
  <si>
    <t>CUST0329</t>
  </si>
  <si>
    <t>PROD0122</t>
  </si>
  <si>
    <t>CUST0330</t>
  </si>
  <si>
    <t>CUST0331</t>
  </si>
  <si>
    <t>CUST0332</t>
  </si>
  <si>
    <t>CUST0333</t>
  </si>
  <si>
    <t>CUST0334</t>
  </si>
  <si>
    <t>PROD0023</t>
  </si>
  <si>
    <t>CUST0335</t>
  </si>
  <si>
    <t>CUST0336</t>
  </si>
  <si>
    <t>CUST0337</t>
  </si>
  <si>
    <t>CUST0338</t>
  </si>
  <si>
    <t>CUST0339</t>
  </si>
  <si>
    <t>CUST0340</t>
  </si>
  <si>
    <t>CUST0341</t>
  </si>
  <si>
    <t>CUST0342</t>
  </si>
  <si>
    <t>CUST0343</t>
  </si>
  <si>
    <t>CUST0344</t>
  </si>
  <si>
    <t>PROD0014</t>
  </si>
  <si>
    <t>CUST0345</t>
  </si>
  <si>
    <t>CUST0346</t>
  </si>
  <si>
    <t>CUST0347</t>
  </si>
  <si>
    <t>CUST0348</t>
  </si>
  <si>
    <t>CUST0349</t>
  </si>
  <si>
    <t>CUST0350</t>
  </si>
  <si>
    <t>CUST0351</t>
  </si>
  <si>
    <t>PROD0158</t>
  </si>
  <si>
    <t>CUST0352</t>
  </si>
  <si>
    <t>PROD0093</t>
  </si>
  <si>
    <t>CUST0353</t>
  </si>
  <si>
    <t>CUST0354</t>
  </si>
  <si>
    <t>CUST0355</t>
  </si>
  <si>
    <t>CUST0356</t>
  </si>
  <si>
    <t>CUST0357</t>
  </si>
  <si>
    <t>CUST0358</t>
  </si>
  <si>
    <t>CUST0359</t>
  </si>
  <si>
    <t>CUST0360</t>
  </si>
  <si>
    <t>CUST0361</t>
  </si>
  <si>
    <t>PROD0064</t>
  </si>
  <si>
    <t>CUST0362</t>
  </si>
  <si>
    <t>CUST0363</t>
  </si>
  <si>
    <t>CUST0364</t>
  </si>
  <si>
    <t>CUST0365</t>
  </si>
  <si>
    <t>CUST0366</t>
  </si>
  <si>
    <t>CUST0367</t>
  </si>
  <si>
    <t>CUST0368</t>
  </si>
  <si>
    <t>CUST0369</t>
  </si>
  <si>
    <t>PROD0074</t>
  </si>
  <si>
    <t>CUST0370</t>
  </si>
  <si>
    <t>CUST0371</t>
  </si>
  <si>
    <t>CUST0372</t>
  </si>
  <si>
    <t>PROD0135</t>
  </si>
  <si>
    <t>CUST0373</t>
  </si>
  <si>
    <t>CUST0374</t>
  </si>
  <si>
    <t>CUST0375</t>
  </si>
  <si>
    <t>CUST0376</t>
  </si>
  <si>
    <t>CUST0377</t>
  </si>
  <si>
    <t>PROD0001</t>
  </si>
  <si>
    <t>CUST0378</t>
  </si>
  <si>
    <t>CUST0379</t>
  </si>
  <si>
    <t>CUST0380</t>
  </si>
  <si>
    <t>CUST0381</t>
  </si>
  <si>
    <t>CUST0382</t>
  </si>
  <si>
    <t>CUST0383</t>
  </si>
  <si>
    <t>PROD0132</t>
  </si>
  <si>
    <t>CUST0384</t>
  </si>
  <si>
    <t>CUST0385</t>
  </si>
  <si>
    <t>CUST0386</t>
  </si>
  <si>
    <t>CUST0387</t>
  </si>
  <si>
    <t>CUST0388</t>
  </si>
  <si>
    <t>PROD0178</t>
  </si>
  <si>
    <t>CUST0389</t>
  </si>
  <si>
    <t>CUST0390</t>
  </si>
  <si>
    <t>CUST0391</t>
  </si>
  <si>
    <t>CUST0392</t>
  </si>
  <si>
    <t>CUST0393</t>
  </si>
  <si>
    <t>CUST0394</t>
  </si>
  <si>
    <t>CUST0395</t>
  </si>
  <si>
    <t>CUST0396</t>
  </si>
  <si>
    <t>CUST0397</t>
  </si>
  <si>
    <t>CUST0398</t>
  </si>
  <si>
    <t>CUST0399</t>
  </si>
  <si>
    <t>CUST0400</t>
  </si>
  <si>
    <t>CUST0401</t>
  </si>
  <si>
    <t>CUST0402</t>
  </si>
  <si>
    <t>CUST0403</t>
  </si>
  <si>
    <t>CUST0404</t>
  </si>
  <si>
    <t>CUST0405</t>
  </si>
  <si>
    <t>CUST0406</t>
  </si>
  <si>
    <t>CUST0407</t>
  </si>
  <si>
    <t>CUST0408</t>
  </si>
  <si>
    <t>CUST0409</t>
  </si>
  <si>
    <t>CUST0410</t>
  </si>
  <si>
    <t>CUST0411</t>
  </si>
  <si>
    <t>CUST0412</t>
  </si>
  <si>
    <t>CUST0413</t>
  </si>
  <si>
    <t>PROD0048</t>
  </si>
  <si>
    <t>CUST0414</t>
  </si>
  <si>
    <t>CUST0415</t>
  </si>
  <si>
    <t>CUST0416</t>
  </si>
  <si>
    <t>CUST0417</t>
  </si>
  <si>
    <t>CUST0418</t>
  </si>
  <si>
    <t>CUST0419</t>
  </si>
  <si>
    <t>CUST0420</t>
  </si>
  <si>
    <t>CUST0421</t>
  </si>
  <si>
    <t>CUST0422</t>
  </si>
  <si>
    <t>CUST0423</t>
  </si>
  <si>
    <t>CUST0424</t>
  </si>
  <si>
    <t>CUST0425</t>
  </si>
  <si>
    <t>CUST0426</t>
  </si>
  <si>
    <t>CUST0427</t>
  </si>
  <si>
    <t>CUST0428</t>
  </si>
  <si>
    <t>CUST0429</t>
  </si>
  <si>
    <t>CUST0430</t>
  </si>
  <si>
    <t>CUST0431</t>
  </si>
  <si>
    <t>PROD0186</t>
  </si>
  <si>
    <t>CUST0432</t>
  </si>
  <si>
    <t>CUST0433</t>
  </si>
  <si>
    <t>CUST0434</t>
  </si>
  <si>
    <t>CUST0435</t>
  </si>
  <si>
    <t>CUST0436</t>
  </si>
  <si>
    <t>CUST0437</t>
  </si>
  <si>
    <t>CUST0438</t>
  </si>
  <si>
    <t>CUST0439</t>
  </si>
  <si>
    <t>CUST0440</t>
  </si>
  <si>
    <t>CUST0441</t>
  </si>
  <si>
    <t>CUST0442</t>
  </si>
  <si>
    <t>CUST0443</t>
  </si>
  <si>
    <t>CUST0444</t>
  </si>
  <si>
    <t>CUST0445</t>
  </si>
  <si>
    <t>CUST0446</t>
  </si>
  <si>
    <t>CUST0447</t>
  </si>
  <si>
    <t>PROD0033</t>
  </si>
  <si>
    <t>CUST0448</t>
  </si>
  <si>
    <t>CUST0449</t>
  </si>
  <si>
    <t>CUST0450</t>
  </si>
  <si>
    <t>PROD0094</t>
  </si>
  <si>
    <t>CUST0451</t>
  </si>
  <si>
    <t>CUST0452</t>
  </si>
  <si>
    <t>CUST0453</t>
  </si>
  <si>
    <t>CUST0454</t>
  </si>
  <si>
    <t>CUST0455</t>
  </si>
  <si>
    <t>CUST0456</t>
  </si>
  <si>
    <t>CUST0457</t>
  </si>
  <si>
    <t>CUST0458</t>
  </si>
  <si>
    <t>CUST0459</t>
  </si>
  <si>
    <t>CUST0460</t>
  </si>
  <si>
    <t>CUST0461</t>
  </si>
  <si>
    <t>PROD0002</t>
  </si>
  <si>
    <t>CUST0462</t>
  </si>
  <si>
    <t>PROD0180</t>
  </si>
  <si>
    <t>CUST0463</t>
  </si>
  <si>
    <t>CUST0464</t>
  </si>
  <si>
    <t>CUST0465</t>
  </si>
  <si>
    <t>CUST0466</t>
  </si>
  <si>
    <t>CUST0467</t>
  </si>
  <si>
    <t>PROD0003</t>
  </si>
  <si>
    <t>CUST0468</t>
  </si>
  <si>
    <t>CUST0469</t>
  </si>
  <si>
    <t>CUST0470</t>
  </si>
  <si>
    <t>CUST0471</t>
  </si>
  <si>
    <t>CUST0472</t>
  </si>
  <si>
    <t>CUST0473</t>
  </si>
  <si>
    <t>CUST0474</t>
  </si>
  <si>
    <t>CUST0475</t>
  </si>
  <si>
    <t>CUST0476</t>
  </si>
  <si>
    <t>CUST0477</t>
  </si>
  <si>
    <t>CUST0478</t>
  </si>
  <si>
    <t>CUST0479</t>
  </si>
  <si>
    <t>CUST0480</t>
  </si>
  <si>
    <t>CUST0481</t>
  </si>
  <si>
    <t>CUST0482</t>
  </si>
  <si>
    <t>CUST0483</t>
  </si>
  <si>
    <t>CUST0484</t>
  </si>
  <si>
    <t>CUST0485</t>
  </si>
  <si>
    <t>CUST0486</t>
  </si>
  <si>
    <t>CUST0487</t>
  </si>
  <si>
    <t>CUST0488</t>
  </si>
  <si>
    <t>CUST0489</t>
  </si>
  <si>
    <t>CUST0490</t>
  </si>
  <si>
    <t>CUST0491</t>
  </si>
  <si>
    <t>CUST0492</t>
  </si>
  <si>
    <t>CUST0493</t>
  </si>
  <si>
    <t>CUST0494</t>
  </si>
  <si>
    <t>PROD0055</t>
  </si>
  <si>
    <t>CUST0495</t>
  </si>
  <si>
    <t>CUST0496</t>
  </si>
  <si>
    <t>CUST0497</t>
  </si>
  <si>
    <t>CUST0498</t>
  </si>
  <si>
    <t>CUST0499</t>
  </si>
  <si>
    <t>CUST0500</t>
  </si>
  <si>
    <t>CUST0501</t>
  </si>
  <si>
    <t>CUST0502</t>
  </si>
  <si>
    <t>PROD0177</t>
  </si>
  <si>
    <t>CUST0503</t>
  </si>
  <si>
    <t>PROD0009</t>
  </si>
  <si>
    <t>CUST0504</t>
  </si>
  <si>
    <t>CUST0505</t>
  </si>
  <si>
    <t>CUST0506</t>
  </si>
  <si>
    <t>CUST0507</t>
  </si>
  <si>
    <t>CUST0508</t>
  </si>
  <si>
    <t>CUST0509</t>
  </si>
  <si>
    <t>CUST0510</t>
  </si>
  <si>
    <t>CUST0511</t>
  </si>
  <si>
    <t>CUST0512</t>
  </si>
  <si>
    <t>CUST0513</t>
  </si>
  <si>
    <t>CUST0514</t>
  </si>
  <si>
    <t>CUST0515</t>
  </si>
  <si>
    <t>CUST0516</t>
  </si>
  <si>
    <t>CUST0517</t>
  </si>
  <si>
    <t>CUST0518</t>
  </si>
  <si>
    <t>CUST0519</t>
  </si>
  <si>
    <t>CUST0520</t>
  </si>
  <si>
    <t>CUST0521</t>
  </si>
  <si>
    <t>CUST0522</t>
  </si>
  <si>
    <t>CUST0523</t>
  </si>
  <si>
    <t>CUST0524</t>
  </si>
  <si>
    <t>CUST0525</t>
  </si>
  <si>
    <t>CUST0526</t>
  </si>
  <si>
    <t>CUST0527</t>
  </si>
  <si>
    <t>PROD0006</t>
  </si>
  <si>
    <t>CUST0528</t>
  </si>
  <si>
    <t>CUST0529</t>
  </si>
  <si>
    <t>CUST0530</t>
  </si>
  <si>
    <t>CUST0531</t>
  </si>
  <si>
    <t>CUST0532</t>
  </si>
  <si>
    <t>CUST0533</t>
  </si>
  <si>
    <t>PROD0147</t>
  </si>
  <si>
    <t>CUST0534</t>
  </si>
  <si>
    <t>PROD0067</t>
  </si>
  <si>
    <t>CUST0535</t>
  </si>
  <si>
    <t>PROD0136</t>
  </si>
  <si>
    <t>CUST0536</t>
  </si>
  <si>
    <t>CUST0537</t>
  </si>
  <si>
    <t>CUST0538</t>
  </si>
  <si>
    <t>CUST0539</t>
  </si>
  <si>
    <t>CUST0540</t>
  </si>
  <si>
    <t>CUST0541</t>
  </si>
  <si>
    <t>CUST0542</t>
  </si>
  <si>
    <t>CUST0543</t>
  </si>
  <si>
    <t>CUST0544</t>
  </si>
  <si>
    <t>PROD0045</t>
  </si>
  <si>
    <t>CUST0545</t>
  </si>
  <si>
    <t>CUST0546</t>
  </si>
  <si>
    <t>CUST0547</t>
  </si>
  <si>
    <t>CUST0548</t>
  </si>
  <si>
    <t>CUST0549</t>
  </si>
  <si>
    <t>CUST0550</t>
  </si>
  <si>
    <t>CUST0551</t>
  </si>
  <si>
    <t>CUST0552</t>
  </si>
  <si>
    <t>CUST0553</t>
  </si>
  <si>
    <t>CUST0554</t>
  </si>
  <si>
    <t>CUST0555</t>
  </si>
  <si>
    <t>CUST0556</t>
  </si>
  <si>
    <t>CUST0557</t>
  </si>
  <si>
    <t>CUST0558</t>
  </si>
  <si>
    <t>CUST0559</t>
  </si>
  <si>
    <t>CUST0560</t>
  </si>
  <si>
    <t>CUST0561</t>
  </si>
  <si>
    <t>CUST0562</t>
  </si>
  <si>
    <t>CUST0563</t>
  </si>
  <si>
    <t>CUST0564</t>
  </si>
  <si>
    <t>CUST0565</t>
  </si>
  <si>
    <t>CUST0566</t>
  </si>
  <si>
    <t>CUST0567</t>
  </si>
  <si>
    <t>CUST0568</t>
  </si>
  <si>
    <t>CUST0569</t>
  </si>
  <si>
    <t>CUST0570</t>
  </si>
  <si>
    <t>CUST0571</t>
  </si>
  <si>
    <t>CUST0572</t>
  </si>
  <si>
    <t>CUST0573</t>
  </si>
  <si>
    <t>CUST0574</t>
  </si>
  <si>
    <t>CUST0575</t>
  </si>
  <si>
    <t>CUST0576</t>
  </si>
  <si>
    <t>CUST0577</t>
  </si>
  <si>
    <t>CUST0578</t>
  </si>
  <si>
    <t>CUST0579</t>
  </si>
  <si>
    <t>CUST0580</t>
  </si>
  <si>
    <t>CUST0581</t>
  </si>
  <si>
    <t>CUST0582</t>
  </si>
  <si>
    <t>CUST0583</t>
  </si>
  <si>
    <t>CUST0584</t>
  </si>
  <si>
    <t>CUST0585</t>
  </si>
  <si>
    <t>CUST0586</t>
  </si>
  <si>
    <t>CUST0587</t>
  </si>
  <si>
    <t>CUST0588</t>
  </si>
  <si>
    <t>CUST0589</t>
  </si>
  <si>
    <t>CUST0590</t>
  </si>
  <si>
    <t>CUST0591</t>
  </si>
  <si>
    <t>PROD0059</t>
  </si>
  <si>
    <t>CUST0592</t>
  </si>
  <si>
    <t>CUST0593</t>
  </si>
  <si>
    <t>PROD0063</t>
  </si>
  <si>
    <t>CUST0594</t>
  </si>
  <si>
    <t>CUST0595</t>
  </si>
  <si>
    <t>CUST0596</t>
  </si>
  <si>
    <t>CUST0597</t>
  </si>
  <si>
    <t>PROD0056</t>
  </si>
  <si>
    <t>CUST0598</t>
  </si>
  <si>
    <t>CUST0599</t>
  </si>
  <si>
    <t>CUST0600</t>
  </si>
  <si>
    <t>CUST0601</t>
  </si>
  <si>
    <t>CUST0602</t>
  </si>
  <si>
    <t>CUST0603</t>
  </si>
  <si>
    <t>CUST0604</t>
  </si>
  <si>
    <t>CUST0605</t>
  </si>
  <si>
    <t>CUST0606</t>
  </si>
  <si>
    <t>CUST0607</t>
  </si>
  <si>
    <t>CUST0608</t>
  </si>
  <si>
    <t>CUST0609</t>
  </si>
  <si>
    <t>CUST0610</t>
  </si>
  <si>
    <t>CUST0611</t>
  </si>
  <si>
    <t>CUST0612</t>
  </si>
  <si>
    <t>CUST0613</t>
  </si>
  <si>
    <t>CUST0614</t>
  </si>
  <si>
    <t>CUST0615</t>
  </si>
  <si>
    <t>CUST0616</t>
  </si>
  <si>
    <t>CUST0617</t>
  </si>
  <si>
    <t>PROD0082</t>
  </si>
  <si>
    <t>CUST0618</t>
  </si>
  <si>
    <t>CUST0619</t>
  </si>
  <si>
    <t>CUST0620</t>
  </si>
  <si>
    <t>CUST0621</t>
  </si>
  <si>
    <t>CUST0622</t>
  </si>
  <si>
    <t>PROD0114</t>
  </si>
  <si>
    <t>CUST0623</t>
  </si>
  <si>
    <t>CUST0624</t>
  </si>
  <si>
    <t>CUST0625</t>
  </si>
  <si>
    <t>CUST0626</t>
  </si>
  <si>
    <t>CUST0627</t>
  </si>
  <si>
    <t>CUST0628</t>
  </si>
  <si>
    <t>CUST0629</t>
  </si>
  <si>
    <t>CUST0630</t>
  </si>
  <si>
    <t>CUST0631</t>
  </si>
  <si>
    <t>CUST0632</t>
  </si>
  <si>
    <t>CUST0633</t>
  </si>
  <si>
    <t>CUST0634</t>
  </si>
  <si>
    <t>CUST0635</t>
  </si>
  <si>
    <t>CUST0636</t>
  </si>
  <si>
    <t>CUST0637</t>
  </si>
  <si>
    <t>CUST0638</t>
  </si>
  <si>
    <t>CUST0639</t>
  </si>
  <si>
    <t>CUST0640</t>
  </si>
  <si>
    <t>CUST0641</t>
  </si>
  <si>
    <t>CUST0642</t>
  </si>
  <si>
    <t>CUST0643</t>
  </si>
  <si>
    <t>CUST0644</t>
  </si>
  <si>
    <t>CUST0645</t>
  </si>
  <si>
    <t>CUST0646</t>
  </si>
  <si>
    <t>CUST0647</t>
  </si>
  <si>
    <t>CUST0648</t>
  </si>
  <si>
    <t>CUST0649</t>
  </si>
  <si>
    <t>CUST0650</t>
  </si>
  <si>
    <t>CUST0651</t>
  </si>
  <si>
    <t>CUST0652</t>
  </si>
  <si>
    <t>CUST0653</t>
  </si>
  <si>
    <t>CUST0654</t>
  </si>
  <si>
    <t>CUST0655</t>
  </si>
  <si>
    <t>PROD0126</t>
  </si>
  <si>
    <t>CUST0656</t>
  </si>
  <si>
    <t>CUST0657</t>
  </si>
  <si>
    <t>PROD0037</t>
  </si>
  <si>
    <t>CUST0658</t>
  </si>
  <si>
    <t>CUST0659</t>
  </si>
  <si>
    <t>CUST0660</t>
  </si>
  <si>
    <t>CUST0661</t>
  </si>
  <si>
    <t>CUST0662</t>
  </si>
  <si>
    <t>CUST0663</t>
  </si>
  <si>
    <t>CUST0664</t>
  </si>
  <si>
    <t>CUST0665</t>
  </si>
  <si>
    <t>CUST0666</t>
  </si>
  <si>
    <t>CUST0667</t>
  </si>
  <si>
    <t>CUST0668</t>
  </si>
  <si>
    <t>CUST0669</t>
  </si>
  <si>
    <t>CUST0670</t>
  </si>
  <si>
    <t>CUST0671</t>
  </si>
  <si>
    <t>CUST0672</t>
  </si>
  <si>
    <t>CUST0673</t>
  </si>
  <si>
    <t>CUST0674</t>
  </si>
  <si>
    <t>CUST0675</t>
  </si>
  <si>
    <t>CUST0676</t>
  </si>
  <si>
    <t>CUST0677</t>
  </si>
  <si>
    <t>CUST0678</t>
  </si>
  <si>
    <t>CUST0679</t>
  </si>
  <si>
    <t>CUST0680</t>
  </si>
  <si>
    <t>CUST0681</t>
  </si>
  <si>
    <t>CUST0682</t>
  </si>
  <si>
    <t>CUST0683</t>
  </si>
  <si>
    <t>CUST0684</t>
  </si>
  <si>
    <t>CUST0685</t>
  </si>
  <si>
    <t>CUST0686</t>
  </si>
  <si>
    <t>CUST0687</t>
  </si>
  <si>
    <t>CUST0688</t>
  </si>
  <si>
    <t>CUST0689</t>
  </si>
  <si>
    <t>CUST0690</t>
  </si>
  <si>
    <t>CUST0691</t>
  </si>
  <si>
    <t>CUST0692</t>
  </si>
  <si>
    <t>CUST0693</t>
  </si>
  <si>
    <t>CUST0694</t>
  </si>
  <si>
    <t>CUST0695</t>
  </si>
  <si>
    <t>CUST0696</t>
  </si>
  <si>
    <t>CUST0697</t>
  </si>
  <si>
    <t>CUST0698</t>
  </si>
  <si>
    <t>CUST0699</t>
  </si>
  <si>
    <t>CUST0700</t>
  </si>
  <si>
    <t>PROD0091</t>
  </si>
  <si>
    <t>CUST0701</t>
  </si>
  <si>
    <t>CUST0702</t>
  </si>
  <si>
    <t>CUST0703</t>
  </si>
  <si>
    <t>CUST0704</t>
  </si>
  <si>
    <t>CUST0705</t>
  </si>
  <si>
    <t>CUST0706</t>
  </si>
  <si>
    <t>CUST0707</t>
  </si>
  <si>
    <t>CUST0708</t>
  </si>
  <si>
    <t>CUST0709</t>
  </si>
  <si>
    <t>CUST0710</t>
  </si>
  <si>
    <t>CUST0711</t>
  </si>
  <si>
    <t>CUST0712</t>
  </si>
  <si>
    <t>CUST0713</t>
  </si>
  <si>
    <t>CUST0714</t>
  </si>
  <si>
    <t>CUST0715</t>
  </si>
  <si>
    <t>CUST0716</t>
  </si>
  <si>
    <t>CUST0717</t>
  </si>
  <si>
    <t>CUST0718</t>
  </si>
  <si>
    <t>CUST0719</t>
  </si>
  <si>
    <t>CUST0720</t>
  </si>
  <si>
    <t>PROD0021</t>
  </si>
  <si>
    <t>CUST0721</t>
  </si>
  <si>
    <t>CUST0722</t>
  </si>
  <si>
    <t>CUST0723</t>
  </si>
  <si>
    <t>CUST0724</t>
  </si>
  <si>
    <t>CUST0725</t>
  </si>
  <si>
    <t>CUST0726</t>
  </si>
  <si>
    <t>CUST0727</t>
  </si>
  <si>
    <t>CUST0728</t>
  </si>
  <si>
    <t>CUST0729</t>
  </si>
  <si>
    <t>CUST0730</t>
  </si>
  <si>
    <t>CUST0731</t>
  </si>
  <si>
    <t>CUST0732</t>
  </si>
  <si>
    <t>CUST0733</t>
  </si>
  <si>
    <t>CUST0734</t>
  </si>
  <si>
    <t>CUST0735</t>
  </si>
  <si>
    <t>CUST0736</t>
  </si>
  <si>
    <t>CUST0737</t>
  </si>
  <si>
    <t>CUST0738</t>
  </si>
  <si>
    <t>CUST0739</t>
  </si>
  <si>
    <t>CUST0740</t>
  </si>
  <si>
    <t>CUST0741</t>
  </si>
  <si>
    <t>CUST0742</t>
  </si>
  <si>
    <t>CUST0743</t>
  </si>
  <si>
    <t>CUST0744</t>
  </si>
  <si>
    <t>CUST0745</t>
  </si>
  <si>
    <t>CUST0746</t>
  </si>
  <si>
    <t>CUST0747</t>
  </si>
  <si>
    <t>CUST0748</t>
  </si>
  <si>
    <t>CUST0749</t>
  </si>
  <si>
    <t>CUST0750</t>
  </si>
  <si>
    <t>CUST0751</t>
  </si>
  <si>
    <t>CUST0752</t>
  </si>
  <si>
    <t>CUST0753</t>
  </si>
  <si>
    <t>CUST0754</t>
  </si>
  <si>
    <t>CUST0755</t>
  </si>
  <si>
    <t>CUST0756</t>
  </si>
  <si>
    <t>CUST0757</t>
  </si>
  <si>
    <t>CUST0758</t>
  </si>
  <si>
    <t>CUST0759</t>
  </si>
  <si>
    <t>CUST0760</t>
  </si>
  <si>
    <t>CUST0761</t>
  </si>
  <si>
    <t>CUST0762</t>
  </si>
  <si>
    <t>CUST0763</t>
  </si>
  <si>
    <t>CUST0764</t>
  </si>
  <si>
    <t>CUST0765</t>
  </si>
  <si>
    <t>CUST0766</t>
  </si>
  <si>
    <t>CUST0767</t>
  </si>
  <si>
    <t>CUST0768</t>
  </si>
  <si>
    <t>CUST0769</t>
  </si>
  <si>
    <t>CUST0770</t>
  </si>
  <si>
    <t>CUST0771</t>
  </si>
  <si>
    <t>CUST0772</t>
  </si>
  <si>
    <t>CUST0773</t>
  </si>
  <si>
    <t>CUST0774</t>
  </si>
  <si>
    <t>CUST0775</t>
  </si>
  <si>
    <t>CUST0776</t>
  </si>
  <si>
    <t>CUST0777</t>
  </si>
  <si>
    <t>CUST0778</t>
  </si>
  <si>
    <t>CUST0779</t>
  </si>
  <si>
    <t>CUST0780</t>
  </si>
  <si>
    <t>CUST0781</t>
  </si>
  <si>
    <t>PROD0034</t>
  </si>
  <si>
    <t>CUST0782</t>
  </si>
  <si>
    <t>CUST0783</t>
  </si>
  <si>
    <t>CUST0784</t>
  </si>
  <si>
    <t>CUST0785</t>
  </si>
  <si>
    <t>CUST0786</t>
  </si>
  <si>
    <t>CUST0787</t>
  </si>
  <si>
    <t>CUST0788</t>
  </si>
  <si>
    <t>CUST0789</t>
  </si>
  <si>
    <t>CUST0790</t>
  </si>
  <si>
    <t>CUST0791</t>
  </si>
  <si>
    <t>CUST0792</t>
  </si>
  <si>
    <t>CUST0793</t>
  </si>
  <si>
    <t>CUST0794</t>
  </si>
  <si>
    <t>CUST0795</t>
  </si>
  <si>
    <t>CUST0796</t>
  </si>
  <si>
    <t>CUST0797</t>
  </si>
  <si>
    <t>CUST0798</t>
  </si>
  <si>
    <t>CUST0799</t>
  </si>
  <si>
    <t>CUST0800</t>
  </si>
  <si>
    <t>CUST0801</t>
  </si>
  <si>
    <t>CUST0802</t>
  </si>
  <si>
    <t>CUST0803</t>
  </si>
  <si>
    <t>PROD0191</t>
  </si>
  <si>
    <t>CUST0804</t>
  </si>
  <si>
    <t>CUST0805</t>
  </si>
  <si>
    <t>CUST0806</t>
  </si>
  <si>
    <t>CUST0807</t>
  </si>
  <si>
    <t>CUST0808</t>
  </si>
  <si>
    <t>CUST0809</t>
  </si>
  <si>
    <t>CUST0810</t>
  </si>
  <si>
    <t>CUST0811</t>
  </si>
  <si>
    <t>PROD0143</t>
  </si>
  <si>
    <t>CUST0812</t>
  </si>
  <si>
    <t>CUST0813</t>
  </si>
  <si>
    <t>CUST0814</t>
  </si>
  <si>
    <t>CUST0815</t>
  </si>
  <si>
    <t>CUST0816</t>
  </si>
  <si>
    <t>CUST0817</t>
  </si>
  <si>
    <t>CUST0818</t>
  </si>
  <si>
    <t>CUST0819</t>
  </si>
  <si>
    <t>CUST0820</t>
  </si>
  <si>
    <t>CUST0821</t>
  </si>
  <si>
    <t>CUST0822</t>
  </si>
  <si>
    <t>CUST0823</t>
  </si>
  <si>
    <t>CUST0824</t>
  </si>
  <si>
    <t>CUST0825</t>
  </si>
  <si>
    <t>CUST0826</t>
  </si>
  <si>
    <t>CUST0827</t>
  </si>
  <si>
    <t>CUST0828</t>
  </si>
  <si>
    <t>CUST0829</t>
  </si>
  <si>
    <t>CUST0830</t>
  </si>
  <si>
    <t>CUST0831</t>
  </si>
  <si>
    <t>CUST0832</t>
  </si>
  <si>
    <t>CUST0833</t>
  </si>
  <si>
    <t>CUST0834</t>
  </si>
  <si>
    <t>CUST0835</t>
  </si>
  <si>
    <t>CUST0836</t>
  </si>
  <si>
    <t>CUST0837</t>
  </si>
  <si>
    <t>CUST0838</t>
  </si>
  <si>
    <t>CUST0839</t>
  </si>
  <si>
    <t>CUST0840</t>
  </si>
  <si>
    <t>CUST0841</t>
  </si>
  <si>
    <t>CUST0842</t>
  </si>
  <si>
    <t>CUST0843</t>
  </si>
  <si>
    <t>CUST0844</t>
  </si>
  <si>
    <t>CUST0845</t>
  </si>
  <si>
    <t>CUST0846</t>
  </si>
  <si>
    <t>CUST0847</t>
  </si>
  <si>
    <t>CUST0848</t>
  </si>
  <si>
    <t>CUST0849</t>
  </si>
  <si>
    <t>CUST0850</t>
  </si>
  <si>
    <t>CUST0851</t>
  </si>
  <si>
    <t>CUST0852</t>
  </si>
  <si>
    <t>CUST0853</t>
  </si>
  <si>
    <t>CUST0854</t>
  </si>
  <si>
    <t>CUST0855</t>
  </si>
  <si>
    <t>CUST0856</t>
  </si>
  <si>
    <t>CUST0857</t>
  </si>
  <si>
    <t>CUST0858</t>
  </si>
  <si>
    <t>CUST0859</t>
  </si>
  <si>
    <t>CUST0860</t>
  </si>
  <si>
    <t>CUST0861</t>
  </si>
  <si>
    <t>CUST0862</t>
  </si>
  <si>
    <t>CUST0863</t>
  </si>
  <si>
    <t>CUST0864</t>
  </si>
  <si>
    <t>CUST0865</t>
  </si>
  <si>
    <t>CUST0866</t>
  </si>
  <si>
    <t>CUST0867</t>
  </si>
  <si>
    <t>CUST0868</t>
  </si>
  <si>
    <t>CUST0869</t>
  </si>
  <si>
    <t>CUST0870</t>
  </si>
  <si>
    <t>CUST0871</t>
  </si>
  <si>
    <t>CUST0872</t>
  </si>
  <si>
    <t>CUST0873</t>
  </si>
  <si>
    <t>CUST0874</t>
  </si>
  <si>
    <t>CUST0875</t>
  </si>
  <si>
    <t>CUST0876</t>
  </si>
  <si>
    <t>CUST0877</t>
  </si>
  <si>
    <t>CUST0878</t>
  </si>
  <si>
    <t>CUST0879</t>
  </si>
  <si>
    <t>CUST0880</t>
  </si>
  <si>
    <t>CUST0881</t>
  </si>
  <si>
    <t>CUST0882</t>
  </si>
  <si>
    <t>CUST0883</t>
  </si>
  <si>
    <t>CUST0884</t>
  </si>
  <si>
    <t>CUST0885</t>
  </si>
  <si>
    <t>CUST0886</t>
  </si>
  <si>
    <t>CUST0887</t>
  </si>
  <si>
    <t>CUST0888</t>
  </si>
  <si>
    <t>PROD0062</t>
  </si>
  <si>
    <t>CUST0889</t>
  </si>
  <si>
    <t>CUST0890</t>
  </si>
  <si>
    <t>CUST0891</t>
  </si>
  <si>
    <t>CUST0892</t>
  </si>
  <si>
    <t>CUST0893</t>
  </si>
  <si>
    <t>CUST0894</t>
  </si>
  <si>
    <t>CUST0895</t>
  </si>
  <si>
    <t>CUST0896</t>
  </si>
  <si>
    <t>CUST0897</t>
  </si>
  <si>
    <t>CUST0898</t>
  </si>
  <si>
    <t>CUST0899</t>
  </si>
  <si>
    <t>CUST0900</t>
  </si>
  <si>
    <t>CUST0901</t>
  </si>
  <si>
    <t>CUST0902</t>
  </si>
  <si>
    <t>CUST0903</t>
  </si>
  <si>
    <t>CUST0904</t>
  </si>
  <si>
    <t>CUST0905</t>
  </si>
  <si>
    <t>CUST0906</t>
  </si>
  <si>
    <t>CUST0907</t>
  </si>
  <si>
    <t>CUST0908</t>
  </si>
  <si>
    <t>CUST0909</t>
  </si>
  <si>
    <t>CUST0910</t>
  </si>
  <si>
    <t>CUST0911</t>
  </si>
  <si>
    <t>CUST0912</t>
  </si>
  <si>
    <t>CUST0913</t>
  </si>
  <si>
    <t>CUST0914</t>
  </si>
  <si>
    <t>CUST0915</t>
  </si>
  <si>
    <t>CUST0916</t>
  </si>
  <si>
    <t>CUST0917</t>
  </si>
  <si>
    <t>CUST0918</t>
  </si>
  <si>
    <t>CUST0919</t>
  </si>
  <si>
    <t>CUST0920</t>
  </si>
  <si>
    <t>CUST0921</t>
  </si>
  <si>
    <t>CUST0922</t>
  </si>
  <si>
    <t>CUST0923</t>
  </si>
  <si>
    <t>CUST0924</t>
  </si>
  <si>
    <t>CUST0925</t>
  </si>
  <si>
    <t>CUST0926</t>
  </si>
  <si>
    <t>CUST0927</t>
  </si>
  <si>
    <t>CUST0928</t>
  </si>
  <si>
    <t>CUST0929</t>
  </si>
  <si>
    <t>CUST0930</t>
  </si>
  <si>
    <t>CUST0931</t>
  </si>
  <si>
    <t>CUST0932</t>
  </si>
  <si>
    <t>CUST0933</t>
  </si>
  <si>
    <t>CUST0934</t>
  </si>
  <si>
    <t>CUST0935</t>
  </si>
  <si>
    <t>CUST0936</t>
  </si>
  <si>
    <t>CUST0937</t>
  </si>
  <si>
    <t>CUST0938</t>
  </si>
  <si>
    <t>CUST0939</t>
  </si>
  <si>
    <t>CUST0940</t>
  </si>
  <si>
    <t>CUST0941</t>
  </si>
  <si>
    <t>CUST0942</t>
  </si>
  <si>
    <t>CUST0943</t>
  </si>
  <si>
    <t>CUST0944</t>
  </si>
  <si>
    <t>CUST0945</t>
  </si>
  <si>
    <t>CUST0946</t>
  </si>
  <si>
    <t>CUST0947</t>
  </si>
  <si>
    <t>CUST0948</t>
  </si>
  <si>
    <t>CUST0949</t>
  </si>
  <si>
    <t>CUST0950</t>
  </si>
  <si>
    <t>CUST0951</t>
  </si>
  <si>
    <t>CUST0952</t>
  </si>
  <si>
    <t>CUST0953</t>
  </si>
  <si>
    <t>CUST0954</t>
  </si>
  <si>
    <t>CUST0955</t>
  </si>
  <si>
    <t>CUST0956</t>
  </si>
  <si>
    <t>CUST0957</t>
  </si>
  <si>
    <t>CUST0958</t>
  </si>
  <si>
    <t>CUST0959</t>
  </si>
  <si>
    <t>CUST0960</t>
  </si>
  <si>
    <t>CUST0961</t>
  </si>
  <si>
    <t>CUST0962</t>
  </si>
  <si>
    <t>CUST0963</t>
  </si>
  <si>
    <t>CUST0964</t>
  </si>
  <si>
    <t>CUST0965</t>
  </si>
  <si>
    <t>CUST0966</t>
  </si>
  <si>
    <t>CUST0967</t>
  </si>
  <si>
    <t>CUST0968</t>
  </si>
  <si>
    <t>CUST0969</t>
  </si>
  <si>
    <t>CUST0970</t>
  </si>
  <si>
    <t>CUST0971</t>
  </si>
  <si>
    <t>CUST0972</t>
  </si>
  <si>
    <t>CUST0973</t>
  </si>
  <si>
    <t>CUST0974</t>
  </si>
  <si>
    <t>CUST0975</t>
  </si>
  <si>
    <t>CUST0976</t>
  </si>
  <si>
    <t>CUST0977</t>
  </si>
  <si>
    <t>CUST0978</t>
  </si>
  <si>
    <t>CUST0979</t>
  </si>
  <si>
    <t>CUST0980</t>
  </si>
  <si>
    <t>CUST0981</t>
  </si>
  <si>
    <t>CUST0982</t>
  </si>
  <si>
    <t>CUST0983</t>
  </si>
  <si>
    <t>CUST0984</t>
  </si>
  <si>
    <t>CUST0985</t>
  </si>
  <si>
    <t>CUST0986</t>
  </si>
  <si>
    <t>CUST0987</t>
  </si>
  <si>
    <t>CUST0988</t>
  </si>
  <si>
    <t>CUST0989</t>
  </si>
  <si>
    <t>CUST0990</t>
  </si>
  <si>
    <t>CUST0991</t>
  </si>
  <si>
    <t>CUST0992</t>
  </si>
  <si>
    <t>CUST0993</t>
  </si>
  <si>
    <t>CUST0994</t>
  </si>
  <si>
    <t>CUST0995</t>
  </si>
  <si>
    <t>CUST0996</t>
  </si>
  <si>
    <t>CUST0997</t>
  </si>
  <si>
    <t>CUST0998</t>
  </si>
  <si>
    <t>CUST0999</t>
  </si>
  <si>
    <t>CUST1000</t>
  </si>
  <si>
    <t>Total_Spend</t>
  </si>
  <si>
    <t>Row Labels</t>
  </si>
  <si>
    <t>Grand Total</t>
  </si>
  <si>
    <t>Sum of Total_Spend</t>
  </si>
  <si>
    <t>Month</t>
  </si>
  <si>
    <t>Nov</t>
  </si>
  <si>
    <t>Year</t>
  </si>
  <si>
    <t>Weekday</t>
  </si>
  <si>
    <t>Age_Group</t>
  </si>
  <si>
    <t>Apr</t>
  </si>
  <si>
    <t>Aug</t>
  </si>
  <si>
    <t>Dec</t>
  </si>
  <si>
    <t>Feb</t>
  </si>
  <si>
    <t>Jan</t>
  </si>
  <si>
    <t>Jul</t>
  </si>
  <si>
    <t>Jun</t>
  </si>
  <si>
    <t>Mar</t>
  </si>
  <si>
    <t>May</t>
  </si>
  <si>
    <t>Oct</t>
  </si>
  <si>
    <t>Sep</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</si>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</sst>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4" fontId="0" fillId="0" borderId="0" xfId="0" applyNumberFormat="1"/>
    <xf numFmtId="49" fontId="0" fillId="0" borderId="0" xfId="0" applyNumberFormat="1"/>
    <xf numFmtId="1" fontId="0" fillId="0" borderId="0" xfId="0" applyNumberFormat="1"/>
    <xf numFmtId="2" fontId="0" fillId="0" borderId="0" xfId="0" applyNumberFormat="1"/>
    <xf numFmtId="0" fontId="0" fillId="0" borderId="0" xfId="0" pivotButton="1"/>
    <xf numFmtId="0" fontId="0" fillId="0" borderId="0" xfId="0" applyAlignment="1">
      <alignment horizontal="left"/>
    </xf>
    <xf numFmtId="1" fontId="0" fillId="0" borderId="0" xfId="0" pivotButton="1"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9">
    <dxf>
      <numFmt numFmtId="1" formatCode="0"/>
    </dxf>
    <dxf>
      <numFmt numFmtId="0" formatCode="General"/>
    </dxf>
    <dxf>
      <numFmt numFmtId="0" formatCode="General"/>
    </dxf>
    <dxf>
      <numFmt numFmtId="30" formatCode="@"/>
    </dxf>
    <dxf>
      <numFmt numFmtId="30" formatCode="@"/>
    </dxf>
    <dxf>
      <numFmt numFmtId="1" formatCode="0"/>
    </dxf>
    <dxf>
      <numFmt numFmtId="30" formatCode="@"/>
    </dxf>
    <dxf>
      <numFmt numFmtId="19" formatCode="m/d/yyyy"/>
    </dxf>
    <dxf>
      <numFmt numFmtId="19" formatCode="m/d/yyyy"/>
    </dxf>
    <dxf>
      <numFmt numFmtId="19" formatCode="m/d/yyyy"/>
    </dxf>
    <dxf>
      <numFmt numFmtId="19" formatCode="m/d/yyyy"/>
    </dxf>
    <dxf>
      <numFmt numFmtId="1" formatCode="0"/>
    </dxf>
    <dxf>
      <numFmt numFmtId="2" formatCode="0.00"/>
    </dxf>
    <dxf>
      <numFmt numFmtId="30" formatCode="@"/>
    </dxf>
    <dxf>
      <numFmt numFmtId="30" formatCode="@"/>
    </dxf>
    <dxf>
      <numFmt numFmtId="30" formatCode="@"/>
    </dxf>
    <dxf>
      <numFmt numFmtId="1" formatCode="0"/>
    </dxf>
    <dxf>
      <numFmt numFmtId="30" formatCode="@"/>
    </dxf>
    <dxf>
      <numFmt numFmtId="30" formatCode="@"/>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[Customer_Purchase_Behavior.xlsx]Sheet2!PivotTable2</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Sheet2!$A$5:$A$12</c:f>
              <c:strCache>
                <c:ptCount val="7"/>
                <c:pt idx="0">
                  <c:v>Books</c:v>
                </c:pt>
                <c:pt idx="1">
                  <c:v>Clothing</c:v>
                </c:pt>
                <c:pt idx="2">
                  <c:v>Electronics</c:v>
                </c:pt>
                <c:pt idx="3">
                  <c:v>Groceries</c:v>
                </c:pt>
                <c:pt idx="4">
                  <c:v>Home Decor</c:v>
                </c:pt>
                <c:pt idx="5">
                  <c:v>Sports</c:v>
                </c:pt>
                <c:pt idx="6">
                  <c:v>Toys</c:v>
                </c:pt>
              </c:strCache>
            </c:strRef>
          </c:cat>
          <c:val>
            <c:numRef>
              <c:f>Sheet2!$B$5:$B$12</c:f>
              <c:numCache>
                <c:formatCode>0</c:formatCode>
                <c:ptCount val="7"/>
                <c:pt idx="0">
                  <c:v>72191.210000000036</c:v>
                </c:pt>
                <c:pt idx="1">
                  <c:v>79023.27</c:v>
                </c:pt>
                <c:pt idx="2">
                  <c:v>47883.889999999992</c:v>
                </c:pt>
                <c:pt idx="3">
                  <c:v>78781.450000000012</c:v>
                </c:pt>
                <c:pt idx="4">
                  <c:v>66574.28</c:v>
                </c:pt>
                <c:pt idx="5">
                  <c:v>60576.339999999982</c:v>
                </c:pt>
                <c:pt idx="6">
                  <c:v>61296.240000000005</c:v>
                </c:pt>
              </c:numCache>
            </c:numRef>
          </c:val>
          <c:extLst>
            <c:ext xmlns:c16="http://schemas.microsoft.com/office/drawing/2014/chart" uri="{C3380CC4-5D6E-409C-BE32-E72D297353CC}">
              <c16:uniqueId val="{00000000-DB27-4C2A-A76A-333ED3707946}"/>
            </c:ext>
          </c:extLst>
        </c:ser>
        <c:dLbls>
          <c:dLblPos val="outEnd"/>
          <c:showLegendKey val="0"/>
          <c:showVal val="1"/>
          <c:showCatName val="0"/>
          <c:showSerName val="0"/>
          <c:showPercent val="0"/>
          <c:showBubbleSize val="0"/>
        </c:dLbls>
        <c:gapWidth val="121"/>
        <c:axId val="1885827679"/>
        <c:axId val="1885830079"/>
      </c:barChart>
      <c:catAx>
        <c:axId val="18858276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5830079"/>
        <c:crosses val="autoZero"/>
        <c:auto val="1"/>
        <c:lblAlgn val="ctr"/>
        <c:lblOffset val="100"/>
        <c:noMultiLvlLbl val="0"/>
      </c:catAx>
      <c:valAx>
        <c:axId val="1885830079"/>
        <c:scaling>
          <c:orientation val="minMax"/>
        </c:scaling>
        <c:delete val="1"/>
        <c:axPos val="b"/>
        <c:numFmt formatCode="0" sourceLinked="1"/>
        <c:majorTickMark val="none"/>
        <c:minorTickMark val="none"/>
        <c:tickLblPos val="nextTo"/>
        <c:crossAx val="18858276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landscape"/>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[Customer_Purchase_Behavior.xlsx]Sheet3!PivotTable3</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2.427701224846894E-2"/>
              <c:y val="-3.173228346456692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solidFill>
          <a:ln w="19050">
            <a:solidFill>
              <a:schemeClr val="lt1"/>
            </a:solidFill>
          </a:ln>
          <a:effectLst/>
        </c:spPr>
        <c:dLbl>
          <c:idx val="0"/>
          <c:layout>
            <c:manualLayout>
              <c:x val="-9.7040682414698161E-3"/>
              <c:y val="-1.208552055993005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layout>
            <c:manualLayout>
              <c:x val="0.11626017060367454"/>
              <c:y val="-2.447725284339457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2.427701224846894E-2"/>
              <c:y val="-3.173228346456692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1626017060367454"/>
              <c:y val="-2.447725284339457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9.7040682414698161E-3"/>
              <c:y val="-1.208552055993005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2.427701224846894E-2"/>
              <c:y val="-3.173228346456692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0.11626017060367454"/>
              <c:y val="-2.447725284339457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9.7040682414698161E-3"/>
              <c:y val="-1.208552055993005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Sheet3!$B$3</c:f>
              <c:strCache>
                <c:ptCount val="1"/>
                <c:pt idx="0">
                  <c:v>Total</c:v>
                </c:pt>
              </c:strCache>
            </c:strRef>
          </c:tx>
          <c:explosion val="4"/>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26B-4BBA-944F-8256766CE85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26B-4BBA-944F-8256766CE85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26B-4BBA-944F-8256766CE856}"/>
              </c:ext>
            </c:extLst>
          </c:dPt>
          <c:dLbls>
            <c:dLbl>
              <c:idx val="0"/>
              <c:layout>
                <c:manualLayout>
                  <c:x val="2.427701224846894E-2"/>
                  <c:y val="-3.1732283464566927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26B-4BBA-944F-8256766CE856}"/>
                </c:ext>
              </c:extLst>
            </c:dLbl>
            <c:dLbl>
              <c:idx val="1"/>
              <c:layout>
                <c:manualLayout>
                  <c:x val="0.11626017060367454"/>
                  <c:y val="-2.4477252843394574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26B-4BBA-944F-8256766CE856}"/>
                </c:ext>
              </c:extLst>
            </c:dLbl>
            <c:dLbl>
              <c:idx val="2"/>
              <c:layout>
                <c:manualLayout>
                  <c:x val="-9.7040682414698161E-3"/>
                  <c:y val="-1.2085520559930051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26B-4BBA-944F-8256766CE856}"/>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Sheet3!$A$4:$A$7</c:f>
              <c:strCache>
                <c:ptCount val="3"/>
                <c:pt idx="0">
                  <c:v>Female</c:v>
                </c:pt>
                <c:pt idx="1">
                  <c:v>Male</c:v>
                </c:pt>
                <c:pt idx="2">
                  <c:v>Other</c:v>
                </c:pt>
              </c:strCache>
            </c:strRef>
          </c:cat>
          <c:val>
            <c:numRef>
              <c:f>Sheet3!$B$4:$B$7</c:f>
              <c:numCache>
                <c:formatCode>0</c:formatCode>
                <c:ptCount val="3"/>
                <c:pt idx="0">
                  <c:v>445707.43999999994</c:v>
                </c:pt>
                <c:pt idx="1">
                  <c:v>538677.68000000005</c:v>
                </c:pt>
                <c:pt idx="2">
                  <c:v>466326.68000000011</c:v>
                </c:pt>
              </c:numCache>
            </c:numRef>
          </c:val>
          <c:extLst>
            <c:ext xmlns:c16="http://schemas.microsoft.com/office/drawing/2014/chart" uri="{C3380CC4-5D6E-409C-BE32-E72D297353CC}">
              <c16:uniqueId val="{00000006-926B-4BBA-944F-8256766CE856}"/>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[Customer_Purchase_Behavior.xlsx]Sheet8!PivotTable7</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080314960629921E-2"/>
          <c:y val="5.0925925925925923E-2"/>
          <c:w val="0.91416710411198598"/>
          <c:h val="0.73434857101195683"/>
        </c:manualLayout>
      </c:layout>
      <c:barChart>
        <c:barDir val="col"/>
        <c:grouping val="clustered"/>
        <c:varyColors val="0"/>
        <c:ser>
          <c:idx val="0"/>
          <c:order val="0"/>
          <c:tx>
            <c:strRef>
              <c:f>Sheet8!$B$3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Sheet8!$A$4:$A$14</c:f>
              <c:strCache>
                <c:ptCount val="10"/>
                <c:pt idx="0">
                  <c:v>CUST0890</c:v>
                </c:pt>
                <c:pt idx="1">
                  <c:v>CUST0072</c:v>
                </c:pt>
                <c:pt idx="2">
                  <c:v>CUST0088</c:v>
                </c:pt>
                <c:pt idx="3">
                  <c:v>CUST0090</c:v>
                </c:pt>
                <c:pt idx="4">
                  <c:v>CUST0494</c:v>
                </c:pt>
                <c:pt idx="5">
                  <c:v>CUST0530</c:v>
                </c:pt>
                <c:pt idx="6">
                  <c:v>CUST0309</c:v>
                </c:pt>
                <c:pt idx="7">
                  <c:v>CUST0319</c:v>
                </c:pt>
                <c:pt idx="8">
                  <c:v>CUST0006</c:v>
                </c:pt>
                <c:pt idx="9">
                  <c:v>CUST0673</c:v>
                </c:pt>
              </c:strCache>
            </c:strRef>
          </c:cat>
          <c:val>
            <c:numRef>
              <c:f>Sheet8!$B$4:$B$14</c:f>
              <c:numCache>
                <c:formatCode>0</c:formatCode>
                <c:ptCount val="10"/>
                <c:pt idx="0">
                  <c:v>4988.5</c:v>
                </c:pt>
                <c:pt idx="1">
                  <c:v>4971.95</c:v>
                </c:pt>
                <c:pt idx="2">
                  <c:v>4944.75</c:v>
                </c:pt>
                <c:pt idx="3">
                  <c:v>4935.1499999999996</c:v>
                </c:pt>
                <c:pt idx="4">
                  <c:v>4924.0499999999993</c:v>
                </c:pt>
                <c:pt idx="5">
                  <c:v>4915.6000000000004</c:v>
                </c:pt>
                <c:pt idx="6">
                  <c:v>4887.55</c:v>
                </c:pt>
                <c:pt idx="7">
                  <c:v>4878.3</c:v>
                </c:pt>
                <c:pt idx="8">
                  <c:v>4809</c:v>
                </c:pt>
                <c:pt idx="9">
                  <c:v>4805.7</c:v>
                </c:pt>
              </c:numCache>
            </c:numRef>
          </c:val>
          <c:extLst>
            <c:ext xmlns:c16="http://schemas.microsoft.com/office/drawing/2014/chart" uri="{C3380CC4-5D6E-409C-BE32-E72D297353CC}">
              <c16:uniqueId val="{00000000-A641-429D-9195-492846B43AC7}"/>
            </c:ext>
          </c:extLst>
        </c:ser>
        <c:dLbls>
          <c:dLblPos val="outEnd"/>
          <c:showLegendKey val="0"/>
          <c:showVal val="1"/>
          <c:showCatName val="0"/>
          <c:showSerName val="0"/>
          <c:showPercent val="0"/>
          <c:showBubbleSize val="0"/>
        </c:dLbls>
        <c:gapWidth val="219"/>
        <c:overlap val="-27"/>
        <c:axId val="868753583"/>
        <c:axId val="2006662111"/>
      </c:barChart>
      <c:catAx>
        <c:axId val="86875358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6662111"/>
        <c:crosses val="autoZero"/>
        <c:auto val="1"/>
        <c:lblAlgn val="ctr"/>
        <c:lblOffset val="100"/>
        <c:noMultiLvlLbl val="0"/>
      </c:catAx>
      <c:valAx>
        <c:axId val="2006662111"/>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87535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[Customer_Purchase_Behavior.xlsx]Sheet7!PivotTable6</c:name>
    <c:fmtId val="8"/>
  </c:pivotSource>
  <c:chart>
    <c:autoTitleDeleted val="1"/>
    <c:pivotFmts>
      <c:pivotFmt>
        <c:idx val="0"/>
        <c:spPr>
          <a:solidFill>
            <a:schemeClr val="accent1"/>
          </a:solidFill>
          <a:ln w="28575" cap="rnd">
            <a:solidFill>
              <a:schemeClr val="accent1"/>
            </a:solidFill>
            <a:round/>
          </a:ln>
          <a:effectLst/>
        </c:spPr>
        <c:marker>
          <c:symbol val="square"/>
          <c:size val="8"/>
          <c:spPr>
            <a:noFill/>
            <a:ln w="9525">
              <a:solidFill>
                <a:schemeClr val="accent1">
                  <a:lumMod val="50000"/>
                </a:schemeClr>
              </a:solidFill>
            </a:ln>
            <a:effectLst/>
          </c:spPr>
        </c:marker>
        <c:dLbl>
          <c:idx val="0"/>
          <c:spPr>
            <a:solidFill>
              <a:schemeClr val="accent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square"/>
          <c:size val="8"/>
          <c:spPr>
            <a:noFill/>
            <a:ln w="9525">
              <a:solidFill>
                <a:schemeClr val="accent1">
                  <a:lumMod val="50000"/>
                </a:schemeClr>
              </a:solidFill>
            </a:ln>
            <a:effectLst/>
          </c:spPr>
        </c:marker>
        <c:dLbl>
          <c:idx val="0"/>
          <c:spPr>
            <a:solidFill>
              <a:schemeClr val="accent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square"/>
          <c:size val="8"/>
          <c:spPr>
            <a:noFill/>
            <a:ln w="9525">
              <a:solidFill>
                <a:schemeClr val="accent1">
                  <a:lumMod val="50000"/>
                </a:schemeClr>
              </a:solidFill>
            </a:ln>
            <a:effectLst/>
          </c:spPr>
        </c:marker>
        <c:dLbl>
          <c:idx val="0"/>
          <c:spPr>
            <a:solidFill>
              <a:schemeClr val="accent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888888888888889E-2"/>
          <c:y val="5.3768658636432029E-2"/>
          <c:w val="0.93888888888888888"/>
          <c:h val="0.85855423209171478"/>
        </c:manualLayout>
      </c:layout>
      <c:lineChart>
        <c:grouping val="standard"/>
        <c:varyColors val="0"/>
        <c:ser>
          <c:idx val="0"/>
          <c:order val="0"/>
          <c:tx>
            <c:strRef>
              <c:f>Sheet7!$B$3</c:f>
              <c:strCache>
                <c:ptCount val="1"/>
                <c:pt idx="0">
                  <c:v>Total</c:v>
                </c:pt>
              </c:strCache>
            </c:strRef>
          </c:tx>
          <c:spPr>
            <a:ln w="28575" cap="rnd">
              <a:solidFill>
                <a:schemeClr val="accent1"/>
              </a:solidFill>
              <a:round/>
            </a:ln>
            <a:effectLst/>
          </c:spPr>
          <c:marker>
            <c:symbol val="square"/>
            <c:size val="8"/>
            <c:spPr>
              <a:noFill/>
              <a:ln w="9525">
                <a:solidFill>
                  <a:schemeClr val="accent1">
                    <a:lumMod val="50000"/>
                  </a:schemeClr>
                </a:solidFill>
              </a:ln>
              <a:effectLst/>
            </c:spPr>
          </c:marker>
          <c:dLbls>
            <c:spPr>
              <a:solidFill>
                <a:schemeClr val="accent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Sheet7!$A$4:$A$16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Sheet7!$B$4:$B$16</c:f>
              <c:numCache>
                <c:formatCode>0</c:formatCode>
                <c:ptCount val="12"/>
                <c:pt idx="0">
                  <c:v>112496.67999999998</c:v>
                </c:pt>
                <c:pt idx="1">
                  <c:v>118558.48</c:v>
                </c:pt>
                <c:pt idx="2">
                  <c:v>160684.61000000002</c:v>
                </c:pt>
                <c:pt idx="3">
                  <c:v>145962.21999999997</c:v>
                </c:pt>
                <c:pt idx="4">
                  <c:v>121075.06000000001</c:v>
                </c:pt>
                <c:pt idx="5">
                  <c:v>163443.86000000007</c:v>
                </c:pt>
                <c:pt idx="6">
                  <c:v>131210.4</c:v>
                </c:pt>
                <c:pt idx="7">
                  <c:v>100176.3</c:v>
                </c:pt>
                <c:pt idx="8">
                  <c:v>109009.87999999999</c:v>
                </c:pt>
                <c:pt idx="9">
                  <c:v>149883.60000000003</c:v>
                </c:pt>
                <c:pt idx="10">
                  <c:v>82334.060000000012</c:v>
                </c:pt>
                <c:pt idx="11">
                  <c:v>55876.649999999994</c:v>
                </c:pt>
              </c:numCache>
            </c:numRef>
          </c:val>
          <c:smooth val="0"/>
          <c:extLst>
            <c:ext xmlns:c16="http://schemas.microsoft.com/office/drawing/2014/chart" uri="{C3380CC4-5D6E-409C-BE32-E72D297353CC}">
              <c16:uniqueId val="{00000000-42FE-41C7-9876-4417929AF55C}"/>
            </c:ext>
          </c:extLst>
        </c:ser>
        <c:dLbls>
          <c:dLblPos val="t"/>
          <c:showLegendKey val="0"/>
          <c:showVal val="1"/>
          <c:showCatName val="0"/>
          <c:showSerName val="0"/>
          <c:showPercent val="0"/>
          <c:showBubbleSize val="0"/>
        </c:dLbls>
        <c:marker val="1"/>
        <c:smooth val="0"/>
        <c:axId val="1791683375"/>
        <c:axId val="2003489919"/>
      </c:lineChart>
      <c:catAx>
        <c:axId val="1791683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3489919"/>
        <c:crosses val="autoZero"/>
        <c:auto val="1"/>
        <c:lblAlgn val="ctr"/>
        <c:lblOffset val="100"/>
        <c:noMultiLvlLbl val="0"/>
      </c:catAx>
      <c:valAx>
        <c:axId val="2003489919"/>
        <c:scaling>
          <c:orientation val="minMax"/>
        </c:scaling>
        <c:delete val="1"/>
        <c:axPos val="l"/>
        <c:numFmt formatCode="0" sourceLinked="1"/>
        <c:majorTickMark val="none"/>
        <c:minorTickMark val="none"/>
        <c:tickLblPos val="nextTo"/>
        <c:crossAx val="17916833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[Customer_Purchase_Behavior.xlsx]Sheet6!PivotTable5</c:name>
    <c:fmtId val="1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Sheet6!$B$3</c:f>
              <c:strCache>
                <c:ptCount val="1"/>
                <c:pt idx="0">
                  <c:v>Total</c:v>
                </c:pt>
              </c:strCache>
            </c:strRef>
          </c:tx>
          <c:explosion val="6"/>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267-4BD9-BF6F-473C8375671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267-4BD9-BF6F-473C8375671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267-4BD9-BF6F-473C8375671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267-4BD9-BF6F-473C8375671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Sheet6!$A$4:$A$8</c:f>
              <c:strCache>
                <c:ptCount val="4"/>
                <c:pt idx="0">
                  <c:v>Cash</c:v>
                </c:pt>
                <c:pt idx="1">
                  <c:v>Credit Card</c:v>
                </c:pt>
                <c:pt idx="2">
                  <c:v>Online Wallet</c:v>
                </c:pt>
                <c:pt idx="3">
                  <c:v>UPI</c:v>
                </c:pt>
              </c:strCache>
            </c:strRef>
          </c:cat>
          <c:val>
            <c:numRef>
              <c:f>Sheet6!$B$4:$B$8</c:f>
              <c:numCache>
                <c:formatCode>0</c:formatCode>
                <c:ptCount val="4"/>
                <c:pt idx="0">
                  <c:v>368749.6</c:v>
                </c:pt>
                <c:pt idx="1">
                  <c:v>411941.86</c:v>
                </c:pt>
                <c:pt idx="2">
                  <c:v>331857.64000000007</c:v>
                </c:pt>
                <c:pt idx="3">
                  <c:v>338162.70000000013</c:v>
                </c:pt>
              </c:numCache>
            </c:numRef>
          </c:val>
          <c:extLst>
            <c:ext xmlns:c16="http://schemas.microsoft.com/office/drawing/2014/chart" uri="{C3380CC4-5D6E-409C-BE32-E72D297353CC}">
              <c16:uniqueId val="{00000008-2267-4BD9-BF6F-473C83756712}"/>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b"/>
      <c:layout>
        <c:manualLayout>
          <c:xMode val="edge"/>
          <c:yMode val="edge"/>
          <c:x val="0.20135848643919507"/>
          <c:y val="0.83939433737515656"/>
          <c:w val="0.53617191601049874"/>
          <c:h val="0.1218163770196389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[Customer_Purchase_Behavior.xlsx]Sheet2!PivotTable2</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Sheet2!$A$5:$A$12</c:f>
              <c:strCache>
                <c:ptCount val="7"/>
                <c:pt idx="0">
                  <c:v>Books</c:v>
                </c:pt>
                <c:pt idx="1">
                  <c:v>Clothing</c:v>
                </c:pt>
                <c:pt idx="2">
                  <c:v>Electronics</c:v>
                </c:pt>
                <c:pt idx="3">
                  <c:v>Groceries</c:v>
                </c:pt>
                <c:pt idx="4">
                  <c:v>Home Decor</c:v>
                </c:pt>
                <c:pt idx="5">
                  <c:v>Sports</c:v>
                </c:pt>
                <c:pt idx="6">
                  <c:v>Toys</c:v>
                </c:pt>
              </c:strCache>
            </c:strRef>
          </c:cat>
          <c:val>
            <c:numRef>
              <c:f>Sheet2!$B$5:$B$12</c:f>
              <c:numCache>
                <c:formatCode>0</c:formatCode>
                <c:ptCount val="7"/>
                <c:pt idx="0">
                  <c:v>72191.210000000036</c:v>
                </c:pt>
                <c:pt idx="1">
                  <c:v>79023.27</c:v>
                </c:pt>
                <c:pt idx="2">
                  <c:v>47883.889999999992</c:v>
                </c:pt>
                <c:pt idx="3">
                  <c:v>78781.450000000012</c:v>
                </c:pt>
                <c:pt idx="4">
                  <c:v>66574.28</c:v>
                </c:pt>
                <c:pt idx="5">
                  <c:v>60576.339999999982</c:v>
                </c:pt>
                <c:pt idx="6">
                  <c:v>61296.240000000005</c:v>
                </c:pt>
              </c:numCache>
            </c:numRef>
          </c:val>
          <c:extLst>
            <c:ext xmlns:c16="http://schemas.microsoft.com/office/drawing/2014/chart" uri="{C3380CC4-5D6E-409C-BE32-E72D297353CC}">
              <c16:uniqueId val="{00000000-64DD-472E-9DE7-4B2ABE1B2847}"/>
            </c:ext>
          </c:extLst>
        </c:ser>
        <c:dLbls>
          <c:dLblPos val="outEnd"/>
          <c:showLegendKey val="0"/>
          <c:showVal val="1"/>
          <c:showCatName val="0"/>
          <c:showSerName val="0"/>
          <c:showPercent val="0"/>
          <c:showBubbleSize val="0"/>
        </c:dLbls>
        <c:gapWidth val="121"/>
        <c:axId val="1885827679"/>
        <c:axId val="1885830079"/>
      </c:barChart>
      <c:catAx>
        <c:axId val="18858276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5830079"/>
        <c:crosses val="autoZero"/>
        <c:auto val="1"/>
        <c:lblAlgn val="ctr"/>
        <c:lblOffset val="100"/>
        <c:noMultiLvlLbl val="0"/>
      </c:catAx>
      <c:valAx>
        <c:axId val="1885830079"/>
        <c:scaling>
          <c:orientation val="minMax"/>
        </c:scaling>
        <c:delete val="1"/>
        <c:axPos val="b"/>
        <c:numFmt formatCode="0" sourceLinked="1"/>
        <c:majorTickMark val="none"/>
        <c:minorTickMark val="none"/>
        <c:tickLblPos val="nextTo"/>
        <c:crossAx val="18858276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landscape"/>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[Customer_Purchase_Behavior.xlsx]Sheet3!PivotTable3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2.427701224846894E-2"/>
              <c:y val="-3.173228346456692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9.7040682414698161E-3"/>
              <c:y val="-1.208552055993005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11626017060367454"/>
              <c:y val="-2.447725284339457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Sheet3!$B$3</c:f>
              <c:strCache>
                <c:ptCount val="1"/>
                <c:pt idx="0">
                  <c:v>Total</c:v>
                </c:pt>
              </c:strCache>
            </c:strRef>
          </c:tx>
          <c:explosion val="4"/>
          <c:dPt>
            <c:idx val="0"/>
            <c:bubble3D val="0"/>
            <c:spPr>
              <a:solidFill>
                <a:schemeClr val="accent1"/>
              </a:solidFill>
              <a:ln w="19050">
                <a:solidFill>
                  <a:schemeClr val="lt1"/>
                </a:solidFill>
              </a:ln>
              <a:effectLst/>
            </c:spPr>
            <c:extLst>
              <c:ext xmlns:c16="http://schemas.microsoft.com/office/drawing/2014/chart" uri="{C3380CC4-5D6E-409C-BE32-E72D297353CC}">
                <c16:uniqueId val="{00000002-8612-4A9F-8E54-0D8DBDB41F6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4-8612-4A9F-8E54-0D8DBDB41F6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3-8612-4A9F-8E54-0D8DBDB41F60}"/>
              </c:ext>
            </c:extLst>
          </c:dPt>
          <c:dLbls>
            <c:dLbl>
              <c:idx val="0"/>
              <c:layout>
                <c:manualLayout>
                  <c:x val="2.427701224846894E-2"/>
                  <c:y val="-3.1732283464566927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612-4A9F-8E54-0D8DBDB41F60}"/>
                </c:ext>
              </c:extLst>
            </c:dLbl>
            <c:dLbl>
              <c:idx val="1"/>
              <c:layout>
                <c:manualLayout>
                  <c:x val="0.11626017060367454"/>
                  <c:y val="-2.4477252843394574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612-4A9F-8E54-0D8DBDB41F60}"/>
                </c:ext>
              </c:extLst>
            </c:dLbl>
            <c:dLbl>
              <c:idx val="2"/>
              <c:layout>
                <c:manualLayout>
                  <c:x val="-9.7040682414698161E-3"/>
                  <c:y val="-1.2085520559930051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612-4A9F-8E54-0D8DBDB41F6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Sheet3!$A$4:$A$7</c:f>
              <c:strCache>
                <c:ptCount val="3"/>
                <c:pt idx="0">
                  <c:v>Female</c:v>
                </c:pt>
                <c:pt idx="1">
                  <c:v>Male</c:v>
                </c:pt>
                <c:pt idx="2">
                  <c:v>Other</c:v>
                </c:pt>
              </c:strCache>
            </c:strRef>
          </c:cat>
          <c:val>
            <c:numRef>
              <c:f>Sheet3!$B$4:$B$7</c:f>
              <c:numCache>
                <c:formatCode>0</c:formatCode>
                <c:ptCount val="3"/>
                <c:pt idx="0">
                  <c:v>445707.43999999994</c:v>
                </c:pt>
                <c:pt idx="1">
                  <c:v>538677.68000000005</c:v>
                </c:pt>
                <c:pt idx="2">
                  <c:v>466326.68000000011</c:v>
                </c:pt>
              </c:numCache>
            </c:numRef>
          </c:val>
          <c:extLst>
            <c:ext xmlns:c16="http://schemas.microsoft.com/office/drawing/2014/chart" uri="{C3380CC4-5D6E-409C-BE32-E72D297353CC}">
              <c16:uniqueId val="{00000000-8612-4A9F-8E54-0D8DBDB41F6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[Customer_Purchase_Behavior.xlsx]Sheet7!PivotTable6</c:name>
    <c:fmtId val="4"/>
  </c:pivotSource>
  <c:chart>
    <c:autoTitleDeleted val="1"/>
    <c:pivotFmts>
      <c:pivotFmt>
        <c:idx val="0"/>
        <c:spPr>
          <a:ln w="28575" cap="rnd">
            <a:solidFill>
              <a:schemeClr val="accent1"/>
            </a:solidFill>
            <a:round/>
          </a:ln>
          <a:effectLst/>
        </c:spPr>
        <c:marker>
          <c:symbol val="square"/>
          <c:size val="8"/>
          <c:spPr>
            <a:noFill/>
            <a:ln w="9525">
              <a:solidFill>
                <a:schemeClr val="accent1">
                  <a:lumMod val="50000"/>
                </a:schemeClr>
              </a:solidFill>
            </a:ln>
            <a:effectLst/>
          </c:spPr>
        </c:marker>
        <c:dLbl>
          <c:idx val="0"/>
          <c:spPr>
            <a:solidFill>
              <a:schemeClr val="accent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Sheet7!$B$3</c:f>
              <c:strCache>
                <c:ptCount val="1"/>
                <c:pt idx="0">
                  <c:v>Total</c:v>
                </c:pt>
              </c:strCache>
            </c:strRef>
          </c:tx>
          <c:spPr>
            <a:ln w="28575" cap="rnd">
              <a:solidFill>
                <a:schemeClr val="accent1"/>
              </a:solidFill>
              <a:round/>
            </a:ln>
            <a:effectLst/>
          </c:spPr>
          <c:marker>
            <c:symbol val="square"/>
            <c:size val="8"/>
            <c:spPr>
              <a:noFill/>
              <a:ln w="9525">
                <a:solidFill>
                  <a:schemeClr val="accent1">
                    <a:lumMod val="50000"/>
                  </a:schemeClr>
                </a:solidFill>
              </a:ln>
              <a:effectLst/>
            </c:spPr>
          </c:marker>
          <c:dLbls>
            <c:spPr>
              <a:solidFill>
                <a:schemeClr val="accent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Sheet7!$A$4:$A$16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Sheet7!$B$4:$B$16</c:f>
              <c:numCache>
                <c:formatCode>0</c:formatCode>
                <c:ptCount val="12"/>
                <c:pt idx="0">
                  <c:v>112496.67999999998</c:v>
                </c:pt>
                <c:pt idx="1">
                  <c:v>118558.48</c:v>
                </c:pt>
                <c:pt idx="2">
                  <c:v>160684.61000000002</c:v>
                </c:pt>
                <c:pt idx="3">
                  <c:v>145962.21999999997</c:v>
                </c:pt>
                <c:pt idx="4">
                  <c:v>121075.06000000001</c:v>
                </c:pt>
                <c:pt idx="5">
                  <c:v>163443.86000000007</c:v>
                </c:pt>
                <c:pt idx="6">
                  <c:v>131210.4</c:v>
                </c:pt>
                <c:pt idx="7">
                  <c:v>100176.3</c:v>
                </c:pt>
                <c:pt idx="8">
                  <c:v>109009.87999999999</c:v>
                </c:pt>
                <c:pt idx="9">
                  <c:v>149883.60000000003</c:v>
                </c:pt>
                <c:pt idx="10">
                  <c:v>82334.060000000012</c:v>
                </c:pt>
                <c:pt idx="11">
                  <c:v>55876.649999999994</c:v>
                </c:pt>
              </c:numCache>
            </c:numRef>
          </c:val>
          <c:smooth val="0"/>
          <c:extLst>
            <c:ext xmlns:c16="http://schemas.microsoft.com/office/drawing/2014/chart" uri="{C3380CC4-5D6E-409C-BE32-E72D297353CC}">
              <c16:uniqueId val="{00000000-4B8B-4457-A382-4A5825E6D8DE}"/>
            </c:ext>
          </c:extLst>
        </c:ser>
        <c:dLbls>
          <c:dLblPos val="t"/>
          <c:showLegendKey val="0"/>
          <c:showVal val="1"/>
          <c:showCatName val="0"/>
          <c:showSerName val="0"/>
          <c:showPercent val="0"/>
          <c:showBubbleSize val="0"/>
        </c:dLbls>
        <c:marker val="1"/>
        <c:smooth val="0"/>
        <c:axId val="1791683375"/>
        <c:axId val="2003489919"/>
      </c:lineChart>
      <c:catAx>
        <c:axId val="1791683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3489919"/>
        <c:crosses val="autoZero"/>
        <c:auto val="1"/>
        <c:lblAlgn val="ctr"/>
        <c:lblOffset val="100"/>
        <c:noMultiLvlLbl val="0"/>
      </c:catAx>
      <c:valAx>
        <c:axId val="2003489919"/>
        <c:scaling>
          <c:orientation val="minMax"/>
        </c:scaling>
        <c:delete val="1"/>
        <c:axPos val="l"/>
        <c:numFmt formatCode="0" sourceLinked="1"/>
        <c:majorTickMark val="none"/>
        <c:minorTickMark val="none"/>
        <c:tickLblPos val="nextTo"/>
        <c:crossAx val="17916833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[Customer_Purchase_Behavior.xlsx]Sheet6!PivotTable5</c:name>
    <c:fmtId val="1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Sheet6!$B$3</c:f>
              <c:strCache>
                <c:ptCount val="1"/>
                <c:pt idx="0">
                  <c:v>Total</c:v>
                </c:pt>
              </c:strCache>
            </c:strRef>
          </c:tx>
          <c:explosion val="6"/>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367-4A05-9D81-055D27D5697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367-4A05-9D81-055D27D5697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367-4A05-9D81-055D27D5697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367-4A05-9D81-055D27D5697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Sheet6!$A$4:$A$8</c:f>
              <c:strCache>
                <c:ptCount val="4"/>
                <c:pt idx="0">
                  <c:v>Cash</c:v>
                </c:pt>
                <c:pt idx="1">
                  <c:v>Credit Card</c:v>
                </c:pt>
                <c:pt idx="2">
                  <c:v>Online Wallet</c:v>
                </c:pt>
                <c:pt idx="3">
                  <c:v>UPI</c:v>
                </c:pt>
              </c:strCache>
            </c:strRef>
          </c:cat>
          <c:val>
            <c:numRef>
              <c:f>Sheet6!$B$4:$B$8</c:f>
              <c:numCache>
                <c:formatCode>0</c:formatCode>
                <c:ptCount val="4"/>
                <c:pt idx="0">
                  <c:v>368749.6</c:v>
                </c:pt>
                <c:pt idx="1">
                  <c:v>411941.86</c:v>
                </c:pt>
                <c:pt idx="2">
                  <c:v>331857.64000000007</c:v>
                </c:pt>
                <c:pt idx="3">
                  <c:v>338162.70000000013</c:v>
                </c:pt>
              </c:numCache>
            </c:numRef>
          </c:val>
          <c:extLst>
            <c:ext xmlns:c16="http://schemas.microsoft.com/office/drawing/2014/chart" uri="{C3380CC4-5D6E-409C-BE32-E72D297353CC}">
              <c16:uniqueId val="{00000000-4994-45D6-91D2-F612A61AC646}"/>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[Customer_Purchase_Behavior.xlsx]Sheet8!PivotTable7</c:name>
    <c:fmtId val="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080314960629921E-2"/>
          <c:y val="5.0925925925925923E-2"/>
          <c:w val="0.91416710411198598"/>
          <c:h val="0.73434857101195683"/>
        </c:manualLayout>
      </c:layout>
      <c:barChart>
        <c:barDir val="col"/>
        <c:grouping val="clustered"/>
        <c:varyColors val="0"/>
        <c:ser>
          <c:idx val="0"/>
          <c:order val="0"/>
          <c:tx>
            <c:strRef>
              <c:f>Sheet8!$B$3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Sheet8!$A$4:$A$14</c:f>
              <c:strCache>
                <c:ptCount val="10"/>
                <c:pt idx="0">
                  <c:v>CUST0890</c:v>
                </c:pt>
                <c:pt idx="1">
                  <c:v>CUST0072</c:v>
                </c:pt>
                <c:pt idx="2">
                  <c:v>CUST0088</c:v>
                </c:pt>
                <c:pt idx="3">
                  <c:v>CUST0090</c:v>
                </c:pt>
                <c:pt idx="4">
                  <c:v>CUST0494</c:v>
                </c:pt>
                <c:pt idx="5">
                  <c:v>CUST0530</c:v>
                </c:pt>
                <c:pt idx="6">
                  <c:v>CUST0309</c:v>
                </c:pt>
                <c:pt idx="7">
                  <c:v>CUST0319</c:v>
                </c:pt>
                <c:pt idx="8">
                  <c:v>CUST0006</c:v>
                </c:pt>
                <c:pt idx="9">
                  <c:v>CUST0673</c:v>
                </c:pt>
              </c:strCache>
            </c:strRef>
          </c:cat>
          <c:val>
            <c:numRef>
              <c:f>Sheet8!$B$4:$B$14</c:f>
              <c:numCache>
                <c:formatCode>0</c:formatCode>
                <c:ptCount val="10"/>
                <c:pt idx="0">
                  <c:v>4988.5</c:v>
                </c:pt>
                <c:pt idx="1">
                  <c:v>4971.95</c:v>
                </c:pt>
                <c:pt idx="2">
                  <c:v>4944.75</c:v>
                </c:pt>
                <c:pt idx="3">
                  <c:v>4935.1499999999996</c:v>
                </c:pt>
                <c:pt idx="4">
                  <c:v>4924.0499999999993</c:v>
                </c:pt>
                <c:pt idx="5">
                  <c:v>4915.6000000000004</c:v>
                </c:pt>
                <c:pt idx="6">
                  <c:v>4887.55</c:v>
                </c:pt>
                <c:pt idx="7">
                  <c:v>4878.3</c:v>
                </c:pt>
                <c:pt idx="8">
                  <c:v>4809</c:v>
                </c:pt>
                <c:pt idx="9">
                  <c:v>4805.7</c:v>
                </c:pt>
              </c:numCache>
            </c:numRef>
          </c:val>
          <c:extLst>
            <c:ext xmlns:c16="http://schemas.microsoft.com/office/drawing/2014/chart" uri="{C3380CC4-5D6E-409C-BE32-E72D297353CC}">
              <c16:uniqueId val="{00000000-38B4-428F-9A88-9599FB3D16F9}"/>
            </c:ext>
          </c:extLst>
        </c:ser>
        <c:dLbls>
          <c:dLblPos val="outEnd"/>
          <c:showLegendKey val="0"/>
          <c:showVal val="1"/>
          <c:showCatName val="0"/>
          <c:showSerName val="0"/>
          <c:showPercent val="0"/>
          <c:showBubbleSize val="0"/>
        </c:dLbls>
        <c:gapWidth val="219"/>
        <c:overlap val="-27"/>
        <c:axId val="868753583"/>
        <c:axId val="2006662111"/>
      </c:barChart>
      <c:catAx>
        <c:axId val="86875358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6662111"/>
        <c:crosses val="autoZero"/>
        <c:auto val="1"/>
        <c:lblAlgn val="ctr"/>
        <c:lblOffset val="100"/>
        <c:noMultiLvlLbl val="0"/>
      </c:catAx>
      <c:valAx>
        <c:axId val="2006662111"/>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87535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3.svg"/><Relationship Id="rId7" Type="http://schemas.openxmlformats.org/officeDocument/2006/relationships/chart" Target="../charts/chart3.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2.xml"/><Relationship Id="rId5" Type="http://schemas.openxmlformats.org/officeDocument/2006/relationships/chart" Target="../charts/chart1.xml"/><Relationship Id="rId4" Type="http://schemas.openxmlformats.org/officeDocument/2006/relationships/image" Target="../media/image4.svg"/><Relationship Id="rId9" Type="http://schemas.openxmlformats.org/officeDocument/2006/relationships/chart" Target="../charts/chart5.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25184</xdr:rowOff>
    </xdr:from>
    <xdr:to>
      <xdr:col>24</xdr:col>
      <xdr:colOff>459036</xdr:colOff>
      <xdr:row>5</xdr:row>
      <xdr:rowOff>64265</xdr:rowOff>
    </xdr:to>
    <xdr:sp macro="" textlink="">
      <xdr:nvSpPr>
        <xdr:cNvPr id="2" name="Rectangle: Rounded Corners 1">
          <a:extLst>
            <a:ext uri="{FF2B5EF4-FFF2-40B4-BE49-F238E27FC236}">
              <a16:creationId xmlns:a16="http://schemas.microsoft.com/office/drawing/2014/main" id="{E324AF35-D7B9-C662-4D86-70A0501CC35D}"/>
            </a:ext>
          </a:extLst>
        </xdr:cNvPr>
        <xdr:cNvSpPr/>
      </xdr:nvSpPr>
      <xdr:spPr>
        <a:xfrm>
          <a:off x="0" y="208798"/>
          <a:ext cx="15001301" cy="929612"/>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426720</xdr:colOff>
      <xdr:row>19</xdr:row>
      <xdr:rowOff>7620</xdr:rowOff>
    </xdr:from>
    <xdr:to>
      <xdr:col>7</xdr:col>
      <xdr:colOff>281940</xdr:colOff>
      <xdr:row>21</xdr:row>
      <xdr:rowOff>83820</xdr:rowOff>
    </xdr:to>
    <xdr:sp macro="" textlink="">
      <xdr:nvSpPr>
        <xdr:cNvPr id="6" name="TextBox 5">
          <a:extLst>
            <a:ext uri="{FF2B5EF4-FFF2-40B4-BE49-F238E27FC236}">
              <a16:creationId xmlns:a16="http://schemas.microsoft.com/office/drawing/2014/main" id="{B4BF08B8-04C5-6475-5DC4-C50B14F40E69}"/>
            </a:ext>
          </a:extLst>
        </xdr:cNvPr>
        <xdr:cNvSpPr txBox="1"/>
      </xdr:nvSpPr>
      <xdr:spPr>
        <a:xfrm>
          <a:off x="3474720" y="3482340"/>
          <a:ext cx="1074420" cy="4419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a:t>
          </a:r>
        </a:p>
      </xdr:txBody>
    </xdr:sp>
    <xdr:clientData/>
  </xdr:twoCellAnchor>
  <xdr:twoCellAnchor>
    <xdr:from>
      <xdr:col>0</xdr:col>
      <xdr:colOff>7620</xdr:colOff>
      <xdr:row>5</xdr:row>
      <xdr:rowOff>99060</xdr:rowOff>
    </xdr:from>
    <xdr:to>
      <xdr:col>4</xdr:col>
      <xdr:colOff>83820</xdr:colOff>
      <xdr:row>10</xdr:row>
      <xdr:rowOff>160020</xdr:rowOff>
    </xdr:to>
    <xdr:sp macro="" textlink="">
      <xdr:nvSpPr>
        <xdr:cNvPr id="8" name="Rectangle: Rounded Corners 7">
          <a:extLst>
            <a:ext uri="{FF2B5EF4-FFF2-40B4-BE49-F238E27FC236}">
              <a16:creationId xmlns:a16="http://schemas.microsoft.com/office/drawing/2014/main" id="{10A5AF8E-158F-66B0-B9DA-E246F999AD21}"/>
            </a:ext>
          </a:extLst>
        </xdr:cNvPr>
        <xdr:cNvSpPr/>
      </xdr:nvSpPr>
      <xdr:spPr>
        <a:xfrm>
          <a:off x="7620" y="1013460"/>
          <a:ext cx="2514600" cy="975360"/>
        </a:xfrm>
        <a:prstGeom prst="roundRect">
          <a:avLst>
            <a:gd name="adj" fmla="val 21092"/>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30480</xdr:colOff>
      <xdr:row>5</xdr:row>
      <xdr:rowOff>129540</xdr:rowOff>
    </xdr:from>
    <xdr:to>
      <xdr:col>1</xdr:col>
      <xdr:colOff>335280</xdr:colOff>
      <xdr:row>10</xdr:row>
      <xdr:rowOff>175260</xdr:rowOff>
    </xdr:to>
    <xdr:sp macro="" textlink="">
      <xdr:nvSpPr>
        <xdr:cNvPr id="9" name="Rectangle: Rounded Corners 8">
          <a:extLst>
            <a:ext uri="{FF2B5EF4-FFF2-40B4-BE49-F238E27FC236}">
              <a16:creationId xmlns:a16="http://schemas.microsoft.com/office/drawing/2014/main" id="{896C5908-D6E3-2368-47F9-8FDAB78E8B7A}"/>
            </a:ext>
          </a:extLst>
        </xdr:cNvPr>
        <xdr:cNvSpPr/>
      </xdr:nvSpPr>
      <xdr:spPr>
        <a:xfrm>
          <a:off x="30480" y="1043940"/>
          <a:ext cx="914400" cy="9601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373380</xdr:colOff>
      <xdr:row>6</xdr:row>
      <xdr:rowOff>68580</xdr:rowOff>
    </xdr:from>
    <xdr:to>
      <xdr:col>4</xdr:col>
      <xdr:colOff>281940</xdr:colOff>
      <xdr:row>7</xdr:row>
      <xdr:rowOff>175260</xdr:rowOff>
    </xdr:to>
    <xdr:sp macro="" textlink="">
      <xdr:nvSpPr>
        <xdr:cNvPr id="10" name="TextBox 9">
          <a:extLst>
            <a:ext uri="{FF2B5EF4-FFF2-40B4-BE49-F238E27FC236}">
              <a16:creationId xmlns:a16="http://schemas.microsoft.com/office/drawing/2014/main" id="{D20F0F7D-66F9-F4DF-C25D-B6329F085B24}"/>
            </a:ext>
          </a:extLst>
        </xdr:cNvPr>
        <xdr:cNvSpPr txBox="1"/>
      </xdr:nvSpPr>
      <xdr:spPr>
        <a:xfrm>
          <a:off x="982980" y="1165860"/>
          <a:ext cx="173736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accent1"/>
              </a:solidFill>
            </a:rPr>
            <a:t>SALES</a:t>
          </a:r>
          <a:r>
            <a:rPr lang="en-US" sz="1100"/>
            <a:t> </a:t>
          </a:r>
          <a:r>
            <a:rPr lang="en-US" sz="1200">
              <a:solidFill>
                <a:schemeClr val="accent1"/>
              </a:solidFill>
            </a:rPr>
            <a:t>BY</a:t>
          </a:r>
          <a:r>
            <a:rPr lang="en-US" sz="1100"/>
            <a:t> </a:t>
          </a:r>
          <a:r>
            <a:rPr lang="en-US" sz="1100">
              <a:solidFill>
                <a:schemeClr val="accent1"/>
              </a:solidFill>
            </a:rPr>
            <a:t>PRODUCT</a:t>
          </a:r>
        </a:p>
      </xdr:txBody>
    </xdr:sp>
    <xdr:clientData/>
  </xdr:twoCellAnchor>
  <xdr:twoCellAnchor>
    <xdr:from>
      <xdr:col>1</xdr:col>
      <xdr:colOff>594360</xdr:colOff>
      <xdr:row>7</xdr:row>
      <xdr:rowOff>137160</xdr:rowOff>
    </xdr:from>
    <xdr:to>
      <xdr:col>3</xdr:col>
      <xdr:colOff>274320</xdr:colOff>
      <xdr:row>9</xdr:row>
      <xdr:rowOff>114300</xdr:rowOff>
    </xdr:to>
    <xdr:sp macro="" textlink="">
      <xdr:nvSpPr>
        <xdr:cNvPr id="11" name="TextBox 10">
          <a:extLst>
            <a:ext uri="{FF2B5EF4-FFF2-40B4-BE49-F238E27FC236}">
              <a16:creationId xmlns:a16="http://schemas.microsoft.com/office/drawing/2014/main" id="{AFB05198-0F1F-D2FD-0B68-684EFC25BB20}"/>
            </a:ext>
          </a:extLst>
        </xdr:cNvPr>
        <xdr:cNvSpPr txBox="1"/>
      </xdr:nvSpPr>
      <xdr:spPr>
        <a:xfrm>
          <a:off x="1203960" y="1417320"/>
          <a:ext cx="899160" cy="3429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i="0" u="none" strike="noStrike">
              <a:solidFill>
                <a:schemeClr val="accent1"/>
              </a:solidFill>
              <a:effectLst/>
              <a:latin typeface="+mn-lt"/>
              <a:ea typeface="+mn-ea"/>
              <a:cs typeface="+mn-cs"/>
            </a:rPr>
            <a:t>1450712</a:t>
          </a:r>
          <a:r>
            <a:rPr lang="en-US">
              <a:effectLst/>
            </a:rPr>
            <a:t> </a:t>
          </a:r>
          <a:endParaRPr lang="en-US" sz="1100"/>
        </a:p>
      </xdr:txBody>
    </xdr:sp>
    <xdr:clientData/>
  </xdr:twoCellAnchor>
  <xdr:twoCellAnchor>
    <xdr:from>
      <xdr:col>4</xdr:col>
      <xdr:colOff>358140</xdr:colOff>
      <xdr:row>5</xdr:row>
      <xdr:rowOff>144780</xdr:rowOff>
    </xdr:from>
    <xdr:to>
      <xdr:col>8</xdr:col>
      <xdr:colOff>259080</xdr:colOff>
      <xdr:row>10</xdr:row>
      <xdr:rowOff>152400</xdr:rowOff>
    </xdr:to>
    <xdr:sp macro="" textlink="">
      <xdr:nvSpPr>
        <xdr:cNvPr id="13" name="Rectangle: Rounded Corners 12">
          <a:extLst>
            <a:ext uri="{FF2B5EF4-FFF2-40B4-BE49-F238E27FC236}">
              <a16:creationId xmlns:a16="http://schemas.microsoft.com/office/drawing/2014/main" id="{373C3B2C-E66E-495D-AE6E-99E95FBCAD3F}"/>
            </a:ext>
          </a:extLst>
        </xdr:cNvPr>
        <xdr:cNvSpPr/>
      </xdr:nvSpPr>
      <xdr:spPr>
        <a:xfrm>
          <a:off x="2796540" y="1059180"/>
          <a:ext cx="2339340" cy="922020"/>
        </a:xfrm>
        <a:prstGeom prst="roundRect">
          <a:avLst>
            <a:gd name="adj" fmla="val 21092"/>
          </a:avLst>
        </a:prstGeom>
        <a:no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434340</xdr:colOff>
      <xdr:row>5</xdr:row>
      <xdr:rowOff>121920</xdr:rowOff>
    </xdr:from>
    <xdr:to>
      <xdr:col>12</xdr:col>
      <xdr:colOff>472440</xdr:colOff>
      <xdr:row>11</xdr:row>
      <xdr:rowOff>0</xdr:rowOff>
    </xdr:to>
    <xdr:sp macro="" textlink="">
      <xdr:nvSpPr>
        <xdr:cNvPr id="15" name="Rectangle: Rounded Corners 14">
          <a:extLst>
            <a:ext uri="{FF2B5EF4-FFF2-40B4-BE49-F238E27FC236}">
              <a16:creationId xmlns:a16="http://schemas.microsoft.com/office/drawing/2014/main" id="{42E0B9C4-2A97-4944-87FE-B9975244D086}"/>
            </a:ext>
          </a:extLst>
        </xdr:cNvPr>
        <xdr:cNvSpPr/>
      </xdr:nvSpPr>
      <xdr:spPr>
        <a:xfrm>
          <a:off x="5311140" y="1036320"/>
          <a:ext cx="2476500" cy="975360"/>
        </a:xfrm>
        <a:prstGeom prst="roundRect">
          <a:avLst>
            <a:gd name="adj" fmla="val 21092"/>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38100</xdr:colOff>
      <xdr:row>5</xdr:row>
      <xdr:rowOff>160020</xdr:rowOff>
    </xdr:from>
    <xdr:to>
      <xdr:col>16</xdr:col>
      <xdr:colOff>541020</xdr:colOff>
      <xdr:row>11</xdr:row>
      <xdr:rowOff>53340</xdr:rowOff>
    </xdr:to>
    <xdr:sp macro="" textlink="">
      <xdr:nvSpPr>
        <xdr:cNvPr id="17" name="Rectangle: Rounded Corners 16">
          <a:extLst>
            <a:ext uri="{FF2B5EF4-FFF2-40B4-BE49-F238E27FC236}">
              <a16:creationId xmlns:a16="http://schemas.microsoft.com/office/drawing/2014/main" id="{24093C0E-C1C3-4794-803B-33094F422557}"/>
            </a:ext>
          </a:extLst>
        </xdr:cNvPr>
        <xdr:cNvSpPr/>
      </xdr:nvSpPr>
      <xdr:spPr>
        <a:xfrm>
          <a:off x="7962900" y="1074420"/>
          <a:ext cx="2331720" cy="990600"/>
        </a:xfrm>
        <a:prstGeom prst="roundRect">
          <a:avLst>
            <a:gd name="adj" fmla="val 21092"/>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45720</xdr:colOff>
      <xdr:row>6</xdr:row>
      <xdr:rowOff>7620</xdr:rowOff>
    </xdr:from>
    <xdr:to>
      <xdr:col>21</xdr:col>
      <xdr:colOff>83820</xdr:colOff>
      <xdr:row>11</xdr:row>
      <xdr:rowOff>68580</xdr:rowOff>
    </xdr:to>
    <xdr:sp macro="" textlink="">
      <xdr:nvSpPr>
        <xdr:cNvPr id="18" name="Rectangle: Rounded Corners 17">
          <a:extLst>
            <a:ext uri="{FF2B5EF4-FFF2-40B4-BE49-F238E27FC236}">
              <a16:creationId xmlns:a16="http://schemas.microsoft.com/office/drawing/2014/main" id="{E92335FB-ACDC-4B97-BB38-364498754508}"/>
            </a:ext>
          </a:extLst>
        </xdr:cNvPr>
        <xdr:cNvSpPr/>
      </xdr:nvSpPr>
      <xdr:spPr>
        <a:xfrm>
          <a:off x="10408920" y="1104900"/>
          <a:ext cx="2476500" cy="975360"/>
        </a:xfrm>
        <a:prstGeom prst="roundRect">
          <a:avLst>
            <a:gd name="adj" fmla="val 21092"/>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449580</xdr:colOff>
      <xdr:row>5</xdr:row>
      <xdr:rowOff>129540</xdr:rowOff>
    </xdr:from>
    <xdr:to>
      <xdr:col>10</xdr:col>
      <xdr:colOff>144780</xdr:colOff>
      <xdr:row>10</xdr:row>
      <xdr:rowOff>175260</xdr:rowOff>
    </xdr:to>
    <xdr:sp macro="" textlink="">
      <xdr:nvSpPr>
        <xdr:cNvPr id="23" name="Rectangle: Rounded Corners 22">
          <a:extLst>
            <a:ext uri="{FF2B5EF4-FFF2-40B4-BE49-F238E27FC236}">
              <a16:creationId xmlns:a16="http://schemas.microsoft.com/office/drawing/2014/main" id="{8E8480DB-134B-4AF1-81D8-A4F512DDDEE8}"/>
            </a:ext>
          </a:extLst>
        </xdr:cNvPr>
        <xdr:cNvSpPr/>
      </xdr:nvSpPr>
      <xdr:spPr>
        <a:xfrm>
          <a:off x="5326380" y="1043940"/>
          <a:ext cx="914400" cy="9601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99060</xdr:colOff>
      <xdr:row>6</xdr:row>
      <xdr:rowOff>0</xdr:rowOff>
    </xdr:from>
    <xdr:to>
      <xdr:col>14</xdr:col>
      <xdr:colOff>403860</xdr:colOff>
      <xdr:row>11</xdr:row>
      <xdr:rowOff>45720</xdr:rowOff>
    </xdr:to>
    <xdr:sp macro="" textlink="">
      <xdr:nvSpPr>
        <xdr:cNvPr id="24" name="Rectangle: Rounded Corners 23">
          <a:extLst>
            <a:ext uri="{FF2B5EF4-FFF2-40B4-BE49-F238E27FC236}">
              <a16:creationId xmlns:a16="http://schemas.microsoft.com/office/drawing/2014/main" id="{E8AE8AA5-EA1F-4AFD-A9FF-BF64FF9E0D46}"/>
            </a:ext>
          </a:extLst>
        </xdr:cNvPr>
        <xdr:cNvSpPr/>
      </xdr:nvSpPr>
      <xdr:spPr>
        <a:xfrm>
          <a:off x="8023860" y="1097280"/>
          <a:ext cx="914400" cy="9601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17</xdr:col>
      <xdr:colOff>91440</xdr:colOff>
      <xdr:row>6</xdr:row>
      <xdr:rowOff>0</xdr:rowOff>
    </xdr:from>
    <xdr:to>
      <xdr:col>18</xdr:col>
      <xdr:colOff>408512</xdr:colOff>
      <xdr:row>11</xdr:row>
      <xdr:rowOff>61045</xdr:rowOff>
    </xdr:to>
    <xdr:pic>
      <xdr:nvPicPr>
        <xdr:cNvPr id="25" name="Picture 24">
          <a:extLst>
            <a:ext uri="{FF2B5EF4-FFF2-40B4-BE49-F238E27FC236}">
              <a16:creationId xmlns:a16="http://schemas.microsoft.com/office/drawing/2014/main" id="{9BCAA512-BFED-AE1D-4D7B-14E3F819BF01}"/>
            </a:ext>
          </a:extLst>
        </xdr:cNvPr>
        <xdr:cNvPicPr>
          <a:picLocks noChangeAspect="1"/>
        </xdr:cNvPicPr>
      </xdr:nvPicPr>
      <xdr:blipFill>
        <a:blip xmlns:r="http://schemas.openxmlformats.org/officeDocument/2006/relationships" r:embed="rId1"/>
        <a:stretch>
          <a:fillRect/>
        </a:stretch>
      </xdr:blipFill>
      <xdr:spPr>
        <a:xfrm>
          <a:off x="10454640" y="1097280"/>
          <a:ext cx="926672" cy="975445"/>
        </a:xfrm>
        <a:prstGeom prst="rect">
          <a:avLst/>
        </a:prstGeom>
      </xdr:spPr>
    </xdr:pic>
    <xdr:clientData/>
  </xdr:twoCellAnchor>
  <xdr:twoCellAnchor>
    <xdr:from>
      <xdr:col>9</xdr:col>
      <xdr:colOff>449580</xdr:colOff>
      <xdr:row>21</xdr:row>
      <xdr:rowOff>91440</xdr:rowOff>
    </xdr:from>
    <xdr:to>
      <xdr:col>11</xdr:col>
      <xdr:colOff>449580</xdr:colOff>
      <xdr:row>25</xdr:row>
      <xdr:rowOff>53340</xdr:rowOff>
    </xdr:to>
    <xdr:sp macro="" textlink="">
      <xdr:nvSpPr>
        <xdr:cNvPr id="26" name="TextBox 25">
          <a:extLst>
            <a:ext uri="{FF2B5EF4-FFF2-40B4-BE49-F238E27FC236}">
              <a16:creationId xmlns:a16="http://schemas.microsoft.com/office/drawing/2014/main" id="{644E08BC-020A-498A-6B9E-FB5D9DBFAA31}"/>
            </a:ext>
          </a:extLst>
        </xdr:cNvPr>
        <xdr:cNvSpPr txBox="1"/>
      </xdr:nvSpPr>
      <xdr:spPr>
        <a:xfrm>
          <a:off x="5935980" y="3931920"/>
          <a:ext cx="1219200" cy="693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solidFill>
              <a:schemeClr val="accent1"/>
            </a:solidFill>
          </a:endParaRPr>
        </a:p>
      </xdr:txBody>
    </xdr:sp>
    <xdr:clientData/>
  </xdr:twoCellAnchor>
  <xdr:twoCellAnchor>
    <xdr:from>
      <xdr:col>4</xdr:col>
      <xdr:colOff>205740</xdr:colOff>
      <xdr:row>5</xdr:row>
      <xdr:rowOff>160020</xdr:rowOff>
    </xdr:from>
    <xdr:to>
      <xdr:col>8</xdr:col>
      <xdr:colOff>243840</xdr:colOff>
      <xdr:row>11</xdr:row>
      <xdr:rowOff>38100</xdr:rowOff>
    </xdr:to>
    <xdr:sp macro="" textlink="">
      <xdr:nvSpPr>
        <xdr:cNvPr id="27" name="Rectangle: Rounded Corners 26">
          <a:extLst>
            <a:ext uri="{FF2B5EF4-FFF2-40B4-BE49-F238E27FC236}">
              <a16:creationId xmlns:a16="http://schemas.microsoft.com/office/drawing/2014/main" id="{A078D98C-5C38-49CD-8B02-B1D6FC1AC4BA}"/>
            </a:ext>
          </a:extLst>
        </xdr:cNvPr>
        <xdr:cNvSpPr/>
      </xdr:nvSpPr>
      <xdr:spPr>
        <a:xfrm>
          <a:off x="2644140" y="1074420"/>
          <a:ext cx="2476500" cy="975360"/>
        </a:xfrm>
        <a:prstGeom prst="roundRect">
          <a:avLst>
            <a:gd name="adj" fmla="val 21092"/>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22860</xdr:colOff>
      <xdr:row>6</xdr:row>
      <xdr:rowOff>83820</xdr:rowOff>
    </xdr:from>
    <xdr:to>
      <xdr:col>7</xdr:col>
      <xdr:colOff>579120</xdr:colOff>
      <xdr:row>9</xdr:row>
      <xdr:rowOff>114300</xdr:rowOff>
    </xdr:to>
    <xdr:sp macro="" textlink="">
      <xdr:nvSpPr>
        <xdr:cNvPr id="28" name="TextBox 27">
          <a:extLst>
            <a:ext uri="{FF2B5EF4-FFF2-40B4-BE49-F238E27FC236}">
              <a16:creationId xmlns:a16="http://schemas.microsoft.com/office/drawing/2014/main" id="{FC38C2C0-0C94-F349-11DE-120AEEAFE134}"/>
            </a:ext>
          </a:extLst>
        </xdr:cNvPr>
        <xdr:cNvSpPr txBox="1"/>
      </xdr:nvSpPr>
      <xdr:spPr>
        <a:xfrm>
          <a:off x="3680460" y="1181100"/>
          <a:ext cx="1165860" cy="5791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accent1"/>
              </a:solidFill>
            </a:rPr>
            <a:t>MONTHLY SALES TREND</a:t>
          </a:r>
        </a:p>
      </xdr:txBody>
    </xdr:sp>
    <xdr:clientData/>
  </xdr:twoCellAnchor>
  <xdr:twoCellAnchor>
    <xdr:from>
      <xdr:col>4</xdr:col>
      <xdr:colOff>205740</xdr:colOff>
      <xdr:row>5</xdr:row>
      <xdr:rowOff>160020</xdr:rowOff>
    </xdr:from>
    <xdr:to>
      <xdr:col>5</xdr:col>
      <xdr:colOff>510540</xdr:colOff>
      <xdr:row>11</xdr:row>
      <xdr:rowOff>22860</xdr:rowOff>
    </xdr:to>
    <xdr:sp macro="" textlink="">
      <xdr:nvSpPr>
        <xdr:cNvPr id="30" name="Rectangle: Rounded Corners 29">
          <a:extLst>
            <a:ext uri="{FF2B5EF4-FFF2-40B4-BE49-F238E27FC236}">
              <a16:creationId xmlns:a16="http://schemas.microsoft.com/office/drawing/2014/main" id="{4EC4078F-7179-4A70-AB6C-EE620024CA2A}"/>
            </a:ext>
          </a:extLst>
        </xdr:cNvPr>
        <xdr:cNvSpPr/>
      </xdr:nvSpPr>
      <xdr:spPr>
        <a:xfrm>
          <a:off x="2644140" y="1074420"/>
          <a:ext cx="914400" cy="9601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220980</xdr:colOff>
      <xdr:row>8</xdr:row>
      <xdr:rowOff>106680</xdr:rowOff>
    </xdr:from>
    <xdr:to>
      <xdr:col>8</xdr:col>
      <xdr:colOff>45720</xdr:colOff>
      <xdr:row>9</xdr:row>
      <xdr:rowOff>167640</xdr:rowOff>
    </xdr:to>
    <xdr:sp macro="" textlink="">
      <xdr:nvSpPr>
        <xdr:cNvPr id="31" name="TextBox 30">
          <a:extLst>
            <a:ext uri="{FF2B5EF4-FFF2-40B4-BE49-F238E27FC236}">
              <a16:creationId xmlns:a16="http://schemas.microsoft.com/office/drawing/2014/main" id="{C0A8545A-1EEF-50A5-6737-1DC1DF8DA4DF}"/>
            </a:ext>
          </a:extLst>
        </xdr:cNvPr>
        <xdr:cNvSpPr txBox="1"/>
      </xdr:nvSpPr>
      <xdr:spPr>
        <a:xfrm>
          <a:off x="3878580" y="1569720"/>
          <a:ext cx="104394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i="0" u="none" strike="noStrike">
              <a:solidFill>
                <a:schemeClr val="accent1"/>
              </a:solidFill>
              <a:effectLst/>
              <a:latin typeface="+mn-lt"/>
              <a:ea typeface="+mn-ea"/>
              <a:cs typeface="+mn-cs"/>
            </a:rPr>
            <a:t>1450712</a:t>
          </a:r>
          <a:r>
            <a:rPr lang="en-US">
              <a:effectLst/>
            </a:rPr>
            <a:t> </a:t>
          </a:r>
          <a:endParaRPr lang="en-US" sz="1100"/>
        </a:p>
      </xdr:txBody>
    </xdr:sp>
    <xdr:clientData/>
  </xdr:twoCellAnchor>
  <xdr:twoCellAnchor>
    <xdr:from>
      <xdr:col>10</xdr:col>
      <xdr:colOff>228600</xdr:colOff>
      <xdr:row>6</xdr:row>
      <xdr:rowOff>68580</xdr:rowOff>
    </xdr:from>
    <xdr:to>
      <xdr:col>12</xdr:col>
      <xdr:colOff>388620</xdr:colOff>
      <xdr:row>9</xdr:row>
      <xdr:rowOff>99060</xdr:rowOff>
    </xdr:to>
    <xdr:sp macro="" textlink="">
      <xdr:nvSpPr>
        <xdr:cNvPr id="32" name="TextBox 31">
          <a:extLst>
            <a:ext uri="{FF2B5EF4-FFF2-40B4-BE49-F238E27FC236}">
              <a16:creationId xmlns:a16="http://schemas.microsoft.com/office/drawing/2014/main" id="{6278EFB8-FE75-A8CF-C03F-436C4C2266B2}"/>
            </a:ext>
          </a:extLst>
        </xdr:cNvPr>
        <xdr:cNvSpPr txBox="1"/>
      </xdr:nvSpPr>
      <xdr:spPr>
        <a:xfrm>
          <a:off x="6324600" y="1165860"/>
          <a:ext cx="1379220" cy="579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accent1"/>
              </a:solidFill>
            </a:rPr>
            <a:t>SALES BY PAYMENT METHOD</a:t>
          </a:r>
        </a:p>
      </xdr:txBody>
    </xdr:sp>
    <xdr:clientData/>
  </xdr:twoCellAnchor>
  <xdr:twoCellAnchor>
    <xdr:from>
      <xdr:col>10</xdr:col>
      <xdr:colOff>365760</xdr:colOff>
      <xdr:row>8</xdr:row>
      <xdr:rowOff>144780</xdr:rowOff>
    </xdr:from>
    <xdr:to>
      <xdr:col>12</xdr:col>
      <xdr:colOff>83820</xdr:colOff>
      <xdr:row>10</xdr:row>
      <xdr:rowOff>38100</xdr:rowOff>
    </xdr:to>
    <xdr:sp macro="" textlink="">
      <xdr:nvSpPr>
        <xdr:cNvPr id="33" name="TextBox 32">
          <a:extLst>
            <a:ext uri="{FF2B5EF4-FFF2-40B4-BE49-F238E27FC236}">
              <a16:creationId xmlns:a16="http://schemas.microsoft.com/office/drawing/2014/main" id="{62C32BF3-20C6-3F9E-CA6C-8676D92B10CE}"/>
            </a:ext>
          </a:extLst>
        </xdr:cNvPr>
        <xdr:cNvSpPr txBox="1"/>
      </xdr:nvSpPr>
      <xdr:spPr>
        <a:xfrm>
          <a:off x="6461760" y="1607820"/>
          <a:ext cx="93726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i="0" u="none" strike="noStrike">
              <a:solidFill>
                <a:schemeClr val="accent1"/>
              </a:solidFill>
              <a:effectLst/>
              <a:latin typeface="+mn-lt"/>
              <a:ea typeface="+mn-ea"/>
              <a:cs typeface="+mn-cs"/>
            </a:rPr>
            <a:t>1450712</a:t>
          </a:r>
          <a:r>
            <a:rPr lang="en-US" sz="1400">
              <a:solidFill>
                <a:schemeClr val="accent1"/>
              </a:solidFill>
              <a:effectLst/>
            </a:rPr>
            <a:t> </a:t>
          </a:r>
          <a:endParaRPr lang="en-US" sz="1400">
            <a:solidFill>
              <a:schemeClr val="accent1"/>
            </a:solidFill>
          </a:endParaRPr>
        </a:p>
      </xdr:txBody>
    </xdr:sp>
    <xdr:clientData/>
  </xdr:twoCellAnchor>
  <xdr:twoCellAnchor>
    <xdr:from>
      <xdr:col>14</xdr:col>
      <xdr:colOff>457200</xdr:colOff>
      <xdr:row>6</xdr:row>
      <xdr:rowOff>15240</xdr:rowOff>
    </xdr:from>
    <xdr:to>
      <xdr:col>16</xdr:col>
      <xdr:colOff>373380</xdr:colOff>
      <xdr:row>9</xdr:row>
      <xdr:rowOff>83820</xdr:rowOff>
    </xdr:to>
    <xdr:sp macro="" textlink="">
      <xdr:nvSpPr>
        <xdr:cNvPr id="34" name="TextBox 33">
          <a:extLst>
            <a:ext uri="{FF2B5EF4-FFF2-40B4-BE49-F238E27FC236}">
              <a16:creationId xmlns:a16="http://schemas.microsoft.com/office/drawing/2014/main" id="{52D00FF9-8420-C270-91BA-D5096A9CC942}"/>
            </a:ext>
          </a:extLst>
        </xdr:cNvPr>
        <xdr:cNvSpPr txBox="1"/>
      </xdr:nvSpPr>
      <xdr:spPr>
        <a:xfrm>
          <a:off x="8991600" y="1112520"/>
          <a:ext cx="1135380" cy="617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accent1"/>
              </a:solidFill>
            </a:rPr>
            <a:t>TOP 10 CUSTOMER BY SPEND</a:t>
          </a:r>
        </a:p>
      </xdr:txBody>
    </xdr:sp>
    <xdr:clientData/>
  </xdr:twoCellAnchor>
  <xdr:twoCellAnchor>
    <xdr:from>
      <xdr:col>14</xdr:col>
      <xdr:colOff>571500</xdr:colOff>
      <xdr:row>9</xdr:row>
      <xdr:rowOff>38100</xdr:rowOff>
    </xdr:from>
    <xdr:to>
      <xdr:col>16</xdr:col>
      <xdr:colOff>266700</xdr:colOff>
      <xdr:row>10</xdr:row>
      <xdr:rowOff>160020</xdr:rowOff>
    </xdr:to>
    <xdr:sp macro="" textlink="">
      <xdr:nvSpPr>
        <xdr:cNvPr id="35" name="TextBox 34">
          <a:extLst>
            <a:ext uri="{FF2B5EF4-FFF2-40B4-BE49-F238E27FC236}">
              <a16:creationId xmlns:a16="http://schemas.microsoft.com/office/drawing/2014/main" id="{3A585C75-64A8-CEE2-E55F-BCC466F1DF52}"/>
            </a:ext>
          </a:extLst>
        </xdr:cNvPr>
        <xdr:cNvSpPr txBox="1"/>
      </xdr:nvSpPr>
      <xdr:spPr>
        <a:xfrm>
          <a:off x="9105900" y="1684020"/>
          <a:ext cx="9144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i="0" u="none" strike="noStrike">
              <a:solidFill>
                <a:schemeClr val="accent1"/>
              </a:solidFill>
              <a:effectLst/>
              <a:latin typeface="+mn-lt"/>
              <a:ea typeface="+mn-ea"/>
              <a:cs typeface="+mn-cs"/>
            </a:rPr>
            <a:t>49061</a:t>
          </a:r>
          <a:r>
            <a:rPr lang="en-US" sz="1400">
              <a:solidFill>
                <a:schemeClr val="accent1"/>
              </a:solidFill>
              <a:effectLst/>
            </a:rPr>
            <a:t> </a:t>
          </a:r>
          <a:endParaRPr lang="en-US" sz="1400">
            <a:solidFill>
              <a:schemeClr val="accent1"/>
            </a:solidFill>
          </a:endParaRPr>
        </a:p>
      </xdr:txBody>
    </xdr:sp>
    <xdr:clientData/>
  </xdr:twoCellAnchor>
  <xdr:twoCellAnchor>
    <xdr:from>
      <xdr:col>18</xdr:col>
      <xdr:colOff>579120</xdr:colOff>
      <xdr:row>6</xdr:row>
      <xdr:rowOff>137160</xdr:rowOff>
    </xdr:from>
    <xdr:to>
      <xdr:col>20</xdr:col>
      <xdr:colOff>403860</xdr:colOff>
      <xdr:row>9</xdr:row>
      <xdr:rowOff>38100</xdr:rowOff>
    </xdr:to>
    <xdr:sp macro="" textlink="">
      <xdr:nvSpPr>
        <xdr:cNvPr id="36" name="TextBox 35">
          <a:extLst>
            <a:ext uri="{FF2B5EF4-FFF2-40B4-BE49-F238E27FC236}">
              <a16:creationId xmlns:a16="http://schemas.microsoft.com/office/drawing/2014/main" id="{551C3E1D-74D5-1177-D176-E5CCCC596F18}"/>
            </a:ext>
          </a:extLst>
        </xdr:cNvPr>
        <xdr:cNvSpPr txBox="1"/>
      </xdr:nvSpPr>
      <xdr:spPr>
        <a:xfrm>
          <a:off x="11551920" y="1234440"/>
          <a:ext cx="1043940" cy="4495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accent1"/>
              </a:solidFill>
            </a:rPr>
            <a:t>SALES BY GENDER</a:t>
          </a:r>
        </a:p>
      </xdr:txBody>
    </xdr:sp>
    <xdr:clientData/>
  </xdr:twoCellAnchor>
  <xdr:twoCellAnchor>
    <xdr:from>
      <xdr:col>18</xdr:col>
      <xdr:colOff>518160</xdr:colOff>
      <xdr:row>8</xdr:row>
      <xdr:rowOff>137160</xdr:rowOff>
    </xdr:from>
    <xdr:to>
      <xdr:col>20</xdr:col>
      <xdr:colOff>137160</xdr:colOff>
      <xdr:row>10</xdr:row>
      <xdr:rowOff>0</xdr:rowOff>
    </xdr:to>
    <xdr:sp macro="" textlink="">
      <xdr:nvSpPr>
        <xdr:cNvPr id="37" name="TextBox 36">
          <a:extLst>
            <a:ext uri="{FF2B5EF4-FFF2-40B4-BE49-F238E27FC236}">
              <a16:creationId xmlns:a16="http://schemas.microsoft.com/office/drawing/2014/main" id="{8DA5E82E-ABB4-73FD-5D99-DA55F98ECD00}"/>
            </a:ext>
          </a:extLst>
        </xdr:cNvPr>
        <xdr:cNvSpPr txBox="1"/>
      </xdr:nvSpPr>
      <xdr:spPr>
        <a:xfrm>
          <a:off x="11490960" y="1600200"/>
          <a:ext cx="83820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i="0" u="none" strike="noStrike">
              <a:solidFill>
                <a:schemeClr val="accent1"/>
              </a:solidFill>
              <a:effectLst/>
              <a:latin typeface="+mn-lt"/>
              <a:ea typeface="+mn-ea"/>
              <a:cs typeface="+mn-cs"/>
            </a:rPr>
            <a:t>1450712</a:t>
          </a:r>
          <a:r>
            <a:rPr lang="en-US" sz="1400">
              <a:solidFill>
                <a:schemeClr val="accent1"/>
              </a:solidFill>
              <a:effectLst/>
            </a:rPr>
            <a:t> </a:t>
          </a:r>
          <a:endParaRPr lang="en-US" sz="1400">
            <a:solidFill>
              <a:schemeClr val="accent1"/>
            </a:solidFill>
          </a:endParaRPr>
        </a:p>
      </xdr:txBody>
    </xdr:sp>
    <xdr:clientData/>
  </xdr:twoCellAnchor>
  <xdr:twoCellAnchor editAs="oneCell">
    <xdr:from>
      <xdr:col>8</xdr:col>
      <xdr:colOff>457200</xdr:colOff>
      <xdr:row>5</xdr:row>
      <xdr:rowOff>129540</xdr:rowOff>
    </xdr:from>
    <xdr:to>
      <xdr:col>10</xdr:col>
      <xdr:colOff>152400</xdr:colOff>
      <xdr:row>10</xdr:row>
      <xdr:rowOff>129540</xdr:rowOff>
    </xdr:to>
    <xdr:pic>
      <xdr:nvPicPr>
        <xdr:cNvPr id="43" name="Graphic 42" descr="Money with solid fill">
          <a:extLst>
            <a:ext uri="{FF2B5EF4-FFF2-40B4-BE49-F238E27FC236}">
              <a16:creationId xmlns:a16="http://schemas.microsoft.com/office/drawing/2014/main" id="{1535ABDE-3CCB-D8DF-9B6C-F961A0CFC8FE}"/>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5334000" y="1043940"/>
          <a:ext cx="914400" cy="914400"/>
        </a:xfrm>
        <a:prstGeom prst="rect">
          <a:avLst/>
        </a:prstGeom>
      </xdr:spPr>
    </xdr:pic>
    <xdr:clientData/>
  </xdr:twoCellAnchor>
  <xdr:twoCellAnchor editAs="oneCell">
    <xdr:from>
      <xdr:col>4</xdr:col>
      <xdr:colOff>220980</xdr:colOff>
      <xdr:row>5</xdr:row>
      <xdr:rowOff>106680</xdr:rowOff>
    </xdr:from>
    <xdr:to>
      <xdr:col>5</xdr:col>
      <xdr:colOff>525780</xdr:colOff>
      <xdr:row>10</xdr:row>
      <xdr:rowOff>106680</xdr:rowOff>
    </xdr:to>
    <xdr:pic>
      <xdr:nvPicPr>
        <xdr:cNvPr id="49" name="Graphic 48" descr="Money with solid fill">
          <a:extLst>
            <a:ext uri="{FF2B5EF4-FFF2-40B4-BE49-F238E27FC236}">
              <a16:creationId xmlns:a16="http://schemas.microsoft.com/office/drawing/2014/main" id="{C2EA16D9-801E-4BDC-9EDE-817567B4DF98}"/>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659380" y="1021080"/>
          <a:ext cx="914400" cy="914400"/>
        </a:xfrm>
        <a:prstGeom prst="rect">
          <a:avLst/>
        </a:prstGeom>
      </xdr:spPr>
    </xdr:pic>
    <xdr:clientData/>
  </xdr:twoCellAnchor>
  <xdr:twoCellAnchor editAs="oneCell">
    <xdr:from>
      <xdr:col>13</xdr:col>
      <xdr:colOff>99060</xdr:colOff>
      <xdr:row>5</xdr:row>
      <xdr:rowOff>160020</xdr:rowOff>
    </xdr:from>
    <xdr:to>
      <xdr:col>14</xdr:col>
      <xdr:colOff>403860</xdr:colOff>
      <xdr:row>10</xdr:row>
      <xdr:rowOff>160020</xdr:rowOff>
    </xdr:to>
    <xdr:pic>
      <xdr:nvPicPr>
        <xdr:cNvPr id="50" name="Graphic 49" descr="Money with solid fill">
          <a:extLst>
            <a:ext uri="{FF2B5EF4-FFF2-40B4-BE49-F238E27FC236}">
              <a16:creationId xmlns:a16="http://schemas.microsoft.com/office/drawing/2014/main" id="{4F4F039F-C75D-44B4-AB7A-0D945A127241}"/>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4"/>
            </a:ext>
          </a:extLst>
        </a:blip>
        <a:stretch>
          <a:fillRect/>
        </a:stretch>
      </xdr:blipFill>
      <xdr:spPr>
        <a:xfrm>
          <a:off x="8023860" y="1074420"/>
          <a:ext cx="914400" cy="914400"/>
        </a:xfrm>
        <a:prstGeom prst="rect">
          <a:avLst/>
        </a:prstGeom>
      </xdr:spPr>
    </xdr:pic>
    <xdr:clientData/>
  </xdr:twoCellAnchor>
  <xdr:twoCellAnchor editAs="oneCell">
    <xdr:from>
      <xdr:col>17</xdr:col>
      <xdr:colOff>106680</xdr:colOff>
      <xdr:row>5</xdr:row>
      <xdr:rowOff>175260</xdr:rowOff>
    </xdr:from>
    <xdr:to>
      <xdr:col>18</xdr:col>
      <xdr:colOff>411480</xdr:colOff>
      <xdr:row>10</xdr:row>
      <xdr:rowOff>175260</xdr:rowOff>
    </xdr:to>
    <xdr:pic>
      <xdr:nvPicPr>
        <xdr:cNvPr id="52" name="Graphic 51" descr="Money with solid fill">
          <a:extLst>
            <a:ext uri="{FF2B5EF4-FFF2-40B4-BE49-F238E27FC236}">
              <a16:creationId xmlns:a16="http://schemas.microsoft.com/office/drawing/2014/main" id="{B7751109-5399-4EF5-A823-3114472C222C}"/>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0469880" y="1089660"/>
          <a:ext cx="914400" cy="914400"/>
        </a:xfrm>
        <a:prstGeom prst="rect">
          <a:avLst/>
        </a:prstGeom>
      </xdr:spPr>
    </xdr:pic>
    <xdr:clientData/>
  </xdr:twoCellAnchor>
  <xdr:twoCellAnchor editAs="oneCell">
    <xdr:from>
      <xdr:col>0</xdr:col>
      <xdr:colOff>30480</xdr:colOff>
      <xdr:row>5</xdr:row>
      <xdr:rowOff>121920</xdr:rowOff>
    </xdr:from>
    <xdr:to>
      <xdr:col>1</xdr:col>
      <xdr:colOff>335280</xdr:colOff>
      <xdr:row>10</xdr:row>
      <xdr:rowOff>121920</xdr:rowOff>
    </xdr:to>
    <xdr:pic>
      <xdr:nvPicPr>
        <xdr:cNvPr id="53" name="Graphic 52" descr="Money with solid fill">
          <a:extLst>
            <a:ext uri="{FF2B5EF4-FFF2-40B4-BE49-F238E27FC236}">
              <a16:creationId xmlns:a16="http://schemas.microsoft.com/office/drawing/2014/main" id="{7B285333-A5F2-4FEE-80C1-2A32F9A05211}"/>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30480" y="1036320"/>
          <a:ext cx="914400" cy="914400"/>
        </a:xfrm>
        <a:prstGeom prst="rect">
          <a:avLst/>
        </a:prstGeom>
      </xdr:spPr>
    </xdr:pic>
    <xdr:clientData/>
  </xdr:twoCellAnchor>
  <xdr:twoCellAnchor>
    <xdr:from>
      <xdr:col>2</xdr:col>
      <xdr:colOff>53340</xdr:colOff>
      <xdr:row>0</xdr:row>
      <xdr:rowOff>167640</xdr:rowOff>
    </xdr:from>
    <xdr:to>
      <xdr:col>17</xdr:col>
      <xdr:colOff>487680</xdr:colOff>
      <xdr:row>4</xdr:row>
      <xdr:rowOff>30480</xdr:rowOff>
    </xdr:to>
    <xdr:sp macro="" textlink="">
      <xdr:nvSpPr>
        <xdr:cNvPr id="54" name="TextBox 53">
          <a:extLst>
            <a:ext uri="{FF2B5EF4-FFF2-40B4-BE49-F238E27FC236}">
              <a16:creationId xmlns:a16="http://schemas.microsoft.com/office/drawing/2014/main" id="{BA0A9B8B-B513-EE99-30ED-9170FD8277B5}"/>
            </a:ext>
          </a:extLst>
        </xdr:cNvPr>
        <xdr:cNvSpPr txBox="1"/>
      </xdr:nvSpPr>
      <xdr:spPr>
        <a:xfrm>
          <a:off x="1272540" y="167640"/>
          <a:ext cx="9578340" cy="594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600">
              <a:solidFill>
                <a:schemeClr val="accent1"/>
              </a:solidFill>
            </a:rPr>
            <a:t>CUSTOMER PURCHASE BEHAVIOUR ANALYSIS</a:t>
          </a:r>
        </a:p>
      </xdr:txBody>
    </xdr:sp>
    <xdr:clientData/>
  </xdr:twoCellAnchor>
  <xdr:twoCellAnchor editAs="oneCell">
    <xdr:from>
      <xdr:col>0</xdr:col>
      <xdr:colOff>0</xdr:colOff>
      <xdr:row>12</xdr:row>
      <xdr:rowOff>30480</xdr:rowOff>
    </xdr:from>
    <xdr:to>
      <xdr:col>3</xdr:col>
      <xdr:colOff>601980</xdr:colOff>
      <xdr:row>25</xdr:row>
      <xdr:rowOff>15240</xdr:rowOff>
    </xdr:to>
    <mc:AlternateContent xmlns:mc="http://schemas.openxmlformats.org/markup-compatibility/2006" xmlns:a14="http://schemas.microsoft.com/office/drawing/2010/main">
      <mc:Choice Requires="a14">
        <xdr:graphicFrame macro="">
          <xdr:nvGraphicFramePr>
            <xdr:cNvPr id="55" name="Product_Category 1">
              <a:extLst>
                <a:ext uri="{FF2B5EF4-FFF2-40B4-BE49-F238E27FC236}">
                  <a16:creationId xmlns:a16="http://schemas.microsoft.com/office/drawing/2014/main" id="{78E06ACC-2010-4234-920A-225C6F79D1A7}"/>
                </a:ext>
              </a:extLst>
            </xdr:cNvPr>
            <xdr:cNvGraphicFramePr/>
          </xdr:nvGraphicFramePr>
          <xdr:xfrm>
            <a:off x="0" y="0"/>
            <a:ext cx="0" cy="0"/>
          </xdr:xfrm>
          <a:graphic>
            <a:graphicData uri="http://schemas.microsoft.com/office/drawing/2010/slicer">
              <sle:slicer xmlns:sle="http://schemas.microsoft.com/office/drawing/2010/slicer" name="Product_Category 1"/>
            </a:graphicData>
          </a:graphic>
        </xdr:graphicFrame>
      </mc:Choice>
      <mc:Fallback xmlns="">
        <xdr:sp macro="" textlink="">
          <xdr:nvSpPr>
            <xdr:cNvPr id="0" name=""/>
            <xdr:cNvSpPr>
              <a:spLocks noTextEdit="1"/>
            </xdr:cNvSpPr>
          </xdr:nvSpPr>
          <xdr:spPr>
            <a:xfrm>
              <a:off x="0" y="2408844"/>
              <a:ext cx="2437707" cy="23862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304800</xdr:colOff>
      <xdr:row>6</xdr:row>
      <xdr:rowOff>7620</xdr:rowOff>
    </xdr:from>
    <xdr:to>
      <xdr:col>24</xdr:col>
      <xdr:colOff>419100</xdr:colOff>
      <xdr:row>11</xdr:row>
      <xdr:rowOff>83820</xdr:rowOff>
    </xdr:to>
    <mc:AlternateContent xmlns:mc="http://schemas.openxmlformats.org/markup-compatibility/2006" xmlns:a14="http://schemas.microsoft.com/office/drawing/2010/main">
      <mc:Choice Requires="a14">
        <xdr:graphicFrame macro="">
          <xdr:nvGraphicFramePr>
            <xdr:cNvPr id="56" name="Gender 1">
              <a:extLst>
                <a:ext uri="{FF2B5EF4-FFF2-40B4-BE49-F238E27FC236}">
                  <a16:creationId xmlns:a16="http://schemas.microsoft.com/office/drawing/2014/main" id="{3E5ACAE5-D498-403B-949B-D2C794898B63}"/>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3154891" y="1277620"/>
              <a:ext cx="1950027" cy="9998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25</xdr:row>
      <xdr:rowOff>68579</xdr:rowOff>
    </xdr:from>
    <xdr:to>
      <xdr:col>3</xdr:col>
      <xdr:colOff>586740</xdr:colOff>
      <xdr:row>79</xdr:row>
      <xdr:rowOff>81064</xdr:rowOff>
    </xdr:to>
    <mc:AlternateContent xmlns:mc="http://schemas.openxmlformats.org/markup-compatibility/2006" xmlns:a14="http://schemas.microsoft.com/office/drawing/2010/main">
      <mc:Choice Requires="a14">
        <xdr:graphicFrame macro="">
          <xdr:nvGraphicFramePr>
            <xdr:cNvPr id="57" name="Customer_ID 1">
              <a:extLst>
                <a:ext uri="{FF2B5EF4-FFF2-40B4-BE49-F238E27FC236}">
                  <a16:creationId xmlns:a16="http://schemas.microsoft.com/office/drawing/2014/main" id="{B2C2808C-4DD7-4407-BC59-681360F8E311}"/>
                </a:ext>
              </a:extLst>
            </xdr:cNvPr>
            <xdr:cNvGraphicFramePr/>
          </xdr:nvGraphicFramePr>
          <xdr:xfrm>
            <a:off x="0" y="0"/>
            <a:ext cx="0" cy="0"/>
          </xdr:xfrm>
          <a:graphic>
            <a:graphicData uri="http://schemas.microsoft.com/office/drawing/2010/slicer">
              <sle:slicer xmlns:sle="http://schemas.microsoft.com/office/drawing/2010/slicer" name="Customer_ID 1"/>
            </a:graphicData>
          </a:graphic>
        </xdr:graphicFrame>
      </mc:Choice>
      <mc:Fallback xmlns="">
        <xdr:sp macro="" textlink="">
          <xdr:nvSpPr>
            <xdr:cNvPr id="0" name=""/>
            <xdr:cNvSpPr>
              <a:spLocks noTextEdit="1"/>
            </xdr:cNvSpPr>
          </xdr:nvSpPr>
          <xdr:spPr>
            <a:xfrm>
              <a:off x="0" y="4848397"/>
              <a:ext cx="2422467" cy="998775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202660</xdr:colOff>
      <xdr:row>11</xdr:row>
      <xdr:rowOff>170235</xdr:rowOff>
    </xdr:from>
    <xdr:to>
      <xdr:col>12</xdr:col>
      <xdr:colOff>510702</xdr:colOff>
      <xdr:row>33</xdr:row>
      <xdr:rowOff>105383</xdr:rowOff>
    </xdr:to>
    <xdr:sp macro="" textlink="">
      <xdr:nvSpPr>
        <xdr:cNvPr id="58" name="Rectangle: Rounded Corners 57">
          <a:extLst>
            <a:ext uri="{FF2B5EF4-FFF2-40B4-BE49-F238E27FC236}">
              <a16:creationId xmlns:a16="http://schemas.microsoft.com/office/drawing/2014/main" id="{16CBFBF7-CBAB-43BF-8EE7-8D6029513B35}"/>
            </a:ext>
          </a:extLst>
        </xdr:cNvPr>
        <xdr:cNvSpPr/>
      </xdr:nvSpPr>
      <xdr:spPr>
        <a:xfrm>
          <a:off x="2634575" y="2375171"/>
          <a:ext cx="5171872" cy="4036978"/>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575553</xdr:colOff>
      <xdr:row>13</xdr:row>
      <xdr:rowOff>8107</xdr:rowOff>
    </xdr:from>
    <xdr:to>
      <xdr:col>12</xdr:col>
      <xdr:colOff>64851</xdr:colOff>
      <xdr:row>15</xdr:row>
      <xdr:rowOff>64852</xdr:rowOff>
    </xdr:to>
    <xdr:sp macro="" textlink="">
      <xdr:nvSpPr>
        <xdr:cNvPr id="59" name="TextBox 58">
          <a:extLst>
            <a:ext uri="{FF2B5EF4-FFF2-40B4-BE49-F238E27FC236}">
              <a16:creationId xmlns:a16="http://schemas.microsoft.com/office/drawing/2014/main" id="{B802814B-246F-3157-8782-7C9AFBE16B10}"/>
            </a:ext>
          </a:extLst>
        </xdr:cNvPr>
        <xdr:cNvSpPr txBox="1"/>
      </xdr:nvSpPr>
      <xdr:spPr>
        <a:xfrm>
          <a:off x="3615447" y="2585937"/>
          <a:ext cx="3745149" cy="4296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accent1"/>
              </a:solidFill>
            </a:rPr>
            <a:t>SALES BY PRODUCT CATEGORY</a:t>
          </a:r>
        </a:p>
      </xdr:txBody>
    </xdr:sp>
    <xdr:clientData/>
  </xdr:twoCellAnchor>
  <xdr:twoCellAnchor>
    <xdr:from>
      <xdr:col>4</xdr:col>
      <xdr:colOff>599872</xdr:colOff>
      <xdr:row>14</xdr:row>
      <xdr:rowOff>89169</xdr:rowOff>
    </xdr:from>
    <xdr:to>
      <xdr:col>12</xdr:col>
      <xdr:colOff>170234</xdr:colOff>
      <xdr:row>32</xdr:row>
      <xdr:rowOff>40531</xdr:rowOff>
    </xdr:to>
    <xdr:graphicFrame macro="">
      <xdr:nvGraphicFramePr>
        <xdr:cNvPr id="60" name="Chart 59">
          <a:extLst>
            <a:ext uri="{FF2B5EF4-FFF2-40B4-BE49-F238E27FC236}">
              <a16:creationId xmlns:a16="http://schemas.microsoft.com/office/drawing/2014/main" id="{54DC823A-8F06-4507-9883-9BA8A103E3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259404</xdr:colOff>
      <xdr:row>34</xdr:row>
      <xdr:rowOff>145915</xdr:rowOff>
    </xdr:from>
    <xdr:to>
      <xdr:col>12</xdr:col>
      <xdr:colOff>567446</xdr:colOff>
      <xdr:row>56</xdr:row>
      <xdr:rowOff>81063</xdr:rowOff>
    </xdr:to>
    <xdr:sp macro="" textlink="">
      <xdr:nvSpPr>
        <xdr:cNvPr id="62" name="Rectangle: Rounded Corners 61">
          <a:extLst>
            <a:ext uri="{FF2B5EF4-FFF2-40B4-BE49-F238E27FC236}">
              <a16:creationId xmlns:a16="http://schemas.microsoft.com/office/drawing/2014/main" id="{2B4795FF-5B2E-4D8D-97F5-FDCF05849A2F}"/>
            </a:ext>
          </a:extLst>
        </xdr:cNvPr>
        <xdr:cNvSpPr/>
      </xdr:nvSpPr>
      <xdr:spPr>
        <a:xfrm>
          <a:off x="2691319" y="6639128"/>
          <a:ext cx="5171872" cy="4036978"/>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317225</xdr:colOff>
      <xdr:row>35</xdr:row>
      <xdr:rowOff>14161</xdr:rowOff>
    </xdr:from>
    <xdr:to>
      <xdr:col>22</xdr:col>
      <xdr:colOff>17288</xdr:colOff>
      <xdr:row>56</xdr:row>
      <xdr:rowOff>132923</xdr:rowOff>
    </xdr:to>
    <xdr:sp macro="" textlink="">
      <xdr:nvSpPr>
        <xdr:cNvPr id="63" name="Rectangle: Rounded Corners 62">
          <a:extLst>
            <a:ext uri="{FF2B5EF4-FFF2-40B4-BE49-F238E27FC236}">
              <a16:creationId xmlns:a16="http://schemas.microsoft.com/office/drawing/2014/main" id="{7E65A516-F907-437D-B7D7-01F0A9E86627}"/>
            </a:ext>
          </a:extLst>
        </xdr:cNvPr>
        <xdr:cNvSpPr/>
      </xdr:nvSpPr>
      <xdr:spPr>
        <a:xfrm>
          <a:off x="8194285" y="6596739"/>
          <a:ext cx="5153413" cy="3974666"/>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340469</xdr:colOff>
      <xdr:row>57</xdr:row>
      <xdr:rowOff>137809</xdr:rowOff>
    </xdr:from>
    <xdr:to>
      <xdr:col>13</xdr:col>
      <xdr:colOff>40533</xdr:colOff>
      <xdr:row>79</xdr:row>
      <xdr:rowOff>72957</xdr:rowOff>
    </xdr:to>
    <xdr:sp macro="" textlink="">
      <xdr:nvSpPr>
        <xdr:cNvPr id="64" name="Rectangle: Rounded Corners 63">
          <a:extLst>
            <a:ext uri="{FF2B5EF4-FFF2-40B4-BE49-F238E27FC236}">
              <a16:creationId xmlns:a16="http://schemas.microsoft.com/office/drawing/2014/main" id="{36587968-3935-42C8-AB0E-0D186FFD8809}"/>
            </a:ext>
          </a:extLst>
        </xdr:cNvPr>
        <xdr:cNvSpPr/>
      </xdr:nvSpPr>
      <xdr:spPr>
        <a:xfrm>
          <a:off x="2772384" y="10919298"/>
          <a:ext cx="5171872" cy="4036978"/>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330505</xdr:colOff>
      <xdr:row>31</xdr:row>
      <xdr:rowOff>137712</xdr:rowOff>
    </xdr:from>
    <xdr:to>
      <xdr:col>14</xdr:col>
      <xdr:colOff>385590</xdr:colOff>
      <xdr:row>34</xdr:row>
      <xdr:rowOff>36724</xdr:rowOff>
    </xdr:to>
    <xdr:sp macro="" textlink="">
      <xdr:nvSpPr>
        <xdr:cNvPr id="65" name="TextBox 64">
          <a:extLst>
            <a:ext uri="{FF2B5EF4-FFF2-40B4-BE49-F238E27FC236}">
              <a16:creationId xmlns:a16="http://schemas.microsoft.com/office/drawing/2014/main" id="{A82AE3DB-289D-3059-AD44-9DB28AAF06CA}"/>
            </a:ext>
          </a:extLst>
        </xdr:cNvPr>
        <xdr:cNvSpPr txBox="1"/>
      </xdr:nvSpPr>
      <xdr:spPr>
        <a:xfrm>
          <a:off x="5177927" y="5985832"/>
          <a:ext cx="3690651" cy="4498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400">
            <a:solidFill>
              <a:schemeClr val="accent1"/>
            </a:solidFill>
          </a:endParaRPr>
        </a:p>
      </xdr:txBody>
    </xdr:sp>
    <xdr:clientData/>
  </xdr:twoCellAnchor>
  <xdr:twoCellAnchor>
    <xdr:from>
      <xdr:col>6</xdr:col>
      <xdr:colOff>293784</xdr:colOff>
      <xdr:row>35</xdr:row>
      <xdr:rowOff>156072</xdr:rowOff>
    </xdr:from>
    <xdr:to>
      <xdr:col>12</xdr:col>
      <xdr:colOff>514121</xdr:colOff>
      <xdr:row>37</xdr:row>
      <xdr:rowOff>146891</xdr:rowOff>
    </xdr:to>
    <xdr:sp macro="" textlink="">
      <xdr:nvSpPr>
        <xdr:cNvPr id="66" name="TextBox 65">
          <a:extLst>
            <a:ext uri="{FF2B5EF4-FFF2-40B4-BE49-F238E27FC236}">
              <a16:creationId xmlns:a16="http://schemas.microsoft.com/office/drawing/2014/main" id="{C12997D1-902C-190F-B6E5-CF2E2B134704}"/>
            </a:ext>
          </a:extLst>
        </xdr:cNvPr>
        <xdr:cNvSpPr txBox="1"/>
      </xdr:nvSpPr>
      <xdr:spPr>
        <a:xfrm>
          <a:off x="3929350" y="6738650"/>
          <a:ext cx="3855904" cy="3580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accent1"/>
              </a:solidFill>
            </a:rPr>
            <a:t>TOP 10 CUSTOMERS BY SPEND</a:t>
          </a:r>
        </a:p>
      </xdr:txBody>
    </xdr:sp>
    <xdr:clientData/>
  </xdr:twoCellAnchor>
  <xdr:twoCellAnchor>
    <xdr:from>
      <xdr:col>16</xdr:col>
      <xdr:colOff>376409</xdr:colOff>
      <xdr:row>36</xdr:row>
      <xdr:rowOff>82626</xdr:rowOff>
    </xdr:from>
    <xdr:to>
      <xdr:col>22</xdr:col>
      <xdr:colOff>156071</xdr:colOff>
      <xdr:row>38</xdr:row>
      <xdr:rowOff>64265</xdr:rowOff>
    </xdr:to>
    <xdr:sp macro="" textlink="">
      <xdr:nvSpPr>
        <xdr:cNvPr id="67" name="TextBox 66">
          <a:extLst>
            <a:ext uri="{FF2B5EF4-FFF2-40B4-BE49-F238E27FC236}">
              <a16:creationId xmlns:a16="http://schemas.microsoft.com/office/drawing/2014/main" id="{BA704787-2B83-443C-731F-58FA8AE9C889}"/>
            </a:ext>
          </a:extLst>
        </xdr:cNvPr>
        <xdr:cNvSpPr txBox="1"/>
      </xdr:nvSpPr>
      <xdr:spPr>
        <a:xfrm>
          <a:off x="10071252" y="6848819"/>
          <a:ext cx="3415229" cy="3488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accent1"/>
              </a:solidFill>
            </a:rPr>
            <a:t>MONTHLY SALES TREND</a:t>
          </a:r>
        </a:p>
      </xdr:txBody>
    </xdr:sp>
    <xdr:clientData/>
  </xdr:twoCellAnchor>
  <xdr:twoCellAnchor>
    <xdr:from>
      <xdr:col>6</xdr:col>
      <xdr:colOff>385590</xdr:colOff>
      <xdr:row>58</xdr:row>
      <xdr:rowOff>174434</xdr:rowOff>
    </xdr:from>
    <xdr:to>
      <xdr:col>12</xdr:col>
      <xdr:colOff>495758</xdr:colOff>
      <xdr:row>60</xdr:row>
      <xdr:rowOff>156072</xdr:rowOff>
    </xdr:to>
    <xdr:sp macro="" textlink="">
      <xdr:nvSpPr>
        <xdr:cNvPr id="68" name="TextBox 67">
          <a:extLst>
            <a:ext uri="{FF2B5EF4-FFF2-40B4-BE49-F238E27FC236}">
              <a16:creationId xmlns:a16="http://schemas.microsoft.com/office/drawing/2014/main" id="{9E20EFD7-44AB-8636-DE95-F6153D201336}"/>
            </a:ext>
          </a:extLst>
        </xdr:cNvPr>
        <xdr:cNvSpPr txBox="1"/>
      </xdr:nvSpPr>
      <xdr:spPr>
        <a:xfrm>
          <a:off x="4021156" y="10980145"/>
          <a:ext cx="3745735" cy="3488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accent1"/>
              </a:solidFill>
            </a:rPr>
            <a:t>SALES</a:t>
          </a:r>
          <a:r>
            <a:rPr lang="en-US" sz="1400" baseline="0">
              <a:solidFill>
                <a:schemeClr val="accent1"/>
              </a:solidFill>
            </a:rPr>
            <a:t> BY PAYMENT METHOD</a:t>
          </a:r>
          <a:endParaRPr lang="en-US" sz="1400">
            <a:solidFill>
              <a:schemeClr val="accent1"/>
            </a:solidFill>
          </a:endParaRPr>
        </a:p>
      </xdr:txBody>
    </xdr:sp>
    <xdr:clientData/>
  </xdr:twoCellAnchor>
  <xdr:twoCellAnchor>
    <xdr:from>
      <xdr:col>13</xdr:col>
      <xdr:colOff>376409</xdr:colOff>
      <xdr:row>12</xdr:row>
      <xdr:rowOff>110170</xdr:rowOff>
    </xdr:from>
    <xdr:to>
      <xdr:col>22</xdr:col>
      <xdr:colOff>76472</xdr:colOff>
      <xdr:row>34</xdr:row>
      <xdr:rowOff>45318</xdr:rowOff>
    </xdr:to>
    <xdr:sp macro="" textlink="">
      <xdr:nvSpPr>
        <xdr:cNvPr id="71" name="Rectangle: Rounded Corners 70">
          <a:extLst>
            <a:ext uri="{FF2B5EF4-FFF2-40B4-BE49-F238E27FC236}">
              <a16:creationId xmlns:a16="http://schemas.microsoft.com/office/drawing/2014/main" id="{4F8763CD-5FE2-4930-9006-C2B0AE58FE8A}"/>
            </a:ext>
          </a:extLst>
        </xdr:cNvPr>
        <xdr:cNvSpPr/>
      </xdr:nvSpPr>
      <xdr:spPr>
        <a:xfrm>
          <a:off x="8253469" y="2469616"/>
          <a:ext cx="5153413" cy="3974666"/>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358049</xdr:colOff>
      <xdr:row>13</xdr:row>
      <xdr:rowOff>64265</xdr:rowOff>
    </xdr:from>
    <xdr:to>
      <xdr:col>23</xdr:col>
      <xdr:colOff>468218</xdr:colOff>
      <xdr:row>15</xdr:row>
      <xdr:rowOff>183614</xdr:rowOff>
    </xdr:to>
    <xdr:sp macro="" textlink="">
      <xdr:nvSpPr>
        <xdr:cNvPr id="72" name="TextBox 71">
          <a:extLst>
            <a:ext uri="{FF2B5EF4-FFF2-40B4-BE49-F238E27FC236}">
              <a16:creationId xmlns:a16="http://schemas.microsoft.com/office/drawing/2014/main" id="{D2E02A79-4F28-8D21-9988-753447DDB6FC}"/>
            </a:ext>
          </a:extLst>
        </xdr:cNvPr>
        <xdr:cNvSpPr txBox="1"/>
      </xdr:nvSpPr>
      <xdr:spPr>
        <a:xfrm>
          <a:off x="10052892" y="2607325"/>
          <a:ext cx="4351663" cy="4865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accent1"/>
              </a:solidFill>
            </a:rPr>
            <a:t>SALES BY GENDER</a:t>
          </a:r>
        </a:p>
      </xdr:txBody>
    </xdr:sp>
    <xdr:clientData/>
  </xdr:twoCellAnchor>
  <xdr:twoCellAnchor>
    <xdr:from>
      <xdr:col>14</xdr:col>
      <xdr:colOff>128529</xdr:colOff>
      <xdr:row>15</xdr:row>
      <xdr:rowOff>64264</xdr:rowOff>
    </xdr:from>
    <xdr:to>
      <xdr:col>21</xdr:col>
      <xdr:colOff>459035</xdr:colOff>
      <xdr:row>31</xdr:row>
      <xdr:rowOff>55084</xdr:rowOff>
    </xdr:to>
    <xdr:graphicFrame macro="">
      <xdr:nvGraphicFramePr>
        <xdr:cNvPr id="74" name="Chart 73">
          <a:extLst>
            <a:ext uri="{FF2B5EF4-FFF2-40B4-BE49-F238E27FC236}">
              <a16:creationId xmlns:a16="http://schemas.microsoft.com/office/drawing/2014/main" id="{E29BA64D-D8D1-4483-A792-3AE5D08B82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579752</xdr:colOff>
      <xdr:row>38</xdr:row>
      <xdr:rowOff>139176</xdr:rowOff>
    </xdr:from>
    <xdr:to>
      <xdr:col>12</xdr:col>
      <xdr:colOff>304330</xdr:colOff>
      <xdr:row>54</xdr:row>
      <xdr:rowOff>165253</xdr:rowOff>
    </xdr:to>
    <xdr:graphicFrame macro="">
      <xdr:nvGraphicFramePr>
        <xdr:cNvPr id="75" name="Chart 74">
          <a:extLst>
            <a:ext uri="{FF2B5EF4-FFF2-40B4-BE49-F238E27FC236}">
              <a16:creationId xmlns:a16="http://schemas.microsoft.com/office/drawing/2014/main" id="{5AB7BDEE-2B2E-42EF-9BF0-A53A6DEC90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60165</xdr:colOff>
      <xdr:row>38</xdr:row>
      <xdr:rowOff>60064</xdr:rowOff>
    </xdr:from>
    <xdr:to>
      <xdr:col>21</xdr:col>
      <xdr:colOff>390671</xdr:colOff>
      <xdr:row>55</xdr:row>
      <xdr:rowOff>9181</xdr:rowOff>
    </xdr:to>
    <xdr:graphicFrame macro="">
      <xdr:nvGraphicFramePr>
        <xdr:cNvPr id="76" name="Chart 75">
          <a:extLst>
            <a:ext uri="{FF2B5EF4-FFF2-40B4-BE49-F238E27FC236}">
              <a16:creationId xmlns:a16="http://schemas.microsoft.com/office/drawing/2014/main" id="{EDB38D1A-7075-4FBB-9E4B-6573C1CB76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284408</xdr:colOff>
      <xdr:row>60</xdr:row>
      <xdr:rowOff>113586</xdr:rowOff>
    </xdr:from>
    <xdr:to>
      <xdr:col>12</xdr:col>
      <xdr:colOff>211157</xdr:colOff>
      <xdr:row>77</xdr:row>
      <xdr:rowOff>128529</xdr:rowOff>
    </xdr:to>
    <xdr:graphicFrame macro="">
      <xdr:nvGraphicFramePr>
        <xdr:cNvPr id="77" name="Chart 76">
          <a:extLst>
            <a:ext uri="{FF2B5EF4-FFF2-40B4-BE49-F238E27FC236}">
              <a16:creationId xmlns:a16="http://schemas.microsoft.com/office/drawing/2014/main" id="{B4F645B7-02C2-449E-854C-96AB58F0BA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533400</xdr:colOff>
      <xdr:row>6</xdr:row>
      <xdr:rowOff>72390</xdr:rowOff>
    </xdr:from>
    <xdr:to>
      <xdr:col>9</xdr:col>
      <xdr:colOff>556260</xdr:colOff>
      <xdr:row>21</xdr:row>
      <xdr:rowOff>72390</xdr:rowOff>
    </xdr:to>
    <xdr:graphicFrame macro="">
      <xdr:nvGraphicFramePr>
        <xdr:cNvPr id="6" name="Chart 5">
          <a:extLst>
            <a:ext uri="{FF2B5EF4-FFF2-40B4-BE49-F238E27FC236}">
              <a16:creationId xmlns:a16="http://schemas.microsoft.com/office/drawing/2014/main" id="{65348354-73D6-8BA7-1C76-14E73ACF93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396240</xdr:colOff>
      <xdr:row>5</xdr:row>
      <xdr:rowOff>140970</xdr:rowOff>
    </xdr:from>
    <xdr:to>
      <xdr:col>11</xdr:col>
      <xdr:colOff>91440</xdr:colOff>
      <xdr:row>20</xdr:row>
      <xdr:rowOff>140970</xdr:rowOff>
    </xdr:to>
    <xdr:graphicFrame macro="">
      <xdr:nvGraphicFramePr>
        <xdr:cNvPr id="3" name="Chart 2">
          <a:extLst>
            <a:ext uri="{FF2B5EF4-FFF2-40B4-BE49-F238E27FC236}">
              <a16:creationId xmlns:a16="http://schemas.microsoft.com/office/drawing/2014/main" id="{87C88A14-BB56-5F99-177D-A467F673AE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114300</xdr:colOff>
      <xdr:row>6</xdr:row>
      <xdr:rowOff>41910</xdr:rowOff>
    </xdr:from>
    <xdr:to>
      <xdr:col>11</xdr:col>
      <xdr:colOff>419100</xdr:colOff>
      <xdr:row>21</xdr:row>
      <xdr:rowOff>41910</xdr:rowOff>
    </xdr:to>
    <xdr:graphicFrame macro="">
      <xdr:nvGraphicFramePr>
        <xdr:cNvPr id="2" name="Chart 1">
          <a:extLst>
            <a:ext uri="{FF2B5EF4-FFF2-40B4-BE49-F238E27FC236}">
              <a16:creationId xmlns:a16="http://schemas.microsoft.com/office/drawing/2014/main" id="{83364881-0938-C3C8-A6A2-837AF27A91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114300</xdr:colOff>
      <xdr:row>6</xdr:row>
      <xdr:rowOff>34290</xdr:rowOff>
    </xdr:from>
    <xdr:to>
      <xdr:col>11</xdr:col>
      <xdr:colOff>419100</xdr:colOff>
      <xdr:row>21</xdr:row>
      <xdr:rowOff>34290</xdr:rowOff>
    </xdr:to>
    <xdr:graphicFrame macro="">
      <xdr:nvGraphicFramePr>
        <xdr:cNvPr id="3" name="Chart 2">
          <a:extLst>
            <a:ext uri="{FF2B5EF4-FFF2-40B4-BE49-F238E27FC236}">
              <a16:creationId xmlns:a16="http://schemas.microsoft.com/office/drawing/2014/main" id="{E7BE1C05-7C57-8EB0-4DCF-2DF27E9BF0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411480</xdr:colOff>
      <xdr:row>6</xdr:row>
      <xdr:rowOff>41910</xdr:rowOff>
    </xdr:from>
    <xdr:to>
      <xdr:col>11</xdr:col>
      <xdr:colOff>106680</xdr:colOff>
      <xdr:row>21</xdr:row>
      <xdr:rowOff>41910</xdr:rowOff>
    </xdr:to>
    <xdr:graphicFrame macro="">
      <xdr:nvGraphicFramePr>
        <xdr:cNvPr id="2" name="Chart 1">
          <a:extLst>
            <a:ext uri="{FF2B5EF4-FFF2-40B4-BE49-F238E27FC236}">
              <a16:creationId xmlns:a16="http://schemas.microsoft.com/office/drawing/2014/main" id="{232E58CB-270C-4BDA-C636-CA01E7AC33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thiya" refreshedDate="45972.926085648149" createdVersion="8" refreshedVersion="8" minRefreshableVersion="3" recordCount="1000" xr:uid="{56AB5CCC-3823-48A2-B578-CB22EEAB8921}">
  <cacheSource type="worksheet">
    <worksheetSource name="Table1"/>
  </cacheSource>
  <cacheFields count="16">
    <cacheField name="Customer_ID" numFmtId="49">
      <sharedItems count="1000">
        <s v="CUST0314"/>
        <s v="CUST0296"/>
        <s v="CUST0319"/>
        <s v="CUST0741"/>
        <s v="CUST0196"/>
        <s v="CUST0413"/>
        <s v="CUST0080"/>
        <s v="CUST0628"/>
        <s v="CUST0758"/>
        <s v="CUST0015"/>
        <s v="CUST0990"/>
        <s v="CUST0903"/>
        <s v="CUST0504"/>
        <s v="CUST0776"/>
        <s v="CUST0443"/>
        <s v="CUST0055"/>
        <s v="CUST0824"/>
        <s v="CUST0740"/>
        <s v="CUST0427"/>
        <s v="CUST0562"/>
        <s v="CUST0929"/>
        <s v="CUST0458"/>
        <s v="CUST0320"/>
        <s v="CUST0340"/>
        <s v="CUST0386"/>
        <s v="CUST0459"/>
        <s v="CUST0008"/>
        <s v="CUST0834"/>
        <s v="CUST0361"/>
        <s v="CUST0050"/>
        <s v="CUST0151"/>
        <s v="CUST0120"/>
        <s v="CUST0491"/>
        <s v="CUST0623"/>
        <s v="CUST0839"/>
        <s v="CUST0402"/>
        <s v="CUST0790"/>
        <s v="CUST0266"/>
        <s v="CUST0366"/>
        <s v="CUST0639"/>
        <s v="CUST0619"/>
        <s v="CUST0689"/>
        <s v="CUST0234"/>
        <s v="CUST0896"/>
        <s v="CUST0284"/>
        <s v="CUST0502"/>
        <s v="CUST0272"/>
        <s v="CUST0813"/>
        <s v="CUST0942"/>
        <s v="CUST0049"/>
        <s v="CUST0441"/>
        <s v="CUST0828"/>
        <s v="CUST0172"/>
        <s v="CUST0429"/>
        <s v="CUST0512"/>
        <s v="CUST0538"/>
        <s v="CUST0742"/>
        <s v="CUST0483"/>
        <s v="CUST0202"/>
        <s v="CUST0298"/>
        <s v="CUST0418"/>
        <s v="CUST0381"/>
        <s v="CUST0457"/>
        <s v="CUST0291"/>
        <s v="CUST0750"/>
        <s v="CUST0031"/>
        <s v="CUST0861"/>
        <s v="CUST0414"/>
        <s v="CUST0018"/>
        <s v="CUST0546"/>
        <s v="CUST0715"/>
        <s v="CUST0844"/>
        <s v="CUST0496"/>
        <s v="CUST0734"/>
        <s v="CUST0705"/>
        <s v="CUST0478"/>
        <s v="CUST0798"/>
        <s v="CUST0784"/>
        <s v="CUST0167"/>
        <s v="CUST0653"/>
        <s v="CUST0436"/>
        <s v="CUST0165"/>
        <s v="CUST0317"/>
        <s v="CUST0374"/>
        <s v="CUST0388"/>
        <s v="CUST0523"/>
        <s v="CUST0657"/>
        <s v="CUST0217"/>
        <s v="CUST0076"/>
        <s v="CUST0051"/>
        <s v="CUST0328"/>
        <s v="CUST0192"/>
        <s v="CUST0643"/>
        <s v="CUST0541"/>
        <s v="CUST0453"/>
        <s v="CUST0163"/>
        <s v="CUST0886"/>
        <s v="CUST0363"/>
        <s v="CUST0712"/>
        <s v="CUST0066"/>
        <s v="CUST0590"/>
        <s v="CUST0207"/>
        <s v="CUST0556"/>
        <s v="CUST0856"/>
        <s v="CUST0262"/>
        <s v="CUST0226"/>
        <s v="CUST0171"/>
        <s v="CUST0435"/>
        <s v="CUST0089"/>
        <s v="CUST0612"/>
        <s v="CUST0993"/>
        <s v="CUST0359"/>
        <s v="CUST0823"/>
        <s v="CUST0632"/>
        <s v="CUST0072"/>
        <s v="CUST0401"/>
        <s v="CUST0019"/>
        <s v="CUST0812"/>
        <s v="CUST0983"/>
        <s v="CUST0475"/>
        <s v="CUST0415"/>
        <s v="CUST0492"/>
        <s v="CUST0306"/>
        <s v="CUST0539"/>
        <s v="CUST0656"/>
        <s v="CUST0342"/>
        <s v="CUST0578"/>
        <s v="CUST0795"/>
        <s v="CUST0622"/>
        <s v="CUST0495"/>
        <s v="CUST0391"/>
        <s v="CUST0831"/>
        <s v="CUST0665"/>
        <s v="CUST0067"/>
        <s v="CUST0853"/>
        <s v="CUST0249"/>
        <s v="CUST0068"/>
        <s v="CUST0771"/>
        <s v="CUST0783"/>
        <s v="CUST0367"/>
        <s v="CUST0829"/>
        <s v="CUST0956"/>
        <s v="CUST0851"/>
        <s v="CUST0300"/>
        <s v="CUST0397"/>
        <s v="CUST0923"/>
        <s v="CUST0988"/>
        <s v="CUST0237"/>
        <s v="CUST0997"/>
        <s v="CUST0764"/>
        <s v="CUST0830"/>
        <s v="CUST0323"/>
        <s v="CUST0529"/>
        <s v="CUST0630"/>
        <s v="CUST0364"/>
        <s v="CUST0297"/>
        <s v="CUST0885"/>
        <s v="CUST0445"/>
        <s v="CUST0957"/>
        <s v="CUST0410"/>
        <s v="CUST0607"/>
        <s v="CUST0468"/>
        <s v="CUST0872"/>
        <s v="CUST0215"/>
        <s v="CUST0536"/>
        <s v="CUST0846"/>
        <s v="CUST0635"/>
        <s v="CUST0683"/>
        <s v="CUST0144"/>
        <s v="CUST0649"/>
        <s v="CUST0895"/>
        <s v="CUST0914"/>
        <s v="CUST0700"/>
        <s v="CUST0674"/>
        <s v="CUST0110"/>
        <s v="CUST0024"/>
        <s v="CUST0224"/>
        <s v="CUST0053"/>
        <s v="CUST0532"/>
        <s v="CUST0083"/>
        <s v="CUST0047"/>
        <s v="CUST0966"/>
        <s v="CUST0808"/>
        <s v="CUST0069"/>
        <s v="CUST0575"/>
        <s v="CUST0566"/>
        <s v="CUST0412"/>
        <s v="CUST0857"/>
        <s v="CUST0970"/>
        <s v="CUST0499"/>
        <s v="CUST0236"/>
        <s v="CUST0907"/>
        <s v="CUST0841"/>
        <s v="CUST0899"/>
        <s v="CUST0269"/>
        <s v="CUST0348"/>
        <s v="CUST0733"/>
        <s v="CUST0950"/>
        <s v="CUST0434"/>
        <s v="CUST0937"/>
        <s v="CUST0174"/>
        <s v="CUST0890"/>
        <s v="CUST0223"/>
        <s v="CUST0804"/>
        <s v="CUST0894"/>
        <s v="CUST0417"/>
        <s v="CUST0977"/>
        <s v="CUST0405"/>
        <s v="CUST0501"/>
        <s v="CUST0788"/>
        <s v="CUST0717"/>
        <s v="CUST0484"/>
        <s v="CUST0205"/>
        <s v="CUST0927"/>
        <s v="CUST0979"/>
        <s v="CUST0540"/>
        <s v="CUST0696"/>
        <s v="CUST0487"/>
        <s v="CUST0017"/>
        <s v="CUST0420"/>
        <s v="CUST0528"/>
        <s v="CUST0063"/>
        <s v="CUST0714"/>
        <s v="CUST0326"/>
        <s v="CUST0216"/>
        <s v="CUST0189"/>
        <s v="CUST0376"/>
        <s v="CUST0721"/>
        <s v="CUST0832"/>
        <s v="CUST0978"/>
        <s v="CUST0257"/>
        <s v="CUST0755"/>
        <s v="CUST0227"/>
        <s v="CUST0926"/>
        <s v="CUST0170"/>
        <s v="CUST0909"/>
        <s v="CUST0995"/>
        <s v="CUST0548"/>
        <s v="CUST0593"/>
        <s v="CUST0375"/>
        <s v="CUST0033"/>
        <s v="CUST0384"/>
        <s v="CUST0036"/>
        <s v="CUST0034"/>
        <s v="CUST0969"/>
        <s v="CUST0274"/>
        <s v="CUST0660"/>
        <s v="CUST0922"/>
        <s v="CUST0509"/>
        <s v="CUST0810"/>
        <s v="CUST0943"/>
        <s v="CUST0730"/>
        <s v="CUST0626"/>
        <s v="CUST0802"/>
        <s v="CUST0680"/>
        <s v="CUST0497"/>
        <s v="CUST0130"/>
        <s v="CUST0608"/>
        <s v="CUST0888"/>
        <s v="CUST0112"/>
        <s v="CUST0739"/>
        <s v="CUST0833"/>
        <s v="CUST0634"/>
        <s v="CUST0238"/>
        <s v="CUST0974"/>
        <s v="CUST0289"/>
        <s v="CUST0318"/>
        <s v="CUST0316"/>
        <s v="CUST0183"/>
        <s v="CUST0086"/>
        <s v="CUST0962"/>
        <s v="CUST0061"/>
        <s v="CUST0396"/>
        <s v="CUST0134"/>
        <s v="CUST0748"/>
        <s v="CUST0682"/>
        <s v="CUST0941"/>
        <s v="CUST0137"/>
        <s v="CUST0930"/>
        <s v="CUST0580"/>
        <s v="CUST0065"/>
        <s v="CUST0023"/>
        <s v="CUST0924"/>
        <s v="CUST0991"/>
        <s v="CUST0204"/>
        <s v="CUST0859"/>
        <s v="CUST0666"/>
        <s v="CUST0244"/>
        <s v="CUST0664"/>
        <s v="CUST0542"/>
        <s v="CUST0265"/>
        <s v="CUST0711"/>
        <s v="CUST0805"/>
        <s v="CUST0706"/>
        <s v="CUST0898"/>
        <s v="CUST0371"/>
        <s v="CUST0482"/>
        <s v="CUST0996"/>
        <s v="CUST0454"/>
        <s v="CUST0878"/>
        <s v="CUST0199"/>
        <s v="CUST0472"/>
        <s v="CUST0073"/>
        <s v="CUST0299"/>
        <s v="CUST0074"/>
        <s v="CUST0164"/>
        <s v="CUST0123"/>
        <s v="CUST0338"/>
        <s v="CUST0143"/>
        <s v="CUST0716"/>
        <s v="CUST0486"/>
        <s v="CUST0064"/>
        <s v="CUST0447"/>
        <s v="CUST0116"/>
        <s v="CUST0803"/>
        <s v="CUST0288"/>
        <s v="CUST0801"/>
        <s v="CUST0077"/>
        <s v="CUST0955"/>
        <s v="CUST0178"/>
        <s v="CUST0880"/>
        <s v="CUST0075"/>
        <s v="CUST0610"/>
        <s v="CUST0020"/>
        <s v="CUST0408"/>
        <s v="CUST0369"/>
        <s v="CUST0916"/>
        <s v="CUST0241"/>
        <s v="CUST0155"/>
        <s v="CUST0699"/>
        <s v="CUST0132"/>
        <s v="CUST0260"/>
        <s v="CUST0867"/>
        <s v="CUST0345"/>
        <s v="CUST0553"/>
        <s v="CUST0958"/>
        <s v="CUST0577"/>
        <s v="CUST0726"/>
        <s v="CUST0091"/>
        <s v="CUST0113"/>
        <s v="CUST0574"/>
        <s v="CUST0949"/>
        <s v="CUST0140"/>
        <s v="CUST0310"/>
        <s v="CUST0884"/>
        <s v="CUST0972"/>
        <s v="CUST0245"/>
        <s v="CUST0613"/>
        <s v="CUST0855"/>
        <s v="CUST0606"/>
        <s v="CUST0744"/>
        <s v="CUST0451"/>
        <s v="CUST0516"/>
        <s v="CUST0605"/>
        <s v="CUST0041"/>
        <s v="CUST0025"/>
        <s v="CUST0149"/>
        <s v="CUST0975"/>
        <s v="CUST0773"/>
        <s v="CUST0379"/>
        <s v="CUST0600"/>
        <s v="CUST0879"/>
        <s v="CUST0407"/>
        <s v="CUST0522"/>
        <s v="CUST0214"/>
        <s v="CUST0724"/>
        <s v="CUST0959"/>
        <s v="CUST0695"/>
        <s v="CUST0220"/>
        <s v="CUST0624"/>
        <s v="CUST0736"/>
        <s v="CUST0621"/>
        <s v="CUST0027"/>
        <s v="CUST0357"/>
        <s v="CUST0749"/>
        <s v="CUST0637"/>
        <s v="CUST0169"/>
        <s v="CUST0854"/>
        <s v="CUST0395"/>
        <s v="CUST0601"/>
        <s v="CUST0728"/>
        <s v="CUST0684"/>
        <s v="CUST0648"/>
        <s v="CUST0016"/>
        <s v="CUST0460"/>
        <s v="CUST0576"/>
        <s v="CUST0984"/>
        <s v="CUST0219"/>
        <s v="CUST0090"/>
        <s v="CUST1000"/>
        <s v="CUST0464"/>
        <s v="CUST0850"/>
        <s v="CUST0815"/>
        <s v="CUST0809"/>
        <s v="CUST0558"/>
        <s v="CUST0568"/>
        <s v="CUST0469"/>
        <s v="CUST0537"/>
        <s v="CUST0584"/>
        <s v="CUST0100"/>
        <s v="CUST0097"/>
        <s v="CUST0493"/>
        <s v="CUST0677"/>
        <s v="CUST0104"/>
        <s v="CUST0292"/>
        <s v="CUST0840"/>
        <s v="CUST0644"/>
        <s v="CUST0725"/>
        <s v="CUST0096"/>
        <s v="CUST0150"/>
        <s v="CUST0982"/>
        <s v="CUST0976"/>
        <s v="CUST0530"/>
        <s v="CUST0462"/>
        <s v="CUST0311"/>
        <s v="CUST0989"/>
        <s v="CUST0727"/>
        <s v="CUST0455"/>
        <s v="CUST0904"/>
        <s v="CUST0762"/>
        <s v="CUST0690"/>
        <s v="CUST0039"/>
        <s v="CUST0321"/>
        <s v="CUST0581"/>
        <s v="CUST0893"/>
        <s v="CUST0347"/>
        <s v="CUST0842"/>
        <s v="CUST0791"/>
        <s v="CUST0685"/>
        <s v="CUST0423"/>
        <s v="CUST0158"/>
        <s v="CUST0965"/>
        <s v="CUST0212"/>
        <s v="CUST0422"/>
        <s v="CUST0889"/>
        <s v="CUST0928"/>
        <s v="CUST0616"/>
        <s v="CUST0287"/>
        <s v="CUST0279"/>
        <s v="CUST0088"/>
        <s v="CUST0438"/>
        <s v="CUST0168"/>
        <s v="CUST0596"/>
        <s v="CUST0681"/>
        <s v="CUST0786"/>
        <s v="CUST0461"/>
        <s v="CUST0848"/>
        <s v="CUST0344"/>
        <s v="CUST0304"/>
        <s v="CUST0822"/>
        <s v="CUST0595"/>
        <s v="CUST0796"/>
        <s v="CUST0332"/>
        <s v="CUST0341"/>
        <s v="CUST0355"/>
        <s v="CUST0490"/>
        <s v="CUST0185"/>
        <s v="CUST0184"/>
        <s v="CUST0005"/>
        <s v="CUST0671"/>
        <s v="CUST0352"/>
        <s v="CUST0588"/>
        <s v="CUST0769"/>
        <s v="CUST0446"/>
        <s v="CUST0519"/>
        <s v="CUST0506"/>
        <s v="CUST0793"/>
        <s v="CUST0211"/>
        <s v="CUST0641"/>
        <s v="CUST0200"/>
        <s v="CUST0816"/>
        <s v="CUST0498"/>
        <s v="CUST0754"/>
        <s v="CUST0002"/>
        <s v="CUST0765"/>
        <s v="CUST0254"/>
        <s v="CUST0389"/>
        <s v="CUST0021"/>
        <s v="CUST0652"/>
        <s v="CUST0433"/>
        <s v="CUST0912"/>
        <s v="CUST0045"/>
        <s v="CUST0557"/>
        <s v="CUST0718"/>
        <s v="CUST0723"/>
        <s v="CUST0022"/>
        <s v="CUST0918"/>
        <s v="CUST0551"/>
        <s v="CUST0849"/>
        <s v="CUST0062"/>
        <s v="CUST0686"/>
        <s v="CUST0416"/>
        <s v="CUST0349"/>
        <s v="CUST0775"/>
        <s v="CUST0255"/>
        <s v="CUST0570"/>
        <s v="CUST0329"/>
        <s v="CUST0095"/>
        <s v="CUST0763"/>
        <s v="CUST0117"/>
        <s v="CUST0360"/>
        <s v="CUST0152"/>
        <s v="CUST0093"/>
        <s v="CUST0235"/>
        <s v="CUST0428"/>
        <s v="CUST0761"/>
        <s v="CUST0394"/>
        <s v="CUST0201"/>
        <s v="CUST0673"/>
        <s v="CUST0794"/>
        <s v="CUST0563"/>
        <s v="CUST0390"/>
        <s v="CUST0781"/>
        <s v="CUST0667"/>
        <s v="CUST0858"/>
        <s v="CUST0940"/>
        <s v="CUST0662"/>
        <s v="CUST0474"/>
        <s v="CUST0669"/>
        <s v="CUST0099"/>
        <s v="CUST0757"/>
        <s v="CUST0698"/>
        <s v="CUST0273"/>
        <s v="CUST0133"/>
        <s v="CUST0953"/>
        <s v="CUST0285"/>
        <s v="CUST0964"/>
        <s v="CUST0333"/>
        <s v="CUST0485"/>
        <s v="CUST0678"/>
        <s v="CUST0126"/>
        <s v="CUST0745"/>
        <s v="CUST0514"/>
        <s v="CUST0261"/>
        <s v="CUST0339"/>
        <s v="CUST0232"/>
        <s v="CUST0411"/>
        <s v="CUST0121"/>
        <s v="CUST0107"/>
        <s v="CUST0280"/>
        <s v="CUST0186"/>
        <s v="CUST0305"/>
        <s v="CUST0636"/>
        <s v="CUST0145"/>
        <s v="CUST0082"/>
        <s v="CUST0507"/>
        <s v="CUST0768"/>
        <s v="CUST0463"/>
        <s v="CUST0044"/>
        <s v="CUST0525"/>
        <s v="CUST0194"/>
        <s v="CUST0675"/>
        <s v="CUST0778"/>
        <s v="CUST0424"/>
        <s v="CUST0560"/>
        <s v="CUST0444"/>
        <s v="CUST0787"/>
        <s v="CUST0960"/>
        <s v="CUST0703"/>
        <s v="CUST0052"/>
        <s v="CUST0026"/>
        <s v="CUST0354"/>
        <s v="CUST0477"/>
        <s v="CUST0115"/>
        <s v="CUST0987"/>
        <s v="CUST0476"/>
        <s v="CUST0883"/>
        <s v="CUST0552"/>
        <s v="CUST0747"/>
        <s v="CUST0704"/>
        <s v="CUST0377"/>
        <s v="CUST0467"/>
        <s v="CUST0900"/>
        <s v="CUST0191"/>
        <s v="CUST0892"/>
        <s v="CUST0393"/>
        <s v="CUST0013"/>
        <s v="CUST0679"/>
        <s v="CUST0897"/>
        <s v="CUST0852"/>
        <s v="CUST0555"/>
        <s v="CUST0629"/>
        <s v="CUST0544"/>
        <s v="CUST0647"/>
        <s v="CUST0947"/>
        <s v="CUST0547"/>
        <s v="CUST0572"/>
        <s v="CUST0070"/>
        <s v="CUST0554"/>
        <s v="CUST0729"/>
        <s v="CUST0891"/>
        <s v="CUST0638"/>
        <s v="CUST0906"/>
        <s v="CUST0303"/>
        <s v="CUST0631"/>
        <s v="CUST0275"/>
        <s v="CUST0337"/>
        <s v="CUST0085"/>
        <s v="CUST0166"/>
        <s v="CUST0452"/>
        <s v="CUST0521"/>
        <s v="CUST0109"/>
        <s v="CUST0210"/>
        <s v="CUST0128"/>
        <s v="CUST0092"/>
        <s v="CUST0782"/>
        <s v="CUST0692"/>
        <s v="CUST0048"/>
        <s v="CUST0307"/>
        <s v="CUST0505"/>
        <s v="CUST0772"/>
        <s v="CUST0209"/>
        <s v="CUST0383"/>
        <s v="CUST0294"/>
        <s v="CUST0242"/>
        <s v="CUST0688"/>
        <s v="CUST0346"/>
        <s v="CUST0515"/>
        <s v="CUST0327"/>
        <s v="CUST0058"/>
        <s v="CUST0510"/>
        <s v="CUST0425"/>
        <s v="CUST0179"/>
        <s v="CUST0732"/>
        <s v="CUST0915"/>
        <s v="CUST0902"/>
        <s v="CUST0331"/>
        <s v="CUST0176"/>
        <s v="CUST0054"/>
        <s v="CUST0159"/>
        <s v="CUST0752"/>
        <s v="CUST0567"/>
        <s v="CUST0378"/>
        <s v="CUST0271"/>
        <s v="CUST0295"/>
        <s v="CUST0985"/>
        <s v="CUST0811"/>
        <s v="CUST0952"/>
        <s v="CUST0738"/>
        <s v="CUST0873"/>
        <s v="CUST0913"/>
        <s v="CUST0302"/>
        <s v="CUST0961"/>
        <s v="CUST0986"/>
        <s v="CUST0877"/>
        <s v="CUST0549"/>
        <s v="CUST0797"/>
        <s v="CUST0713"/>
        <s v="CUST0270"/>
        <s v="CUST0203"/>
        <s v="CUST0180"/>
        <s v="CUST0789"/>
        <s v="CUST0481"/>
        <s v="CUST0586"/>
        <s v="CUST0585"/>
        <s v="CUST0181"/>
        <s v="CUST0780"/>
        <s v="CUST0625"/>
        <s v="CUST0709"/>
        <s v="CUST0084"/>
        <s v="CUST0006"/>
        <s v="CUST0450"/>
        <s v="CUST0258"/>
        <s v="CUST0488"/>
        <s v="CUST0193"/>
        <s v="CUST0821"/>
        <s v="CUST0887"/>
        <s v="CUST0603"/>
        <s v="CUST0526"/>
        <s v="CUST0598"/>
        <s v="CUST0535"/>
        <s v="CUST0336"/>
        <s v="CUST0663"/>
        <s v="CUST0860"/>
        <s v="CUST0719"/>
        <s v="CUST0642"/>
        <s v="CUST0579"/>
        <s v="CUST0221"/>
        <s v="CUST0276"/>
        <s v="CUST0225"/>
        <s v="CUST0479"/>
        <s v="CUST0946"/>
        <s v="CUST0014"/>
        <s v="CUST0032"/>
        <s v="CUST0774"/>
        <s v="CUST0009"/>
        <s v="CUST0248"/>
        <s v="CUST0404"/>
        <s v="CUST0081"/>
        <s v="CUST0247"/>
        <s v="CUST0508"/>
        <s v="CUST0691"/>
        <s v="CUST0056"/>
        <s v="CUST0231"/>
        <s v="CUST0038"/>
        <s v="CUST0094"/>
        <s v="CUST0936"/>
        <s v="CUST0609"/>
        <s v="CUST0933"/>
        <s v="CUST0658"/>
        <s v="CUST0382"/>
        <s v="CUST0494"/>
        <s v="CUST0118"/>
        <s v="CUST0380"/>
        <s v="CUST0945"/>
        <s v="CUST0817"/>
        <s v="CUST0901"/>
        <s v="CUST0147"/>
        <s v="CUST0222"/>
        <s v="CUST0779"/>
        <s v="CUST0650"/>
        <s v="CUST0814"/>
        <s v="CUST0617"/>
        <s v="CUST0208"/>
        <s v="CUST0806"/>
        <s v="CUST0845"/>
        <s v="CUST0239"/>
        <s v="CUST0046"/>
        <s v="CUST0659"/>
        <s v="CUST0534"/>
        <s v="CUST0592"/>
        <s v="CUST0146"/>
        <s v="CUST0243"/>
        <s v="CUST0513"/>
        <s v="CUST0229"/>
        <s v="CUST0819"/>
        <s v="CUST0708"/>
        <s v="CUST0028"/>
        <s v="CUST0105"/>
        <s v="CUST0432"/>
        <s v="CUST0938"/>
        <s v="CUST0651"/>
        <s v="CUST0325"/>
        <s v="CUST0136"/>
        <s v="CUST0010"/>
        <s v="CUST0792"/>
        <s v="CUST0135"/>
        <s v="CUST0968"/>
        <s v="CUST0511"/>
        <s v="CUST0334"/>
        <s v="CUST0869"/>
        <s v="CUST0177"/>
        <s v="CUST0101"/>
        <s v="CUST0654"/>
        <s v="CUST0042"/>
        <s v="CUST0640"/>
        <s v="CUST0967"/>
        <s v="CUST0122"/>
        <s v="CUST0421"/>
        <s v="CUST0751"/>
        <s v="CUST0843"/>
        <s v="CUST0190"/>
        <s v="CUST0240"/>
        <s v="CUST0702"/>
        <s v="CUST0645"/>
        <s v="CUST0720"/>
        <s v="CUST0932"/>
        <s v="CUST0980"/>
        <s v="CUST0520"/>
        <s v="CUST0614"/>
        <s v="CUST0480"/>
        <s v="CUST0756"/>
        <s v="CUST0868"/>
        <s v="CUST0934"/>
        <s v="CUST0277"/>
        <s v="CUST0309"/>
        <s v="CUST0035"/>
        <s v="CUST0437"/>
        <s v="CUST0920"/>
        <s v="CUST0753"/>
        <s v="CUST0071"/>
        <s v="CUST0162"/>
        <s v="CUST0106"/>
        <s v="CUST0278"/>
        <s v="CUST0187"/>
        <s v="CUST0406"/>
        <s v="CUST0599"/>
        <s v="CUST0365"/>
        <s v="CUST0141"/>
        <s v="CUST0351"/>
        <s v="CUST0827"/>
        <s v="CUST0818"/>
        <s v="CUST0268"/>
        <s v="CUST0131"/>
        <s v="CUST0250"/>
        <s v="CUST0125"/>
        <s v="CUST0157"/>
        <s v="CUST0807"/>
        <s v="CUST0611"/>
        <s v="CUST0722"/>
        <s v="CUST0358"/>
        <s v="CUST0372"/>
        <s v="CUST0777"/>
        <s v="CUST0618"/>
        <s v="CUST0286"/>
        <s v="CUST0954"/>
        <s v="CUST0313"/>
        <s v="CUST0387"/>
        <s v="CUST0500"/>
        <s v="CUST0290"/>
        <s v="CUST0392"/>
        <s v="CUST0283"/>
        <s v="CUST0471"/>
        <s v="CUST0963"/>
        <s v="CUST0559"/>
        <s v="CUST0770"/>
        <s v="CUST0264"/>
        <s v="CUST0012"/>
        <s v="CUST0838"/>
        <s v="CUST0373"/>
        <s v="CUST0114"/>
        <s v="CUST0597"/>
        <s v="CUST0604"/>
        <s v="CUST0517"/>
        <s v="CUST0246"/>
        <s v="CUST0175"/>
        <s v="CUST0037"/>
        <s v="CUST0001"/>
        <s v="CUST0697"/>
        <s v="CUST0847"/>
        <s v="CUST0368"/>
        <s v="CUST0173"/>
        <s v="CUST0029"/>
        <s v="CUST0400"/>
        <s v="CUST0871"/>
        <s v="CUST0466"/>
        <s v="CUST0350"/>
        <s v="CUST0799"/>
        <s v="CUST0670"/>
        <s v="CUST0735"/>
        <s v="CUST0759"/>
        <s v="CUST0206"/>
        <s v="CUST0533"/>
        <s v="CUST0456"/>
        <s v="CUST0197"/>
        <s v="CUST0543"/>
        <s v="CUST0470"/>
        <s v="CUST0251"/>
        <s v="CUST0102"/>
        <s v="CUST0188"/>
        <s v="CUST0403"/>
        <s v="CUST0870"/>
        <s v="CUST0385"/>
        <s v="CUST0672"/>
        <s v="CUST0370"/>
        <s v="CUST0043"/>
        <s v="CUST0111"/>
        <s v="CUST0060"/>
        <s v="CUST0293"/>
        <s v="CUST0228"/>
        <s v="CUST0252"/>
        <s v="CUST0431"/>
        <s v="CUST0057"/>
        <s v="CUST0944"/>
        <s v="CUST0785"/>
        <s v="CUST0825"/>
        <s v="CUST0465"/>
        <s v="CUST0561"/>
        <s v="CUST0676"/>
        <s v="CUST0473"/>
        <s v="CUST0992"/>
        <s v="CUST0973"/>
        <s v="CUST0707"/>
        <s v="CUST0710"/>
        <s v="CUST0524"/>
        <s v="CUST0040"/>
        <s v="CUST0766"/>
        <s v="CUST0103"/>
        <s v="CUST0030"/>
        <s v="CUST0195"/>
        <s v="CUST0343"/>
        <s v="CUST0565"/>
        <s v="CUST0440"/>
        <s v="CUST0862"/>
        <s v="CUST0925"/>
        <s v="CUST0442"/>
        <s v="CUST0335"/>
        <s v="CUST0399"/>
        <s v="CUST0430"/>
        <s v="CUST0362"/>
        <s v="CUST0007"/>
        <s v="CUST0153"/>
        <s v="CUST0281"/>
        <s v="CUST0882"/>
        <s v="CUST0687"/>
        <s v="CUST0655"/>
        <s v="CUST0951"/>
        <s v="CUST0564"/>
        <s v="CUST0154"/>
        <s v="CUST0448"/>
        <s v="CUST0881"/>
        <s v="CUST0253"/>
        <s v="CUST0589"/>
        <s v="CUST0826"/>
        <s v="CUST0863"/>
        <s v="CUST0218"/>
        <s v="CUST0746"/>
        <s v="CUST0917"/>
        <s v="CUST0330"/>
        <s v="CUST0087"/>
        <s v="CUST0004"/>
        <s v="CUST0426"/>
        <s v="CUST0931"/>
        <s v="CUST0948"/>
        <s v="CUST0124"/>
        <s v="CUST0908"/>
        <s v="CUST0198"/>
        <s v="CUST0129"/>
        <s v="CUST0865"/>
        <s v="CUST0587"/>
        <s v="CUST0233"/>
        <s v="CUST0259"/>
        <s v="CUST0573"/>
        <s v="CUST0545"/>
        <s v="CUST0935"/>
        <s v="CUST0737"/>
        <s v="CUST0731"/>
        <s v="CUST0059"/>
        <s v="CUST0615"/>
        <s v="CUST0079"/>
        <s v="CUST0119"/>
        <s v="CUST0994"/>
        <s v="CUST0911"/>
        <s v="CUST0409"/>
        <s v="CUST0582"/>
        <s v="CUST0569"/>
        <s v="CUST0356"/>
        <s v="CUST0800"/>
        <s v="CUST0981"/>
        <s v="CUST0999"/>
        <s v="CUST0743"/>
        <s v="CUST0919"/>
        <s v="CUST0835"/>
        <s v="CUST0531"/>
        <s v="CUST0864"/>
        <s v="CUST0148"/>
        <s v="CUST0910"/>
        <s v="CUST0550"/>
        <s v="CUST0602"/>
        <s v="CUST0324"/>
        <s v="CUST0127"/>
        <s v="CUST0518"/>
        <s v="CUST0620"/>
        <s v="CUST0503"/>
        <s v="CUST0213"/>
        <s v="CUST0267"/>
        <s v="CUST0701"/>
        <s v="CUST0921"/>
        <s v="CUST0419"/>
        <s v="CUST0939"/>
        <s v="CUST0322"/>
        <s v="CUST0282"/>
        <s v="CUST0301"/>
        <s v="CUST0353"/>
        <s v="CUST0160"/>
        <s v="CUST0876"/>
        <s v="CUST0398"/>
        <s v="CUST0866"/>
        <s v="CUST0627"/>
        <s v="CUST0594"/>
        <s v="CUST0315"/>
        <s v="CUST0837"/>
        <s v="CUST0449"/>
        <s v="CUST0820"/>
        <s v="CUST0108"/>
        <s v="CUST0312"/>
        <s v="CUST0998"/>
        <s v="CUST0011"/>
        <s v="CUST0571"/>
        <s v="CUST0156"/>
        <s v="CUST0230"/>
        <s v="CUST0668"/>
        <s v="CUST0256"/>
        <s v="CUST0694"/>
        <s v="CUST0836"/>
        <s v="CUST0905"/>
        <s v="CUST0308"/>
        <s v="CUST0142"/>
        <s v="CUST0583"/>
        <s v="CUST0971"/>
        <s v="CUST0003"/>
        <s v="CUST0874"/>
        <s v="CUST0161"/>
        <s v="CUST0263"/>
        <s v="CUST0693"/>
        <s v="CUST0098"/>
        <s v="CUST0439"/>
        <s v="CUST0633"/>
        <s v="CUST0646"/>
        <s v="CUST0767"/>
        <s v="CUST0489"/>
        <s v="CUST0591"/>
        <s v="CUST0138"/>
        <s v="CUST0527"/>
        <s v="CUST0661"/>
        <s v="CUST0760"/>
        <s v="CUST0078"/>
        <s v="CUST0875"/>
        <s v="CUST0182"/>
        <s v="CUST0139"/>
      </sharedItems>
    </cacheField>
    <cacheField name="Gender" numFmtId="49">
      <sharedItems count="3">
        <s v="Female"/>
        <s v="Male"/>
        <s v="Other"/>
      </sharedItems>
    </cacheField>
    <cacheField name="Age" numFmtId="1">
      <sharedItems containsSemiMixedTypes="0" containsString="0" containsNumber="1" containsInteger="1" minValue="18" maxValue="69"/>
    </cacheField>
    <cacheField name="Location" numFmtId="49">
      <sharedItems/>
    </cacheField>
    <cacheField name="Marital_Status" numFmtId="49">
      <sharedItems/>
    </cacheField>
    <cacheField name="Income_Level" numFmtId="49">
      <sharedItems/>
    </cacheField>
    <cacheField name="Product_Category" numFmtId="0">
      <sharedItems count="7">
        <s v="Books"/>
        <s v="Clothing"/>
        <s v="Electronics"/>
        <s v="Groceries"/>
        <s v="Home Decor"/>
        <s v="Sports"/>
        <s v="Toys"/>
      </sharedItems>
    </cacheField>
    <cacheField name="Product_ID" numFmtId="0">
      <sharedItems/>
    </cacheField>
    <cacheField name="Purchase_Amount" numFmtId="2">
      <sharedItems containsSemiMixedTypes="0" containsString="0" containsNumber="1" minValue="10.220000000000001" maxValue="998.81"/>
    </cacheField>
    <cacheField name="Quantity" numFmtId="1">
      <sharedItems containsSemiMixedTypes="0" containsString="0" containsNumber="1" containsInteger="1" minValue="1" maxValue="5"/>
    </cacheField>
    <cacheField name="Purchase_Date" numFmtId="14">
      <sharedItems containsSemiMixedTypes="0" containsNonDate="0" containsDate="1" containsString="0" minDate="2023-01-02T00:00:00" maxDate="2024-11-02T00:00:00"/>
    </cacheField>
    <cacheField name="Payment_Method" numFmtId="49">
      <sharedItems count="4">
        <s v="UPI"/>
        <s v="Cash"/>
        <s v="Online Wallet"/>
        <s v="Credit Card"/>
      </sharedItems>
    </cacheField>
    <cacheField name="Loyalty_Score" numFmtId="1">
      <sharedItems containsSemiMixedTypes="0" containsString="0" containsNumber="1" containsInteger="1" minValue="1" maxValue="10"/>
    </cacheField>
    <cacheField name="Discount_Applied" numFmtId="49">
      <sharedItems/>
    </cacheField>
    <cacheField name="Channel" numFmtId="49">
      <sharedItems/>
    </cacheField>
    <cacheField name="Total_Spend" numFmtId="0">
      <sharedItems containsSemiMixedTypes="0" containsString="0" containsNumber="1" minValue="20.41" maxValue="4988.5"/>
    </cacheField>
  </cacheFields>
  <extLst>
    <ext xmlns:x14="http://schemas.microsoft.com/office/spreadsheetml/2009/9/main" uri="{725AE2AE-9491-48be-B2B4-4EB974FC3084}">
      <x14:pivotCacheDefinition pivotCacheId="9675221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thiya" refreshedDate="45974.560185300928" backgroundQuery="1" createdVersion="8" refreshedVersion="8" minRefreshableVersion="3" recordCount="0" supportSubquery="1" supportAdvancedDrill="1" xr:uid="{D23B9DCA-6C4C-4790-97B4-C103DCBADECC}">
  <cacheSource type="external" connectionId="1"/>
  <cacheFields count="2">
    <cacheField name="[Table1].[Month].[Month]" caption="Month" numFmtId="0" hierarchy="12" level="1">
      <sharedItems count="12">
        <s v="Apr"/>
        <s v="Aug"/>
        <s v="Dec"/>
        <s v="Feb"/>
        <s v="Jan"/>
        <s v="Jul"/>
        <s v="Jun"/>
        <s v="Mar"/>
        <s v="May"/>
        <s v="Nov"/>
        <s v="Oct"/>
        <s v="Sep"/>
      </sharedItems>
    </cacheField>
    <cacheField name="[Measures].[Sum of Total_Spend]" caption="Sum of Total_Spend" numFmtId="0" hierarchy="22" level="32767"/>
  </cacheFields>
  <cacheHierarchies count="23">
    <cacheHierarchy uniqueName="[Table1].[Customer_ID]" caption="Customer_ID" attribute="1" defaultMemberUniqueName="[Table1].[Customer_ID].[All]" allUniqueName="[Table1].[Customer_I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Location]" caption="Location" attribute="1" defaultMemberUniqueName="[Table1].[Location].[All]" allUniqueName="[Table1].[Location].[All]" dimensionUniqueName="[Table1]" displayFolder="" count="0" memberValueDatatype="130" unbalanced="0"/>
    <cacheHierarchy uniqueName="[Table1].[Marital_Status]" caption="Marital_Status" attribute="1" defaultMemberUniqueName="[Table1].[Marital_Status].[All]" allUniqueName="[Table1].[Marital_Status].[All]" dimensionUniqueName="[Table1]" displayFolder="" count="0" memberValueDatatype="130" unbalanced="0"/>
    <cacheHierarchy uniqueName="[Table1].[Income_Level]" caption="Income_Level" attribute="1" defaultMemberUniqueName="[Table1].[Income_Level].[All]" allUniqueName="[Table1].[Income_Level].[All]" dimensionUniqueName="[Table1]" displayFolder="" count="0" memberValueDatatype="130" unbalanced="0"/>
    <cacheHierarchy uniqueName="[Table1].[Product_Category]" caption="Product_Category" attribute="1" defaultMemberUniqueName="[Table1].[Product_Category].[All]" allUniqueName="[Table1].[Product_Category].[All]" dimensionUniqueName="[Table1]" displayFolder="" count="0" memberValueDatatype="130" unbalanced="0"/>
    <cacheHierarchy uniqueName="[Table1].[Product_ID]" caption="Product_ID" attribute="1" defaultMemberUniqueName="[Table1].[Product_ID].[All]" allUniqueName="[Table1].[Product_ID].[All]" dimensionUniqueName="[Table1]" displayFolder="" count="0" memberValueDatatype="130" unbalanced="0"/>
    <cacheHierarchy uniqueName="[Table1].[Purchase_Amount]" caption="Purchase_Amount" attribute="1" defaultMemberUniqueName="[Table1].[Purchase_Amount].[All]" allUniqueName="[Table1].[Purchase_Amount].[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Purchase_Date]" caption="Purchase_Date" attribute="1" time="1" defaultMemberUniqueName="[Table1].[Purchase_Date].[All]" allUniqueName="[Table1].[Purchase_Date].[All]" dimensionUniqueName="[Table1]" displayFolder="" count="0" memberValueDatatype="7" unbalanced="0"/>
    <cacheHierarchy uniqueName="[Table1].[Year]" caption="Year" attribute="1" defaultMemberUniqueName="[Table1].[Year].[All]" allUniqueName="[Table1].[Year].[All]" dimensionUniqueName="[Table1]" displayFolder="" count="0" memberValueDatatype="130" unbalanced="0"/>
    <cacheHierarchy uniqueName="[Table1].[Month]" caption="Month" attribute="1" defaultMemberUniqueName="[Table1].[Month].[All]" allUniqueName="[Table1].[Month].[All]" dimensionUniqueName="[Table1]" displayFolder="" count="2" memberValueDatatype="130" unbalanced="0">
      <fieldsUsage count="2">
        <fieldUsage x="-1"/>
        <fieldUsage x="0"/>
      </fieldsUsage>
    </cacheHierarchy>
    <cacheHierarchy uniqueName="[Table1].[Weekday]" caption="Weekday" attribute="1" defaultMemberUniqueName="[Table1].[Weekday].[All]" allUniqueName="[Table1].[Weekday].[All]" dimensionUniqueName="[Table1]" displayFolder="" count="0" memberValueDatatype="130" unbalanced="0"/>
    <cacheHierarchy uniqueName="[Table1].[Payment_Method]" caption="Payment_Method" attribute="1" defaultMemberUniqueName="[Table1].[Payment_Method].[All]" allUniqueName="[Table1].[Payment_Method].[All]" dimensionUniqueName="[Table1]" displayFolder="" count="0" memberValueDatatype="130" unbalanced="0"/>
    <cacheHierarchy uniqueName="[Table1].[Loyalty_Score]" caption="Loyalty_Score" attribute="1" defaultMemberUniqueName="[Table1].[Loyalty_Score].[All]" allUniqueName="[Table1].[Loyalty_Score].[All]" dimensionUniqueName="[Table1]" displayFolder="" count="0" memberValueDatatype="20" unbalanced="0"/>
    <cacheHierarchy uniqueName="[Table1].[Discount_Applied]" caption="Discount_Applied" attribute="1" defaultMemberUniqueName="[Table1].[Discount_Applied].[All]" allUniqueName="[Table1].[Discount_Applied].[All]" dimensionUniqueName="[Table1]" displayFolder="" count="0" memberValueDatatype="130" unbalanced="0"/>
    <cacheHierarchy uniqueName="[Table1].[Channel]" caption="Channel" attribute="1" defaultMemberUniqueName="[Table1].[Channel].[All]" allUniqueName="[Table1].[Channel].[All]" dimensionUniqueName="[Table1]" displayFolder="" count="0" memberValueDatatype="130" unbalanced="0"/>
    <cacheHierarchy uniqueName="[Table1].[Total_Spend]" caption="Total_Spend" attribute="1" defaultMemberUniqueName="[Table1].[Total_Spend].[All]" allUniqueName="[Table1].[Total_Spend].[All]" dimensionUniqueName="[Table1]" displayFolder="" count="0" memberValueDatatype="5" unbalanced="0"/>
    <cacheHierarchy uniqueName="[Table1].[Age_Group]" caption="Age_Group" attribute="1" defaultMemberUniqueName="[Table1].[Age_Group].[All]" allUniqueName="[Table1].[Age_Group].[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_Spend]" caption="Sum of Total_Spend" measure="1" displayFolder="" measureGroup="Table1" count="0" oneField="1" hidden="1">
      <fieldsUsage count="1">
        <fieldUsage x="1"/>
      </fieldsUsage>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n v="18"/>
    <s v="Seattle"/>
    <s v="Married"/>
    <s v="Medium"/>
    <x v="0"/>
    <s v="PROD0088"/>
    <n v="161.61000000000001"/>
    <n v="3"/>
    <d v="2023-09-23T00:00:00"/>
    <x v="0"/>
    <n v="9"/>
    <s v="No"/>
    <s v="In-store"/>
    <n v="484.83000000000004"/>
  </r>
  <r>
    <x v="1"/>
    <x v="0"/>
    <n v="18"/>
    <s v="Seattle"/>
    <s v="Married"/>
    <s v="Medium"/>
    <x v="0"/>
    <s v="PROD0120"/>
    <n v="717.97"/>
    <n v="3"/>
    <d v="2023-09-30T00:00:00"/>
    <x v="1"/>
    <n v="3"/>
    <s v="Yes"/>
    <s v="In-store"/>
    <n v="2153.91"/>
  </r>
  <r>
    <x v="2"/>
    <x v="0"/>
    <n v="19"/>
    <s v="Seattle"/>
    <s v="Married"/>
    <s v="Low"/>
    <x v="0"/>
    <s v="PROD0118"/>
    <n v="975.66"/>
    <n v="5"/>
    <d v="2024-02-21T00:00:00"/>
    <x v="1"/>
    <n v="10"/>
    <s v="No"/>
    <s v="Online"/>
    <n v="4878.3"/>
  </r>
  <r>
    <x v="3"/>
    <x v="0"/>
    <n v="22"/>
    <s v="Phoenix"/>
    <s v="Married"/>
    <s v="Medium"/>
    <x v="0"/>
    <s v="PROD0038"/>
    <n v="739.11"/>
    <n v="2"/>
    <d v="2024-04-16T00:00:00"/>
    <x v="2"/>
    <n v="5"/>
    <s v="No"/>
    <s v="Online"/>
    <n v="1478.22"/>
  </r>
  <r>
    <x v="4"/>
    <x v="0"/>
    <n v="25"/>
    <s v="Miami"/>
    <s v="Married"/>
    <s v="High"/>
    <x v="0"/>
    <s v="PROD0095"/>
    <n v="157.02000000000001"/>
    <n v="2"/>
    <d v="2023-05-16T00:00:00"/>
    <x v="0"/>
    <n v="9"/>
    <s v="No"/>
    <s v="Online"/>
    <n v="314.04000000000002"/>
  </r>
  <r>
    <x v="5"/>
    <x v="0"/>
    <n v="27"/>
    <s v="Phoenix"/>
    <s v="Divorced"/>
    <s v="Medium"/>
    <x v="0"/>
    <s v="PROD0048"/>
    <n v="203.01"/>
    <n v="1"/>
    <d v="2024-04-07T00:00:00"/>
    <x v="0"/>
    <n v="8"/>
    <s v="Yes"/>
    <s v="In-store"/>
    <n v="203.01"/>
  </r>
  <r>
    <x v="6"/>
    <x v="0"/>
    <n v="28"/>
    <s v="Phoenix"/>
    <s v="Single"/>
    <s v="Medium"/>
    <x v="0"/>
    <s v="PROD0160"/>
    <n v="449.74"/>
    <n v="2"/>
    <d v="2023-09-21T00:00:00"/>
    <x v="3"/>
    <n v="8"/>
    <s v="No"/>
    <s v="Online"/>
    <n v="899.48"/>
  </r>
  <r>
    <x v="7"/>
    <x v="0"/>
    <n v="30"/>
    <s v="Seattle"/>
    <s v="Single"/>
    <s v="Medium"/>
    <x v="0"/>
    <s v="PROD0183"/>
    <n v="36.840000000000003"/>
    <n v="4"/>
    <d v="2024-10-05T00:00:00"/>
    <x v="2"/>
    <n v="10"/>
    <s v="No"/>
    <s v="Online"/>
    <n v="147.36000000000001"/>
  </r>
  <r>
    <x v="8"/>
    <x v="0"/>
    <n v="30"/>
    <s v="Seattle"/>
    <s v="Single"/>
    <s v="Medium"/>
    <x v="0"/>
    <s v="PROD0035"/>
    <n v="718.82"/>
    <n v="3"/>
    <d v="2023-12-28T00:00:00"/>
    <x v="1"/>
    <n v="2"/>
    <s v="No"/>
    <s v="In-store"/>
    <n v="2156.46"/>
  </r>
  <r>
    <x v="9"/>
    <x v="0"/>
    <n v="32"/>
    <s v="Los Angeles"/>
    <s v="Single"/>
    <s v="High"/>
    <x v="0"/>
    <s v="PROD0088"/>
    <n v="147.86000000000001"/>
    <n v="5"/>
    <d v="2024-07-05T00:00:00"/>
    <x v="2"/>
    <n v="6"/>
    <s v="No"/>
    <s v="Online"/>
    <n v="739.30000000000007"/>
  </r>
  <r>
    <x v="10"/>
    <x v="0"/>
    <n v="34"/>
    <s v="Houston"/>
    <s v="Divorced"/>
    <s v="Medium"/>
    <x v="0"/>
    <s v="PROD0190"/>
    <n v="114.59"/>
    <n v="4"/>
    <d v="2024-05-07T00:00:00"/>
    <x v="2"/>
    <n v="6"/>
    <s v="Yes"/>
    <s v="In-store"/>
    <n v="458.36"/>
  </r>
  <r>
    <x v="11"/>
    <x v="0"/>
    <n v="34"/>
    <s v="Los Angeles"/>
    <s v="Divorced"/>
    <s v="Low"/>
    <x v="0"/>
    <s v="PROD0049"/>
    <n v="650.87"/>
    <n v="3"/>
    <d v="2023-01-02T00:00:00"/>
    <x v="1"/>
    <n v="2"/>
    <s v="No"/>
    <s v="Online"/>
    <n v="1952.6100000000001"/>
  </r>
  <r>
    <x v="12"/>
    <x v="0"/>
    <n v="34"/>
    <s v="Houston"/>
    <s v="Single"/>
    <s v="High"/>
    <x v="0"/>
    <s v="PROD0186"/>
    <n v="818.49"/>
    <n v="5"/>
    <d v="2024-07-02T00:00:00"/>
    <x v="3"/>
    <n v="7"/>
    <s v="No"/>
    <s v="Online"/>
    <n v="4092.45"/>
  </r>
  <r>
    <x v="13"/>
    <x v="0"/>
    <n v="36"/>
    <s v="Chicago"/>
    <s v="Single"/>
    <s v="Low"/>
    <x v="0"/>
    <s v="PROD0162"/>
    <n v="624.03"/>
    <n v="2"/>
    <d v="2024-09-17T00:00:00"/>
    <x v="2"/>
    <n v="8"/>
    <s v="No"/>
    <s v="Online"/>
    <n v="1248.06"/>
  </r>
  <r>
    <x v="14"/>
    <x v="0"/>
    <n v="38"/>
    <s v="New York"/>
    <s v="Divorced"/>
    <s v="Medium"/>
    <x v="0"/>
    <s v="PROD0095"/>
    <n v="292.35000000000002"/>
    <n v="3"/>
    <d v="2024-03-16T00:00:00"/>
    <x v="2"/>
    <n v="6"/>
    <s v="No"/>
    <s v="In-store"/>
    <n v="877.05000000000007"/>
  </r>
  <r>
    <x v="15"/>
    <x v="0"/>
    <n v="40"/>
    <s v="Seattle"/>
    <s v="Married"/>
    <s v="High"/>
    <x v="0"/>
    <s v="PROD0182"/>
    <n v="915.85"/>
    <n v="4"/>
    <d v="2023-01-18T00:00:00"/>
    <x v="3"/>
    <n v="5"/>
    <s v="No"/>
    <s v="Online"/>
    <n v="3663.4"/>
  </r>
  <r>
    <x v="16"/>
    <x v="0"/>
    <n v="41"/>
    <s v="Phoenix"/>
    <s v="Married"/>
    <s v="Medium"/>
    <x v="0"/>
    <s v="PROD0004"/>
    <n v="340.44"/>
    <n v="2"/>
    <d v="2024-09-03T00:00:00"/>
    <x v="0"/>
    <n v="9"/>
    <s v="No"/>
    <s v="In-store"/>
    <n v="680.88"/>
  </r>
  <r>
    <x v="17"/>
    <x v="0"/>
    <n v="42"/>
    <s v="Los Angeles"/>
    <s v="Single"/>
    <s v="Medium"/>
    <x v="0"/>
    <s v="PROD0075"/>
    <n v="280.74"/>
    <n v="5"/>
    <d v="2023-06-12T00:00:00"/>
    <x v="2"/>
    <n v="1"/>
    <s v="No"/>
    <s v="In-store"/>
    <n v="1403.7"/>
  </r>
  <r>
    <x v="18"/>
    <x v="0"/>
    <n v="42"/>
    <s v="Miami"/>
    <s v="Divorced"/>
    <s v="Medium"/>
    <x v="0"/>
    <s v="PROD0181"/>
    <n v="427.5"/>
    <n v="4"/>
    <d v="2023-02-10T00:00:00"/>
    <x v="3"/>
    <n v="10"/>
    <s v="No"/>
    <s v="Online"/>
    <n v="1710"/>
  </r>
  <r>
    <x v="19"/>
    <x v="0"/>
    <n v="43"/>
    <s v="Los Angeles"/>
    <s v="Married"/>
    <s v="Medium"/>
    <x v="0"/>
    <s v="PROD0172"/>
    <n v="416.62"/>
    <n v="2"/>
    <d v="2024-02-22T00:00:00"/>
    <x v="2"/>
    <n v="1"/>
    <s v="No"/>
    <s v="In-store"/>
    <n v="833.24"/>
  </r>
  <r>
    <x v="20"/>
    <x v="0"/>
    <n v="44"/>
    <s v="Miami"/>
    <s v="Married"/>
    <s v="Medium"/>
    <x v="0"/>
    <s v="PROD0174"/>
    <n v="275.45999999999998"/>
    <n v="5"/>
    <d v="2024-03-13T00:00:00"/>
    <x v="2"/>
    <n v="6"/>
    <s v="Yes"/>
    <s v="In-store"/>
    <n v="1377.3"/>
  </r>
  <r>
    <x v="21"/>
    <x v="0"/>
    <n v="44"/>
    <s v="Los Angeles"/>
    <s v="Divorced"/>
    <s v="Medium"/>
    <x v="0"/>
    <s v="PROD0190"/>
    <n v="853.53"/>
    <n v="5"/>
    <d v="2023-03-09T00:00:00"/>
    <x v="2"/>
    <n v="6"/>
    <s v="Yes"/>
    <s v="Online"/>
    <n v="4267.6499999999996"/>
  </r>
  <r>
    <x v="22"/>
    <x v="0"/>
    <n v="45"/>
    <s v="Boston"/>
    <s v="Married"/>
    <s v="Low"/>
    <x v="0"/>
    <s v="PROD0054"/>
    <n v="577.83000000000004"/>
    <n v="2"/>
    <d v="2024-01-26T00:00:00"/>
    <x v="2"/>
    <n v="6"/>
    <s v="No"/>
    <s v="In-store"/>
    <n v="1155.6600000000001"/>
  </r>
  <r>
    <x v="23"/>
    <x v="0"/>
    <n v="45"/>
    <s v="Boston"/>
    <s v="Divorced"/>
    <s v="Medium"/>
    <x v="0"/>
    <s v="PROD0054"/>
    <n v="709.54"/>
    <n v="5"/>
    <d v="2024-04-01T00:00:00"/>
    <x v="2"/>
    <n v="7"/>
    <s v="No"/>
    <s v="Online"/>
    <n v="3547.7"/>
  </r>
  <r>
    <x v="24"/>
    <x v="0"/>
    <n v="46"/>
    <s v="Miami"/>
    <s v="Married"/>
    <s v="Medium"/>
    <x v="0"/>
    <s v="PROD0001"/>
    <n v="283.99"/>
    <n v="4"/>
    <d v="2023-05-16T00:00:00"/>
    <x v="1"/>
    <n v="6"/>
    <s v="No"/>
    <s v="Online"/>
    <n v="1135.96"/>
  </r>
  <r>
    <x v="25"/>
    <x v="0"/>
    <n v="48"/>
    <s v="Houston"/>
    <s v="Divorced"/>
    <s v="Medium"/>
    <x v="0"/>
    <s v="PROD0117"/>
    <n v="563.63"/>
    <n v="1"/>
    <d v="2023-08-04T00:00:00"/>
    <x v="3"/>
    <n v="6"/>
    <s v="Yes"/>
    <s v="In-store"/>
    <n v="563.63"/>
  </r>
  <r>
    <x v="26"/>
    <x v="0"/>
    <n v="48"/>
    <s v="New York"/>
    <s v="Single"/>
    <s v="Medium"/>
    <x v="0"/>
    <s v="PROD0096"/>
    <n v="635.05999999999995"/>
    <n v="5"/>
    <d v="2023-03-15T00:00:00"/>
    <x v="1"/>
    <n v="9"/>
    <s v="Yes"/>
    <s v="Online"/>
    <n v="3175.2999999999997"/>
  </r>
  <r>
    <x v="27"/>
    <x v="0"/>
    <n v="49"/>
    <s v="Houston"/>
    <s v="Single"/>
    <s v="High"/>
    <x v="0"/>
    <s v="PROD0110"/>
    <n v="189.95"/>
    <n v="2"/>
    <d v="2023-02-14T00:00:00"/>
    <x v="1"/>
    <n v="1"/>
    <s v="No"/>
    <s v="Online"/>
    <n v="379.9"/>
  </r>
  <r>
    <x v="28"/>
    <x v="0"/>
    <n v="49"/>
    <s v="Miami"/>
    <s v="Divorced"/>
    <s v="Low"/>
    <x v="0"/>
    <s v="PROD0064"/>
    <n v="568.77"/>
    <n v="3"/>
    <d v="2023-08-09T00:00:00"/>
    <x v="1"/>
    <n v="9"/>
    <s v="Yes"/>
    <s v="In-store"/>
    <n v="1706.31"/>
  </r>
  <r>
    <x v="29"/>
    <x v="0"/>
    <n v="50"/>
    <s v="Miami"/>
    <s v="Divorced"/>
    <s v="Low"/>
    <x v="0"/>
    <s v="PROD0194"/>
    <n v="64.19"/>
    <n v="1"/>
    <d v="2024-02-11T00:00:00"/>
    <x v="1"/>
    <n v="8"/>
    <s v="Yes"/>
    <s v="Online"/>
    <n v="64.19"/>
  </r>
  <r>
    <x v="30"/>
    <x v="0"/>
    <n v="50"/>
    <s v="Seattle"/>
    <s v="Single"/>
    <s v="Low"/>
    <x v="0"/>
    <s v="PROD0196"/>
    <n v="383.28"/>
    <n v="3"/>
    <d v="2024-07-06T00:00:00"/>
    <x v="3"/>
    <n v="9"/>
    <s v="No"/>
    <s v="Online"/>
    <n v="1149.8399999999999"/>
  </r>
  <r>
    <x v="31"/>
    <x v="0"/>
    <n v="50"/>
    <s v="Miami"/>
    <s v="Married"/>
    <s v="Low"/>
    <x v="0"/>
    <s v="PROD0146"/>
    <n v="953.87"/>
    <n v="2"/>
    <d v="2024-04-24T00:00:00"/>
    <x v="2"/>
    <n v="8"/>
    <s v="No"/>
    <s v="Online"/>
    <n v="1907.74"/>
  </r>
  <r>
    <x v="32"/>
    <x v="0"/>
    <n v="51"/>
    <s v="Phoenix"/>
    <s v="Divorced"/>
    <s v="Medium"/>
    <x v="0"/>
    <s v="PROD0025"/>
    <n v="332.91"/>
    <n v="2"/>
    <d v="2023-02-09T00:00:00"/>
    <x v="1"/>
    <n v="5"/>
    <s v="Yes"/>
    <s v="In-store"/>
    <n v="665.82"/>
  </r>
  <r>
    <x v="33"/>
    <x v="0"/>
    <n v="52"/>
    <s v="Houston"/>
    <s v="Single"/>
    <s v="Medium"/>
    <x v="0"/>
    <s v="PROD0175"/>
    <n v="776.74"/>
    <n v="3"/>
    <d v="2024-03-26T00:00:00"/>
    <x v="1"/>
    <n v="5"/>
    <s v="Yes"/>
    <s v="In-store"/>
    <n v="2330.2200000000003"/>
  </r>
  <r>
    <x v="34"/>
    <x v="0"/>
    <n v="54"/>
    <s v="Houston"/>
    <s v="Single"/>
    <s v="High"/>
    <x v="0"/>
    <s v="PROD0042"/>
    <n v="141.94999999999999"/>
    <n v="3"/>
    <d v="2024-03-05T00:00:00"/>
    <x v="0"/>
    <n v="3"/>
    <s v="No"/>
    <s v="Online"/>
    <n v="425.84999999999997"/>
  </r>
  <r>
    <x v="35"/>
    <x v="0"/>
    <n v="55"/>
    <s v="New York"/>
    <s v="Married"/>
    <s v="High"/>
    <x v="0"/>
    <s v="PROD0156"/>
    <n v="94.55"/>
    <n v="5"/>
    <d v="2024-02-16T00:00:00"/>
    <x v="1"/>
    <n v="1"/>
    <s v="No"/>
    <s v="Online"/>
    <n v="472.75"/>
  </r>
  <r>
    <x v="36"/>
    <x v="0"/>
    <n v="55"/>
    <s v="Phoenix"/>
    <s v="Married"/>
    <s v="Medium"/>
    <x v="0"/>
    <s v="PROD0105"/>
    <n v="249.24"/>
    <n v="1"/>
    <d v="2023-05-04T00:00:00"/>
    <x v="2"/>
    <n v="8"/>
    <s v="No"/>
    <s v="Online"/>
    <n v="249.24"/>
  </r>
  <r>
    <x v="37"/>
    <x v="0"/>
    <n v="60"/>
    <s v="Houston"/>
    <s v="Married"/>
    <s v="Low"/>
    <x v="0"/>
    <s v="PROD0156"/>
    <n v="573.27"/>
    <n v="2"/>
    <d v="2023-06-07T00:00:00"/>
    <x v="3"/>
    <n v="2"/>
    <s v="No"/>
    <s v="Online"/>
    <n v="1146.54"/>
  </r>
  <r>
    <x v="38"/>
    <x v="0"/>
    <n v="60"/>
    <s v="Miami"/>
    <s v="Single"/>
    <s v="Medium"/>
    <x v="0"/>
    <s v="PROD0022"/>
    <n v="970.12"/>
    <n v="2"/>
    <d v="2024-06-14T00:00:00"/>
    <x v="2"/>
    <n v="6"/>
    <s v="No"/>
    <s v="Online"/>
    <n v="1940.24"/>
  </r>
  <r>
    <x v="39"/>
    <x v="0"/>
    <n v="61"/>
    <s v="New York"/>
    <s v="Married"/>
    <s v="Medium"/>
    <x v="0"/>
    <s v="PROD0171"/>
    <n v="342.46"/>
    <n v="2"/>
    <d v="2023-04-22T00:00:00"/>
    <x v="1"/>
    <n v="1"/>
    <s v="Yes"/>
    <s v="Online"/>
    <n v="684.92"/>
  </r>
  <r>
    <x v="40"/>
    <x v="0"/>
    <n v="62"/>
    <s v="Boston"/>
    <s v="Divorced"/>
    <s v="High"/>
    <x v="0"/>
    <s v="PROD0082"/>
    <n v="289.01"/>
    <n v="2"/>
    <d v="2024-05-25T00:00:00"/>
    <x v="3"/>
    <n v="6"/>
    <s v="No"/>
    <s v="In-store"/>
    <n v="578.02"/>
  </r>
  <r>
    <x v="41"/>
    <x v="0"/>
    <n v="62"/>
    <s v="Seattle"/>
    <s v="Married"/>
    <s v="Medium"/>
    <x v="0"/>
    <s v="PROD0107"/>
    <n v="607.21"/>
    <n v="4"/>
    <d v="2023-04-29T00:00:00"/>
    <x v="2"/>
    <n v="3"/>
    <s v="No"/>
    <s v="Online"/>
    <n v="2428.84"/>
  </r>
  <r>
    <x v="42"/>
    <x v="0"/>
    <n v="63"/>
    <s v="New York"/>
    <s v="Single"/>
    <s v="High"/>
    <x v="0"/>
    <s v="PROD0131"/>
    <n v="170.08"/>
    <n v="4"/>
    <d v="2023-06-16T00:00:00"/>
    <x v="1"/>
    <n v="9"/>
    <s v="No"/>
    <s v="Online"/>
    <n v="680.32"/>
  </r>
  <r>
    <x v="43"/>
    <x v="0"/>
    <n v="64"/>
    <s v="Houston"/>
    <s v="Single"/>
    <s v="Medium"/>
    <x v="0"/>
    <s v="PROD0183"/>
    <n v="728.07"/>
    <n v="5"/>
    <d v="2024-03-05T00:00:00"/>
    <x v="2"/>
    <n v="3"/>
    <s v="No"/>
    <s v="Online"/>
    <n v="3640.3500000000004"/>
  </r>
  <r>
    <x v="44"/>
    <x v="0"/>
    <n v="66"/>
    <s v="Phoenix"/>
    <s v="Divorced"/>
    <s v="Medium"/>
    <x v="0"/>
    <s v="PROD0134"/>
    <n v="751.47"/>
    <n v="5"/>
    <d v="2024-08-10T00:00:00"/>
    <x v="2"/>
    <n v="3"/>
    <s v="No"/>
    <s v="In-store"/>
    <n v="3757.3500000000004"/>
  </r>
  <r>
    <x v="45"/>
    <x v="0"/>
    <n v="69"/>
    <s v="New York"/>
    <s v="Divorced"/>
    <s v="Medium"/>
    <x v="0"/>
    <s v="PROD0177"/>
    <n v="44.09"/>
    <n v="1"/>
    <d v="2023-05-08T00:00:00"/>
    <x v="2"/>
    <n v="4"/>
    <s v="No"/>
    <s v="Online"/>
    <n v="44.09"/>
  </r>
  <r>
    <x v="46"/>
    <x v="0"/>
    <n v="69"/>
    <s v="Miami"/>
    <s v="Married"/>
    <s v="Low"/>
    <x v="0"/>
    <s v="PROD0012"/>
    <n v="369.62"/>
    <n v="5"/>
    <d v="2023-11-30T00:00:00"/>
    <x v="2"/>
    <n v="8"/>
    <s v="Yes"/>
    <s v="Online"/>
    <n v="1848.1"/>
  </r>
  <r>
    <x v="47"/>
    <x v="0"/>
    <n v="19"/>
    <s v="Boston"/>
    <s v="Single"/>
    <s v="Medium"/>
    <x v="1"/>
    <s v="PROD0121"/>
    <n v="695.99"/>
    <n v="1"/>
    <d v="2024-09-19T00:00:00"/>
    <x v="1"/>
    <n v="4"/>
    <s v="No"/>
    <s v="Online"/>
    <n v="695.99"/>
  </r>
  <r>
    <x v="48"/>
    <x v="0"/>
    <n v="20"/>
    <s v="Los Angeles"/>
    <s v="Married"/>
    <s v="High"/>
    <x v="1"/>
    <s v="PROD0179"/>
    <n v="252.21"/>
    <n v="2"/>
    <d v="2024-09-16T00:00:00"/>
    <x v="1"/>
    <n v="3"/>
    <s v="No"/>
    <s v="In-store"/>
    <n v="504.42"/>
  </r>
  <r>
    <x v="49"/>
    <x v="0"/>
    <n v="20"/>
    <s v="Houston"/>
    <s v="Married"/>
    <s v="High"/>
    <x v="1"/>
    <s v="PROD0182"/>
    <n v="351.57"/>
    <n v="2"/>
    <d v="2024-07-10T00:00:00"/>
    <x v="2"/>
    <n v="9"/>
    <s v="No"/>
    <s v="In-store"/>
    <n v="703.14"/>
  </r>
  <r>
    <x v="50"/>
    <x v="0"/>
    <n v="23"/>
    <s v="Phoenix"/>
    <s v="Married"/>
    <s v="Medium"/>
    <x v="1"/>
    <s v="PROD0101"/>
    <n v="604.78"/>
    <n v="5"/>
    <d v="2024-05-27T00:00:00"/>
    <x v="3"/>
    <n v="9"/>
    <s v="No"/>
    <s v="Online"/>
    <n v="3023.8999999999996"/>
  </r>
  <r>
    <x v="51"/>
    <x v="0"/>
    <n v="23"/>
    <s v="Los Angeles"/>
    <s v="Married"/>
    <s v="High"/>
    <x v="1"/>
    <s v="PROD0189"/>
    <n v="635.41"/>
    <n v="3"/>
    <d v="2024-03-02T00:00:00"/>
    <x v="3"/>
    <n v="9"/>
    <s v="No"/>
    <s v="In-store"/>
    <n v="1906.23"/>
  </r>
  <r>
    <x v="52"/>
    <x v="0"/>
    <n v="25"/>
    <s v="Seattle"/>
    <s v="Married"/>
    <s v="Low"/>
    <x v="1"/>
    <s v="PROD0109"/>
    <n v="52.67"/>
    <n v="5"/>
    <d v="2024-07-18T00:00:00"/>
    <x v="0"/>
    <n v="10"/>
    <s v="Yes"/>
    <s v="Online"/>
    <n v="263.35000000000002"/>
  </r>
  <r>
    <x v="53"/>
    <x v="0"/>
    <n v="26"/>
    <s v="Los Angeles"/>
    <s v="Single"/>
    <s v="High"/>
    <x v="1"/>
    <s v="PROD0001"/>
    <n v="454.59"/>
    <n v="4"/>
    <d v="2023-04-23T00:00:00"/>
    <x v="2"/>
    <n v="7"/>
    <s v="Yes"/>
    <s v="Online"/>
    <n v="1818.36"/>
  </r>
  <r>
    <x v="54"/>
    <x v="0"/>
    <n v="26"/>
    <s v="Los Angeles"/>
    <s v="Single"/>
    <s v="Medium"/>
    <x v="1"/>
    <s v="PROD0187"/>
    <n v="936.04"/>
    <n v="1"/>
    <d v="2024-06-26T00:00:00"/>
    <x v="3"/>
    <n v="2"/>
    <s v="Yes"/>
    <s v="In-store"/>
    <n v="936.04"/>
  </r>
  <r>
    <x v="55"/>
    <x v="0"/>
    <n v="27"/>
    <s v="Seattle"/>
    <s v="Married"/>
    <s v="Low"/>
    <x v="1"/>
    <s v="PROD0084"/>
    <n v="188.85"/>
    <n v="5"/>
    <d v="2023-08-02T00:00:00"/>
    <x v="3"/>
    <n v="1"/>
    <s v="Yes"/>
    <s v="Online"/>
    <n v="944.25"/>
  </r>
  <r>
    <x v="56"/>
    <x v="0"/>
    <n v="28"/>
    <s v="Los Angeles"/>
    <s v="Single"/>
    <s v="Low"/>
    <x v="1"/>
    <s v="PROD0134"/>
    <n v="61.14"/>
    <n v="1"/>
    <d v="2024-07-28T00:00:00"/>
    <x v="3"/>
    <n v="9"/>
    <s v="Yes"/>
    <s v="Online"/>
    <n v="61.14"/>
  </r>
  <r>
    <x v="57"/>
    <x v="0"/>
    <n v="28"/>
    <s v="Miami"/>
    <s v="Divorced"/>
    <s v="Medium"/>
    <x v="1"/>
    <s v="PROD0098"/>
    <n v="679.63"/>
    <n v="2"/>
    <d v="2024-01-08T00:00:00"/>
    <x v="0"/>
    <n v="8"/>
    <s v="Yes"/>
    <s v="Online"/>
    <n v="1359.26"/>
  </r>
  <r>
    <x v="58"/>
    <x v="0"/>
    <n v="29"/>
    <s v="Los Angeles"/>
    <s v="Married"/>
    <s v="Low"/>
    <x v="1"/>
    <s v="PROD0072"/>
    <n v="245.11"/>
    <n v="2"/>
    <d v="2023-07-18T00:00:00"/>
    <x v="3"/>
    <n v="8"/>
    <s v="No"/>
    <s v="Online"/>
    <n v="490.22"/>
  </r>
  <r>
    <x v="59"/>
    <x v="0"/>
    <n v="30"/>
    <s v="Seattle"/>
    <s v="Divorced"/>
    <s v="Medium"/>
    <x v="1"/>
    <s v="PROD0011"/>
    <n v="432.83"/>
    <n v="4"/>
    <d v="2024-10-06T00:00:00"/>
    <x v="0"/>
    <n v="7"/>
    <s v="Yes"/>
    <s v="In-store"/>
    <n v="1731.32"/>
  </r>
  <r>
    <x v="60"/>
    <x v="0"/>
    <n v="34"/>
    <s v="New York"/>
    <s v="Married"/>
    <s v="Medium"/>
    <x v="1"/>
    <s v="PROD0030"/>
    <n v="128.02000000000001"/>
    <n v="2"/>
    <d v="2023-08-12T00:00:00"/>
    <x v="0"/>
    <n v="4"/>
    <s v="Yes"/>
    <s v="Online"/>
    <n v="256.04000000000002"/>
  </r>
  <r>
    <x v="61"/>
    <x v="0"/>
    <n v="38"/>
    <s v="Los Angeles"/>
    <s v="Married"/>
    <s v="Medium"/>
    <x v="1"/>
    <s v="PROD0004"/>
    <n v="193.92"/>
    <n v="1"/>
    <d v="2024-05-30T00:00:00"/>
    <x v="1"/>
    <n v="1"/>
    <s v="Yes"/>
    <s v="Online"/>
    <n v="193.92"/>
  </r>
  <r>
    <x v="62"/>
    <x v="0"/>
    <n v="38"/>
    <s v="Miami"/>
    <s v="Single"/>
    <s v="High"/>
    <x v="1"/>
    <s v="PROD0161"/>
    <n v="349.84"/>
    <n v="4"/>
    <d v="2023-05-27T00:00:00"/>
    <x v="1"/>
    <n v="4"/>
    <s v="Yes"/>
    <s v="Online"/>
    <n v="1399.36"/>
  </r>
  <r>
    <x v="63"/>
    <x v="0"/>
    <n v="39"/>
    <s v="New York"/>
    <s v="Single"/>
    <s v="Medium"/>
    <x v="1"/>
    <s v="PROD0072"/>
    <n v="298.99"/>
    <n v="2"/>
    <d v="2023-11-29T00:00:00"/>
    <x v="3"/>
    <n v="7"/>
    <s v="Yes"/>
    <s v="Online"/>
    <n v="597.98"/>
  </r>
  <r>
    <x v="64"/>
    <x v="0"/>
    <n v="43"/>
    <s v="Chicago"/>
    <s v="Single"/>
    <s v="Low"/>
    <x v="1"/>
    <s v="PROD0099"/>
    <n v="316.37"/>
    <n v="3"/>
    <d v="2024-01-22T00:00:00"/>
    <x v="1"/>
    <n v="7"/>
    <s v="Yes"/>
    <s v="Online"/>
    <n v="949.11"/>
  </r>
  <r>
    <x v="65"/>
    <x v="0"/>
    <n v="43"/>
    <s v="Boston"/>
    <s v="Divorced"/>
    <s v="Low"/>
    <x v="1"/>
    <s v="PROD0106"/>
    <n v="666.51"/>
    <n v="3"/>
    <d v="2023-11-04T00:00:00"/>
    <x v="0"/>
    <n v="6"/>
    <s v="Yes"/>
    <s v="Online"/>
    <n v="1999.53"/>
  </r>
  <r>
    <x v="66"/>
    <x v="0"/>
    <n v="46"/>
    <s v="Los Angeles"/>
    <s v="Divorced"/>
    <s v="Low"/>
    <x v="1"/>
    <s v="PROD0197"/>
    <n v="694.73"/>
    <n v="3"/>
    <d v="2023-08-04T00:00:00"/>
    <x v="1"/>
    <n v="2"/>
    <s v="No"/>
    <s v="In-store"/>
    <n v="2084.19"/>
  </r>
  <r>
    <x v="67"/>
    <x v="0"/>
    <n v="47"/>
    <s v="New York"/>
    <s v="Divorced"/>
    <s v="Medium"/>
    <x v="1"/>
    <s v="PROD0174"/>
    <n v="509.86"/>
    <n v="2"/>
    <d v="2024-02-15T00:00:00"/>
    <x v="2"/>
    <n v="1"/>
    <s v="Yes"/>
    <s v="Online"/>
    <n v="1019.72"/>
  </r>
  <r>
    <x v="68"/>
    <x v="0"/>
    <n v="47"/>
    <s v="Los Angeles"/>
    <s v="Divorced"/>
    <s v="Low"/>
    <x v="1"/>
    <s v="PROD0119"/>
    <n v="976.02"/>
    <n v="3"/>
    <d v="2024-04-30T00:00:00"/>
    <x v="3"/>
    <n v="8"/>
    <s v="No"/>
    <s v="Online"/>
    <n v="2928.06"/>
  </r>
  <r>
    <x v="69"/>
    <x v="0"/>
    <n v="48"/>
    <s v="New York"/>
    <s v="Divorced"/>
    <s v="High"/>
    <x v="1"/>
    <s v="PROD0087"/>
    <n v="744.95"/>
    <n v="1"/>
    <d v="2023-12-20T00:00:00"/>
    <x v="3"/>
    <n v="5"/>
    <s v="No"/>
    <s v="Online"/>
    <n v="744.95"/>
  </r>
  <r>
    <x v="70"/>
    <x v="0"/>
    <n v="49"/>
    <s v="Boston"/>
    <s v="Single"/>
    <s v="Low"/>
    <x v="1"/>
    <s v="PROD0091"/>
    <n v="451.06"/>
    <n v="4"/>
    <d v="2023-10-23T00:00:00"/>
    <x v="1"/>
    <n v="5"/>
    <s v="Yes"/>
    <s v="In-store"/>
    <n v="1804.24"/>
  </r>
  <r>
    <x v="71"/>
    <x v="0"/>
    <n v="49"/>
    <s v="Los Angeles"/>
    <s v="Married"/>
    <s v="Low"/>
    <x v="1"/>
    <s v="PROD0012"/>
    <n v="778.12"/>
    <n v="1"/>
    <d v="2023-11-04T00:00:00"/>
    <x v="1"/>
    <n v="6"/>
    <s v="Yes"/>
    <s v="Online"/>
    <n v="778.12"/>
  </r>
  <r>
    <x v="72"/>
    <x v="0"/>
    <n v="50"/>
    <s v="Boston"/>
    <s v="Married"/>
    <s v="Medium"/>
    <x v="1"/>
    <s v="PROD0095"/>
    <n v="139.05000000000001"/>
    <n v="1"/>
    <d v="2023-11-30T00:00:00"/>
    <x v="3"/>
    <n v="10"/>
    <s v="No"/>
    <s v="In-store"/>
    <n v="139.05000000000001"/>
  </r>
  <r>
    <x v="73"/>
    <x v="0"/>
    <n v="51"/>
    <s v="Los Angeles"/>
    <s v="Divorced"/>
    <s v="Medium"/>
    <x v="1"/>
    <s v="PROD0169"/>
    <n v="896.6"/>
    <n v="3"/>
    <d v="2023-04-10T00:00:00"/>
    <x v="1"/>
    <n v="3"/>
    <s v="Yes"/>
    <s v="Online"/>
    <n v="2689.8"/>
  </r>
  <r>
    <x v="74"/>
    <x v="0"/>
    <n v="52"/>
    <s v="Miami"/>
    <s v="Divorced"/>
    <s v="Medium"/>
    <x v="1"/>
    <s v="PROD0047"/>
    <n v="580.72"/>
    <n v="1"/>
    <d v="2023-06-04T00:00:00"/>
    <x v="1"/>
    <n v="5"/>
    <s v="Yes"/>
    <s v="Online"/>
    <n v="580.72"/>
  </r>
  <r>
    <x v="75"/>
    <x v="0"/>
    <n v="53"/>
    <s v="Phoenix"/>
    <s v="Single"/>
    <s v="High"/>
    <x v="1"/>
    <s v="PROD0011"/>
    <n v="139.97999999999999"/>
    <n v="4"/>
    <d v="2024-02-04T00:00:00"/>
    <x v="3"/>
    <n v="1"/>
    <s v="No"/>
    <s v="Online"/>
    <n v="559.91999999999996"/>
  </r>
  <r>
    <x v="76"/>
    <x v="0"/>
    <n v="59"/>
    <s v="Houston"/>
    <s v="Divorced"/>
    <s v="Medium"/>
    <x v="1"/>
    <s v="PROD0088"/>
    <n v="366.08"/>
    <n v="4"/>
    <d v="2023-05-04T00:00:00"/>
    <x v="3"/>
    <n v="3"/>
    <s v="No"/>
    <s v="Online"/>
    <n v="1464.32"/>
  </r>
  <r>
    <x v="77"/>
    <x v="0"/>
    <n v="60"/>
    <s v="Boston"/>
    <s v="Single"/>
    <s v="Medium"/>
    <x v="1"/>
    <s v="PROD0045"/>
    <n v="225.28"/>
    <n v="3"/>
    <d v="2023-03-26T00:00:00"/>
    <x v="0"/>
    <n v="2"/>
    <s v="Yes"/>
    <s v="In-store"/>
    <n v="675.84"/>
  </r>
  <r>
    <x v="78"/>
    <x v="0"/>
    <n v="62"/>
    <s v="Los Angeles"/>
    <s v="Single"/>
    <s v="Medium"/>
    <x v="1"/>
    <s v="PROD0169"/>
    <n v="49.41"/>
    <n v="5"/>
    <d v="2024-01-18T00:00:00"/>
    <x v="3"/>
    <n v="4"/>
    <s v="Yes"/>
    <s v="In-store"/>
    <n v="247.04999999999998"/>
  </r>
  <r>
    <x v="79"/>
    <x v="0"/>
    <n v="62"/>
    <s v="Boston"/>
    <s v="Married"/>
    <s v="Low"/>
    <x v="1"/>
    <s v="PROD0123"/>
    <n v="64.42"/>
    <n v="3"/>
    <d v="2023-12-11T00:00:00"/>
    <x v="3"/>
    <n v="7"/>
    <s v="Yes"/>
    <s v="Online"/>
    <n v="193.26"/>
  </r>
  <r>
    <x v="80"/>
    <x v="0"/>
    <n v="62"/>
    <s v="Boston"/>
    <s v="Married"/>
    <s v="Medium"/>
    <x v="1"/>
    <s v="PROD0070"/>
    <n v="108.5"/>
    <n v="1"/>
    <d v="2024-02-17T00:00:00"/>
    <x v="1"/>
    <n v="8"/>
    <s v="Yes"/>
    <s v="In-store"/>
    <n v="108.5"/>
  </r>
  <r>
    <x v="81"/>
    <x v="0"/>
    <n v="64"/>
    <s v="New York"/>
    <s v="Married"/>
    <s v="High"/>
    <x v="1"/>
    <s v="PROD0044"/>
    <n v="383.59"/>
    <n v="4"/>
    <d v="2023-12-19T00:00:00"/>
    <x v="2"/>
    <n v="10"/>
    <s v="Yes"/>
    <s v="Online"/>
    <n v="1534.36"/>
  </r>
  <r>
    <x v="82"/>
    <x v="0"/>
    <n v="64"/>
    <s v="Phoenix"/>
    <s v="Divorced"/>
    <s v="Low"/>
    <x v="1"/>
    <s v="PROD0089"/>
    <n v="733.94"/>
    <n v="2"/>
    <d v="2024-01-13T00:00:00"/>
    <x v="1"/>
    <n v="7"/>
    <s v="No"/>
    <s v="In-store"/>
    <n v="1467.88"/>
  </r>
  <r>
    <x v="83"/>
    <x v="0"/>
    <n v="65"/>
    <s v="New York"/>
    <s v="Divorced"/>
    <s v="Medium"/>
    <x v="1"/>
    <s v="PROD0050"/>
    <n v="606.44000000000005"/>
    <n v="5"/>
    <d v="2024-01-25T00:00:00"/>
    <x v="0"/>
    <n v="10"/>
    <s v="No"/>
    <s v="Online"/>
    <n v="3032.2000000000003"/>
  </r>
  <r>
    <x v="84"/>
    <x v="0"/>
    <n v="19"/>
    <s v="Miami"/>
    <s v="Single"/>
    <s v="Medium"/>
    <x v="2"/>
    <s v="PROD0178"/>
    <n v="353.53"/>
    <n v="4"/>
    <d v="2023-02-22T00:00:00"/>
    <x v="3"/>
    <n v="10"/>
    <s v="No"/>
    <s v="In-store"/>
    <n v="1414.12"/>
  </r>
  <r>
    <x v="85"/>
    <x v="0"/>
    <n v="20"/>
    <s v="Boston"/>
    <s v="Married"/>
    <s v="High"/>
    <x v="2"/>
    <s v="PROD0010"/>
    <n v="212.75"/>
    <n v="4"/>
    <d v="2023-01-17T00:00:00"/>
    <x v="1"/>
    <n v="1"/>
    <s v="No"/>
    <s v="Online"/>
    <n v="851"/>
  </r>
  <r>
    <x v="86"/>
    <x v="0"/>
    <n v="21"/>
    <s v="Boston"/>
    <s v="Married"/>
    <s v="Low"/>
    <x v="2"/>
    <s v="PROD0037"/>
    <n v="445.17"/>
    <n v="2"/>
    <d v="2023-04-06T00:00:00"/>
    <x v="0"/>
    <n v="8"/>
    <s v="No"/>
    <s v="In-store"/>
    <n v="890.34"/>
  </r>
  <r>
    <x v="87"/>
    <x v="0"/>
    <n v="22"/>
    <s v="Los Angeles"/>
    <s v="Married"/>
    <s v="Low"/>
    <x v="2"/>
    <s v="PROD0195"/>
    <n v="35.1"/>
    <n v="1"/>
    <d v="2023-07-10T00:00:00"/>
    <x v="1"/>
    <n v="4"/>
    <s v="No"/>
    <s v="In-store"/>
    <n v="35.1"/>
  </r>
  <r>
    <x v="88"/>
    <x v="0"/>
    <n v="22"/>
    <s v="Seattle"/>
    <s v="Single"/>
    <s v="Medium"/>
    <x v="2"/>
    <s v="PROD0027"/>
    <n v="48.57"/>
    <n v="4"/>
    <d v="2023-03-04T00:00:00"/>
    <x v="2"/>
    <n v="8"/>
    <s v="Yes"/>
    <s v="Online"/>
    <n v="194.28"/>
  </r>
  <r>
    <x v="89"/>
    <x v="0"/>
    <n v="23"/>
    <s v="Houston"/>
    <s v="Married"/>
    <s v="High"/>
    <x v="2"/>
    <s v="PROD0049"/>
    <n v="212.2"/>
    <n v="4"/>
    <d v="2023-10-07T00:00:00"/>
    <x v="2"/>
    <n v="3"/>
    <s v="No"/>
    <s v="Online"/>
    <n v="848.8"/>
  </r>
  <r>
    <x v="90"/>
    <x v="0"/>
    <n v="25"/>
    <s v="Los Angeles"/>
    <s v="Single"/>
    <s v="High"/>
    <x v="2"/>
    <s v="PROD0110"/>
    <n v="601.34"/>
    <n v="1"/>
    <d v="2023-03-06T00:00:00"/>
    <x v="0"/>
    <n v="1"/>
    <s v="No"/>
    <s v="In-store"/>
    <n v="601.34"/>
  </r>
  <r>
    <x v="91"/>
    <x v="0"/>
    <n v="27"/>
    <s v="New York"/>
    <s v="Married"/>
    <s v="Medium"/>
    <x v="2"/>
    <s v="PROD0133"/>
    <n v="341.44"/>
    <n v="5"/>
    <d v="2023-11-19T00:00:00"/>
    <x v="2"/>
    <n v="10"/>
    <s v="No"/>
    <s v="Online"/>
    <n v="1707.2"/>
  </r>
  <r>
    <x v="92"/>
    <x v="0"/>
    <n v="27"/>
    <s v="Seattle"/>
    <s v="Married"/>
    <s v="Medium"/>
    <x v="2"/>
    <s v="PROD0019"/>
    <n v="513.87"/>
    <n v="4"/>
    <d v="2024-03-09T00:00:00"/>
    <x v="3"/>
    <n v="5"/>
    <s v="Yes"/>
    <s v="Online"/>
    <n v="2055.48"/>
  </r>
  <r>
    <x v="93"/>
    <x v="0"/>
    <n v="29"/>
    <s v="Phoenix"/>
    <s v="Divorced"/>
    <s v="Medium"/>
    <x v="2"/>
    <s v="PROD0179"/>
    <n v="332.96"/>
    <n v="4"/>
    <d v="2024-10-10T00:00:00"/>
    <x v="3"/>
    <n v="4"/>
    <s v="No"/>
    <s v="In-store"/>
    <n v="1331.84"/>
  </r>
  <r>
    <x v="94"/>
    <x v="0"/>
    <n v="29"/>
    <s v="Chicago"/>
    <s v="Single"/>
    <s v="High"/>
    <x v="2"/>
    <s v="PROD0137"/>
    <n v="913.67"/>
    <n v="1"/>
    <d v="2024-04-09T00:00:00"/>
    <x v="0"/>
    <n v="4"/>
    <s v="No"/>
    <s v="Online"/>
    <n v="913.67"/>
  </r>
  <r>
    <x v="95"/>
    <x v="0"/>
    <n v="30"/>
    <s v="Phoenix"/>
    <s v="Divorced"/>
    <s v="High"/>
    <x v="2"/>
    <s v="PROD0032"/>
    <n v="551.57000000000005"/>
    <n v="4"/>
    <d v="2024-09-02T00:00:00"/>
    <x v="1"/>
    <n v="5"/>
    <s v="No"/>
    <s v="In-store"/>
    <n v="2206.2800000000002"/>
  </r>
  <r>
    <x v="96"/>
    <x v="0"/>
    <n v="30"/>
    <s v="Houston"/>
    <s v="Married"/>
    <s v="Low"/>
    <x v="2"/>
    <s v="PROD0126"/>
    <n v="738.56"/>
    <n v="1"/>
    <d v="2023-12-07T00:00:00"/>
    <x v="3"/>
    <n v="8"/>
    <s v="No"/>
    <s v="Online"/>
    <n v="738.56"/>
  </r>
  <r>
    <x v="97"/>
    <x v="0"/>
    <n v="31"/>
    <s v="Los Angeles"/>
    <s v="Single"/>
    <s v="Low"/>
    <x v="2"/>
    <s v="PROD0064"/>
    <n v="174.59"/>
    <n v="1"/>
    <d v="2024-03-09T00:00:00"/>
    <x v="3"/>
    <n v="1"/>
    <s v="No"/>
    <s v="In-store"/>
    <n v="174.59"/>
  </r>
  <r>
    <x v="98"/>
    <x v="0"/>
    <n v="34"/>
    <s v="Phoenix"/>
    <s v="Divorced"/>
    <s v="Low"/>
    <x v="2"/>
    <s v="PROD0084"/>
    <n v="19"/>
    <n v="4"/>
    <d v="2023-06-04T00:00:00"/>
    <x v="1"/>
    <n v="4"/>
    <s v="No"/>
    <s v="Online"/>
    <n v="76"/>
  </r>
  <r>
    <x v="99"/>
    <x v="0"/>
    <n v="34"/>
    <s v="Chicago"/>
    <s v="Divorced"/>
    <s v="Low"/>
    <x v="2"/>
    <s v="PROD0040"/>
    <n v="355.34"/>
    <n v="1"/>
    <d v="2023-12-01T00:00:00"/>
    <x v="1"/>
    <n v="9"/>
    <s v="Yes"/>
    <s v="Online"/>
    <n v="355.34"/>
  </r>
  <r>
    <x v="100"/>
    <x v="0"/>
    <n v="35"/>
    <s v="Seattle"/>
    <s v="Single"/>
    <s v="Low"/>
    <x v="2"/>
    <s v="PROD0146"/>
    <n v="828.2"/>
    <n v="1"/>
    <d v="2024-07-04T00:00:00"/>
    <x v="1"/>
    <n v="5"/>
    <s v="No"/>
    <s v="In-store"/>
    <n v="828.2"/>
  </r>
  <r>
    <x v="101"/>
    <x v="0"/>
    <n v="42"/>
    <s v="New York"/>
    <s v="Divorced"/>
    <s v="Medium"/>
    <x v="2"/>
    <s v="PROD0075"/>
    <n v="368.88"/>
    <n v="4"/>
    <d v="2024-02-07T00:00:00"/>
    <x v="2"/>
    <n v="10"/>
    <s v="Yes"/>
    <s v="In-store"/>
    <n v="1475.52"/>
  </r>
  <r>
    <x v="102"/>
    <x v="0"/>
    <n v="42"/>
    <s v="Boston"/>
    <s v="Single"/>
    <s v="Medium"/>
    <x v="2"/>
    <s v="PROD0071"/>
    <n v="885.5"/>
    <n v="5"/>
    <d v="2023-03-15T00:00:00"/>
    <x v="3"/>
    <n v="10"/>
    <s v="Yes"/>
    <s v="In-store"/>
    <n v="4427.5"/>
  </r>
  <r>
    <x v="103"/>
    <x v="0"/>
    <n v="43"/>
    <s v="Chicago"/>
    <s v="Single"/>
    <s v="Medium"/>
    <x v="2"/>
    <s v="PROD0064"/>
    <n v="90.63"/>
    <n v="4"/>
    <d v="2023-02-21T00:00:00"/>
    <x v="1"/>
    <n v="1"/>
    <s v="No"/>
    <s v="Online"/>
    <n v="362.52"/>
  </r>
  <r>
    <x v="104"/>
    <x v="0"/>
    <n v="44"/>
    <s v="Los Angeles"/>
    <s v="Married"/>
    <s v="Medium"/>
    <x v="2"/>
    <s v="PROD0026"/>
    <n v="450.4"/>
    <n v="3"/>
    <d v="2024-03-29T00:00:00"/>
    <x v="3"/>
    <n v="4"/>
    <s v="Yes"/>
    <s v="In-store"/>
    <n v="1351.1999999999998"/>
  </r>
  <r>
    <x v="105"/>
    <x v="0"/>
    <n v="46"/>
    <s v="Miami"/>
    <s v="Married"/>
    <s v="Low"/>
    <x v="2"/>
    <s v="PROD0157"/>
    <n v="305"/>
    <n v="4"/>
    <d v="2024-06-20T00:00:00"/>
    <x v="3"/>
    <n v="3"/>
    <s v="No"/>
    <s v="In-store"/>
    <n v="1220"/>
  </r>
  <r>
    <x v="106"/>
    <x v="0"/>
    <n v="46"/>
    <s v="Miami"/>
    <s v="Married"/>
    <s v="Medium"/>
    <x v="2"/>
    <s v="PROD0005"/>
    <n v="358.8"/>
    <n v="5"/>
    <d v="2024-07-10T00:00:00"/>
    <x v="3"/>
    <n v="10"/>
    <s v="Yes"/>
    <s v="In-store"/>
    <n v="1794"/>
  </r>
  <r>
    <x v="107"/>
    <x v="0"/>
    <n v="46"/>
    <s v="Boston"/>
    <s v="Single"/>
    <s v="High"/>
    <x v="2"/>
    <s v="PROD0134"/>
    <n v="373.13"/>
    <n v="1"/>
    <d v="2024-06-28T00:00:00"/>
    <x v="3"/>
    <n v="1"/>
    <s v="No"/>
    <s v="Online"/>
    <n v="373.13"/>
  </r>
  <r>
    <x v="108"/>
    <x v="0"/>
    <n v="46"/>
    <s v="Phoenix"/>
    <s v="Divorced"/>
    <s v="Low"/>
    <x v="2"/>
    <s v="PROD0096"/>
    <n v="488.4"/>
    <n v="2"/>
    <d v="2024-02-13T00:00:00"/>
    <x v="3"/>
    <n v="5"/>
    <s v="No"/>
    <s v="In-store"/>
    <n v="976.8"/>
  </r>
  <r>
    <x v="109"/>
    <x v="0"/>
    <n v="46"/>
    <s v="Miami"/>
    <s v="Married"/>
    <s v="Medium"/>
    <x v="2"/>
    <s v="PROD0013"/>
    <n v="892.23"/>
    <n v="2"/>
    <d v="2024-01-18T00:00:00"/>
    <x v="1"/>
    <n v="1"/>
    <s v="Yes"/>
    <s v="In-store"/>
    <n v="1784.46"/>
  </r>
  <r>
    <x v="110"/>
    <x v="0"/>
    <n v="49"/>
    <s v="New York"/>
    <s v="Single"/>
    <s v="Medium"/>
    <x v="2"/>
    <s v="PROD0014"/>
    <n v="622.1"/>
    <n v="2"/>
    <d v="2023-11-13T00:00:00"/>
    <x v="1"/>
    <n v="6"/>
    <s v="No"/>
    <s v="Online"/>
    <n v="1244.2"/>
  </r>
  <r>
    <x v="111"/>
    <x v="0"/>
    <n v="51"/>
    <s v="New York"/>
    <s v="Single"/>
    <s v="Medium"/>
    <x v="2"/>
    <s v="PROD0047"/>
    <n v="309.75"/>
    <n v="2"/>
    <d v="2023-12-12T00:00:00"/>
    <x v="0"/>
    <n v="10"/>
    <s v="Yes"/>
    <s v="In-store"/>
    <n v="619.5"/>
  </r>
  <r>
    <x v="112"/>
    <x v="0"/>
    <n v="51"/>
    <s v="Phoenix"/>
    <s v="Married"/>
    <s v="High"/>
    <x v="2"/>
    <s v="PROD0013"/>
    <n v="479.69"/>
    <n v="5"/>
    <d v="2023-10-16T00:00:00"/>
    <x v="1"/>
    <n v="1"/>
    <s v="No"/>
    <s v="Online"/>
    <n v="2398.4499999999998"/>
  </r>
  <r>
    <x v="113"/>
    <x v="0"/>
    <n v="52"/>
    <s v="Boston"/>
    <s v="Divorced"/>
    <s v="Medium"/>
    <x v="2"/>
    <s v="PROD0026"/>
    <n v="894.37"/>
    <n v="2"/>
    <d v="2023-01-20T00:00:00"/>
    <x v="0"/>
    <n v="3"/>
    <s v="Yes"/>
    <s v="Online"/>
    <n v="1788.74"/>
  </r>
  <r>
    <x v="114"/>
    <x v="0"/>
    <n v="52"/>
    <s v="Chicago"/>
    <s v="Married"/>
    <s v="Low"/>
    <x v="2"/>
    <s v="PROD0165"/>
    <n v="994.39"/>
    <n v="5"/>
    <d v="2023-05-16T00:00:00"/>
    <x v="2"/>
    <n v="1"/>
    <s v="No"/>
    <s v="Online"/>
    <n v="4971.95"/>
  </r>
  <r>
    <x v="115"/>
    <x v="0"/>
    <n v="54"/>
    <s v="Seattle"/>
    <s v="Married"/>
    <s v="Low"/>
    <x v="2"/>
    <s v="PROD0146"/>
    <n v="490.17"/>
    <n v="3"/>
    <d v="2023-03-01T00:00:00"/>
    <x v="0"/>
    <n v="9"/>
    <s v="Yes"/>
    <s v="Online"/>
    <n v="1470.51"/>
  </r>
  <r>
    <x v="116"/>
    <x v="0"/>
    <n v="55"/>
    <s v="Miami"/>
    <s v="Divorced"/>
    <s v="Medium"/>
    <x v="2"/>
    <s v="PROD0085"/>
    <n v="375.44"/>
    <n v="4"/>
    <d v="2024-01-12T00:00:00"/>
    <x v="3"/>
    <n v="9"/>
    <s v="Yes"/>
    <s v="Online"/>
    <n v="1501.76"/>
  </r>
  <r>
    <x v="117"/>
    <x v="0"/>
    <n v="56"/>
    <s v="Miami"/>
    <s v="Single"/>
    <s v="Medium"/>
    <x v="2"/>
    <s v="PROD0099"/>
    <n v="729.75"/>
    <n v="4"/>
    <d v="2023-12-13T00:00:00"/>
    <x v="1"/>
    <n v="6"/>
    <s v="Yes"/>
    <s v="Online"/>
    <n v="2919"/>
  </r>
  <r>
    <x v="118"/>
    <x v="0"/>
    <n v="58"/>
    <s v="Boston"/>
    <s v="Married"/>
    <s v="High"/>
    <x v="2"/>
    <s v="PROD0127"/>
    <n v="134.85"/>
    <n v="5"/>
    <d v="2024-06-03T00:00:00"/>
    <x v="1"/>
    <n v="9"/>
    <s v="No"/>
    <s v="In-store"/>
    <n v="674.25"/>
  </r>
  <r>
    <x v="119"/>
    <x v="0"/>
    <n v="60"/>
    <s v="Chicago"/>
    <s v="Divorced"/>
    <s v="Low"/>
    <x v="2"/>
    <s v="PROD0187"/>
    <n v="652.20000000000005"/>
    <n v="4"/>
    <d v="2024-03-23T00:00:00"/>
    <x v="1"/>
    <n v="4"/>
    <s v="Yes"/>
    <s v="Online"/>
    <n v="2608.8000000000002"/>
  </r>
  <r>
    <x v="120"/>
    <x v="0"/>
    <n v="63"/>
    <s v="New York"/>
    <s v="Single"/>
    <s v="Medium"/>
    <x v="2"/>
    <s v="PROD0176"/>
    <n v="771.06"/>
    <n v="1"/>
    <d v="2024-10-15T00:00:00"/>
    <x v="2"/>
    <n v="4"/>
    <s v="No"/>
    <s v="Online"/>
    <n v="771.06"/>
  </r>
  <r>
    <x v="121"/>
    <x v="0"/>
    <n v="64"/>
    <s v="Seattle"/>
    <s v="Single"/>
    <s v="Medium"/>
    <x v="2"/>
    <s v="PROD0185"/>
    <n v="473.87"/>
    <n v="2"/>
    <d v="2023-09-14T00:00:00"/>
    <x v="0"/>
    <n v="9"/>
    <s v="Yes"/>
    <s v="Online"/>
    <n v="947.74"/>
  </r>
  <r>
    <x v="122"/>
    <x v="0"/>
    <n v="66"/>
    <s v="Boston"/>
    <s v="Married"/>
    <s v="Medium"/>
    <x v="2"/>
    <s v="PROD0110"/>
    <n v="213.92"/>
    <n v="3"/>
    <d v="2024-10-03T00:00:00"/>
    <x v="0"/>
    <n v="9"/>
    <s v="Yes"/>
    <s v="Online"/>
    <n v="641.76"/>
  </r>
  <r>
    <x v="123"/>
    <x v="0"/>
    <n v="66"/>
    <s v="Miami"/>
    <s v="Single"/>
    <s v="High"/>
    <x v="2"/>
    <s v="PROD0175"/>
    <n v="948.21"/>
    <n v="2"/>
    <d v="2024-03-20T00:00:00"/>
    <x v="3"/>
    <n v="7"/>
    <s v="Yes"/>
    <s v="Online"/>
    <n v="1896.42"/>
  </r>
  <r>
    <x v="124"/>
    <x v="0"/>
    <n v="67"/>
    <s v="Miami"/>
    <s v="Married"/>
    <s v="Medium"/>
    <x v="2"/>
    <s v="PROD0177"/>
    <n v="162.97999999999999"/>
    <n v="3"/>
    <d v="2024-10-04T00:00:00"/>
    <x v="3"/>
    <n v="1"/>
    <s v="No"/>
    <s v="Online"/>
    <n v="488.93999999999994"/>
  </r>
  <r>
    <x v="125"/>
    <x v="0"/>
    <n v="67"/>
    <s v="Boston"/>
    <s v="Married"/>
    <s v="High"/>
    <x v="2"/>
    <s v="PROD0097"/>
    <n v="638.97"/>
    <n v="3"/>
    <d v="2023-07-30T00:00:00"/>
    <x v="3"/>
    <n v="2"/>
    <s v="No"/>
    <s v="In-store"/>
    <n v="1916.91"/>
  </r>
  <r>
    <x v="126"/>
    <x v="0"/>
    <n v="68"/>
    <s v="Seattle"/>
    <s v="Single"/>
    <s v="Low"/>
    <x v="2"/>
    <s v="PROD0023"/>
    <n v="480.36"/>
    <n v="2"/>
    <d v="2024-01-01T00:00:00"/>
    <x v="3"/>
    <n v="9"/>
    <s v="Yes"/>
    <s v="Online"/>
    <n v="960.72"/>
  </r>
  <r>
    <x v="127"/>
    <x v="0"/>
    <n v="68"/>
    <s v="Chicago"/>
    <s v="Divorced"/>
    <s v="Low"/>
    <x v="2"/>
    <s v="PROD0030"/>
    <n v="779.95"/>
    <n v="3"/>
    <d v="2024-06-01T00:00:00"/>
    <x v="0"/>
    <n v="5"/>
    <s v="No"/>
    <s v="In-store"/>
    <n v="2339.8500000000004"/>
  </r>
  <r>
    <x v="128"/>
    <x v="0"/>
    <n v="19"/>
    <s v="Chicago"/>
    <s v="Divorced"/>
    <s v="Low"/>
    <x v="3"/>
    <s v="PROD0114"/>
    <n v="31.63"/>
    <n v="3"/>
    <d v="2023-12-09T00:00:00"/>
    <x v="1"/>
    <n v="1"/>
    <s v="No"/>
    <s v="In-store"/>
    <n v="94.89"/>
  </r>
  <r>
    <x v="129"/>
    <x v="0"/>
    <n v="22"/>
    <s v="Boston"/>
    <s v="Single"/>
    <s v="Medium"/>
    <x v="3"/>
    <s v="PROD0144"/>
    <n v="217.01"/>
    <n v="1"/>
    <d v="2024-05-16T00:00:00"/>
    <x v="2"/>
    <n v="8"/>
    <s v="Yes"/>
    <s v="Online"/>
    <n v="217.01"/>
  </r>
  <r>
    <x v="130"/>
    <x v="0"/>
    <n v="22"/>
    <s v="Phoenix"/>
    <s v="Married"/>
    <s v="Low"/>
    <x v="3"/>
    <s v="PROD0008"/>
    <n v="507.35"/>
    <n v="3"/>
    <d v="2024-04-09T00:00:00"/>
    <x v="3"/>
    <n v="9"/>
    <s v="No"/>
    <s v="In-store"/>
    <n v="1522.0500000000002"/>
  </r>
  <r>
    <x v="131"/>
    <x v="0"/>
    <n v="24"/>
    <s v="Seattle"/>
    <s v="Divorced"/>
    <s v="High"/>
    <x v="3"/>
    <s v="PROD0008"/>
    <n v="240.53"/>
    <n v="1"/>
    <d v="2023-05-12T00:00:00"/>
    <x v="0"/>
    <n v="2"/>
    <s v="No"/>
    <s v="In-store"/>
    <n v="240.53"/>
  </r>
  <r>
    <x v="132"/>
    <x v="0"/>
    <n v="26"/>
    <s v="Miami"/>
    <s v="Married"/>
    <s v="Medium"/>
    <x v="3"/>
    <s v="PROD0077"/>
    <n v="341.53"/>
    <n v="5"/>
    <d v="2023-10-02T00:00:00"/>
    <x v="1"/>
    <n v="6"/>
    <s v="Yes"/>
    <s v="Online"/>
    <n v="1707.6499999999999"/>
  </r>
  <r>
    <x v="133"/>
    <x v="0"/>
    <n v="26"/>
    <s v="Seattle"/>
    <s v="Married"/>
    <s v="High"/>
    <x v="3"/>
    <s v="PROD0077"/>
    <n v="381.08"/>
    <n v="5"/>
    <d v="2023-01-23T00:00:00"/>
    <x v="2"/>
    <n v="3"/>
    <s v="No"/>
    <s v="In-store"/>
    <n v="1905.3999999999999"/>
  </r>
  <r>
    <x v="134"/>
    <x v="0"/>
    <n v="27"/>
    <s v="Los Angeles"/>
    <s v="Single"/>
    <s v="Low"/>
    <x v="3"/>
    <s v="PROD0023"/>
    <n v="533.41999999999996"/>
    <n v="4"/>
    <d v="2023-08-09T00:00:00"/>
    <x v="1"/>
    <n v="7"/>
    <s v="No"/>
    <s v="Online"/>
    <n v="2133.6799999999998"/>
  </r>
  <r>
    <x v="135"/>
    <x v="0"/>
    <n v="27"/>
    <s v="Boston"/>
    <s v="Single"/>
    <s v="Low"/>
    <x v="3"/>
    <s v="PROD0141"/>
    <n v="952.54"/>
    <n v="5"/>
    <d v="2023-04-05T00:00:00"/>
    <x v="2"/>
    <n v="3"/>
    <s v="No"/>
    <s v="In-store"/>
    <n v="4762.7"/>
  </r>
  <r>
    <x v="136"/>
    <x v="0"/>
    <n v="28"/>
    <s v="New York"/>
    <s v="Married"/>
    <s v="Low"/>
    <x v="3"/>
    <s v="PROD0105"/>
    <n v="625.12"/>
    <n v="3"/>
    <d v="2024-07-31T00:00:00"/>
    <x v="3"/>
    <n v="4"/>
    <s v="Yes"/>
    <s v="Online"/>
    <n v="1875.3600000000001"/>
  </r>
  <r>
    <x v="137"/>
    <x v="0"/>
    <n v="30"/>
    <s v="New York"/>
    <s v="Single"/>
    <s v="Medium"/>
    <x v="3"/>
    <s v="PROD0182"/>
    <n v="142.44"/>
    <n v="1"/>
    <d v="2024-08-30T00:00:00"/>
    <x v="2"/>
    <n v="9"/>
    <s v="Yes"/>
    <s v="In-store"/>
    <n v="142.44"/>
  </r>
  <r>
    <x v="138"/>
    <x v="0"/>
    <n v="30"/>
    <s v="Chicago"/>
    <s v="Single"/>
    <s v="Medium"/>
    <x v="3"/>
    <s v="PROD0125"/>
    <n v="706.99"/>
    <n v="3"/>
    <d v="2023-04-21T00:00:00"/>
    <x v="2"/>
    <n v="5"/>
    <s v="No"/>
    <s v="Online"/>
    <n v="2120.9700000000003"/>
  </r>
  <r>
    <x v="139"/>
    <x v="0"/>
    <n v="33"/>
    <s v="Seattle"/>
    <s v="Single"/>
    <s v="Low"/>
    <x v="3"/>
    <s v="PROD0081"/>
    <n v="730.35"/>
    <n v="3"/>
    <d v="2023-08-05T00:00:00"/>
    <x v="2"/>
    <n v="8"/>
    <s v="No"/>
    <s v="In-store"/>
    <n v="2191.0500000000002"/>
  </r>
  <r>
    <x v="140"/>
    <x v="0"/>
    <n v="36"/>
    <s v="Houston"/>
    <s v="Married"/>
    <s v="Low"/>
    <x v="3"/>
    <s v="PROD0095"/>
    <n v="523.55999999999995"/>
    <n v="1"/>
    <d v="2023-07-17T00:00:00"/>
    <x v="1"/>
    <n v="9"/>
    <s v="No"/>
    <s v="In-store"/>
    <n v="523.55999999999995"/>
  </r>
  <r>
    <x v="141"/>
    <x v="0"/>
    <n v="37"/>
    <s v="Seattle"/>
    <s v="Single"/>
    <s v="Medium"/>
    <x v="3"/>
    <s v="PROD0137"/>
    <n v="348.97"/>
    <n v="2"/>
    <d v="2023-03-10T00:00:00"/>
    <x v="3"/>
    <n v="6"/>
    <s v="No"/>
    <s v="Online"/>
    <n v="697.94"/>
  </r>
  <r>
    <x v="142"/>
    <x v="0"/>
    <n v="39"/>
    <s v="Chicago"/>
    <s v="Single"/>
    <s v="Medium"/>
    <x v="3"/>
    <s v="PROD0056"/>
    <n v="649.94000000000005"/>
    <n v="4"/>
    <d v="2023-06-20T00:00:00"/>
    <x v="0"/>
    <n v="6"/>
    <s v="No"/>
    <s v="In-store"/>
    <n v="2599.7600000000002"/>
  </r>
  <r>
    <x v="143"/>
    <x v="0"/>
    <n v="40"/>
    <s v="Los Angeles"/>
    <s v="Married"/>
    <s v="Low"/>
    <x v="3"/>
    <s v="PROD0061"/>
    <n v="898.98"/>
    <n v="1"/>
    <d v="2024-09-28T00:00:00"/>
    <x v="3"/>
    <n v="3"/>
    <s v="Yes"/>
    <s v="Online"/>
    <n v="898.98"/>
  </r>
  <r>
    <x v="144"/>
    <x v="0"/>
    <n v="40"/>
    <s v="New York"/>
    <s v="Single"/>
    <s v="Low"/>
    <x v="3"/>
    <s v="PROD0027"/>
    <n v="921.33"/>
    <n v="2"/>
    <d v="2024-02-29T00:00:00"/>
    <x v="0"/>
    <n v="1"/>
    <s v="No"/>
    <s v="In-store"/>
    <n v="1842.66"/>
  </r>
  <r>
    <x v="145"/>
    <x v="0"/>
    <n v="41"/>
    <s v="Seattle"/>
    <s v="Divorced"/>
    <s v="Low"/>
    <x v="3"/>
    <s v="PROD0134"/>
    <n v="366.46"/>
    <n v="3"/>
    <d v="2024-10-01T00:00:00"/>
    <x v="0"/>
    <n v="7"/>
    <s v="Yes"/>
    <s v="Online"/>
    <n v="1099.3799999999999"/>
  </r>
  <r>
    <x v="146"/>
    <x v="0"/>
    <n v="41"/>
    <s v="New York"/>
    <s v="Divorced"/>
    <s v="Medium"/>
    <x v="3"/>
    <s v="PROD0116"/>
    <n v="632.05999999999995"/>
    <n v="1"/>
    <d v="2024-06-02T00:00:00"/>
    <x v="3"/>
    <n v="1"/>
    <s v="No"/>
    <s v="In-store"/>
    <n v="632.05999999999995"/>
  </r>
  <r>
    <x v="147"/>
    <x v="0"/>
    <n v="43"/>
    <s v="Miami"/>
    <s v="Single"/>
    <s v="Medium"/>
    <x v="3"/>
    <s v="PROD0197"/>
    <n v="744.15"/>
    <n v="3"/>
    <d v="2024-04-18T00:00:00"/>
    <x v="3"/>
    <n v="2"/>
    <s v="Yes"/>
    <s v="Online"/>
    <n v="2232.4499999999998"/>
  </r>
  <r>
    <x v="148"/>
    <x v="0"/>
    <n v="45"/>
    <s v="Boston"/>
    <s v="Divorced"/>
    <s v="Medium"/>
    <x v="3"/>
    <s v="PROD0159"/>
    <n v="65.650000000000006"/>
    <n v="5"/>
    <d v="2023-02-02T00:00:00"/>
    <x v="2"/>
    <n v="7"/>
    <s v="No"/>
    <s v="In-store"/>
    <n v="328.25"/>
  </r>
  <r>
    <x v="149"/>
    <x v="0"/>
    <n v="46"/>
    <s v="Miami"/>
    <s v="Single"/>
    <s v="Low"/>
    <x v="3"/>
    <s v="PROD0126"/>
    <n v="742.19"/>
    <n v="4"/>
    <d v="2024-09-18T00:00:00"/>
    <x v="1"/>
    <n v="10"/>
    <s v="No"/>
    <s v="Online"/>
    <n v="2968.76"/>
  </r>
  <r>
    <x v="150"/>
    <x v="0"/>
    <n v="47"/>
    <s v="New York"/>
    <s v="Married"/>
    <s v="Low"/>
    <x v="3"/>
    <s v="PROD0105"/>
    <n v="60.65"/>
    <n v="5"/>
    <d v="2023-05-09T00:00:00"/>
    <x v="2"/>
    <n v="2"/>
    <s v="Yes"/>
    <s v="Online"/>
    <n v="303.25"/>
  </r>
  <r>
    <x v="151"/>
    <x v="0"/>
    <n v="47"/>
    <s v="Miami"/>
    <s v="Married"/>
    <s v="Medium"/>
    <x v="3"/>
    <s v="PROD0118"/>
    <n v="77.760000000000005"/>
    <n v="2"/>
    <d v="2023-07-19T00:00:00"/>
    <x v="1"/>
    <n v="10"/>
    <s v="No"/>
    <s v="In-store"/>
    <n v="155.52000000000001"/>
  </r>
  <r>
    <x v="152"/>
    <x v="0"/>
    <n v="47"/>
    <s v="Miami"/>
    <s v="Divorced"/>
    <s v="High"/>
    <x v="3"/>
    <s v="PROD0111"/>
    <n v="311.45"/>
    <n v="2"/>
    <d v="2023-04-15T00:00:00"/>
    <x v="2"/>
    <n v="6"/>
    <s v="No"/>
    <s v="Online"/>
    <n v="622.9"/>
  </r>
  <r>
    <x v="153"/>
    <x v="0"/>
    <n v="49"/>
    <s v="Miami"/>
    <s v="Divorced"/>
    <s v="Medium"/>
    <x v="3"/>
    <s v="PROD0035"/>
    <n v="20.41"/>
    <n v="1"/>
    <d v="2024-01-19T00:00:00"/>
    <x v="3"/>
    <n v="10"/>
    <s v="Yes"/>
    <s v="Online"/>
    <n v="20.41"/>
  </r>
  <r>
    <x v="154"/>
    <x v="0"/>
    <n v="49"/>
    <s v="Los Angeles"/>
    <s v="Single"/>
    <s v="Medium"/>
    <x v="3"/>
    <s v="PROD0087"/>
    <n v="385.94"/>
    <n v="3"/>
    <d v="2024-07-27T00:00:00"/>
    <x v="1"/>
    <n v="6"/>
    <s v="Yes"/>
    <s v="In-store"/>
    <n v="1157.82"/>
  </r>
  <r>
    <x v="155"/>
    <x v="0"/>
    <n v="49"/>
    <s v="Boston"/>
    <s v="Married"/>
    <s v="High"/>
    <x v="3"/>
    <s v="PROD0007"/>
    <n v="957.56"/>
    <n v="1"/>
    <d v="2024-01-09T00:00:00"/>
    <x v="3"/>
    <n v="5"/>
    <s v="No"/>
    <s v="In-store"/>
    <n v="957.56"/>
  </r>
  <r>
    <x v="156"/>
    <x v="0"/>
    <n v="52"/>
    <s v="Boston"/>
    <s v="Divorced"/>
    <s v="Medium"/>
    <x v="3"/>
    <s v="PROD0188"/>
    <n v="121.38"/>
    <n v="3"/>
    <d v="2023-05-30T00:00:00"/>
    <x v="1"/>
    <n v="2"/>
    <s v="No"/>
    <s v="Online"/>
    <n v="364.14"/>
  </r>
  <r>
    <x v="157"/>
    <x v="0"/>
    <n v="53"/>
    <s v="Phoenix"/>
    <s v="Divorced"/>
    <s v="Low"/>
    <x v="3"/>
    <s v="PROD0030"/>
    <n v="461.09"/>
    <n v="1"/>
    <d v="2024-05-08T00:00:00"/>
    <x v="1"/>
    <n v="10"/>
    <s v="No"/>
    <s v="Online"/>
    <n v="461.09"/>
  </r>
  <r>
    <x v="158"/>
    <x v="0"/>
    <n v="53"/>
    <s v="Phoenix"/>
    <s v="Divorced"/>
    <s v="Medium"/>
    <x v="3"/>
    <s v="PROD0109"/>
    <n v="551.01"/>
    <n v="1"/>
    <d v="2024-05-16T00:00:00"/>
    <x v="0"/>
    <n v="4"/>
    <s v="No"/>
    <s v="Online"/>
    <n v="551.01"/>
  </r>
  <r>
    <x v="159"/>
    <x v="0"/>
    <n v="61"/>
    <s v="Phoenix"/>
    <s v="Divorced"/>
    <s v="High"/>
    <x v="3"/>
    <s v="PROD0165"/>
    <n v="115.1"/>
    <n v="4"/>
    <d v="2024-01-14T00:00:00"/>
    <x v="3"/>
    <n v="2"/>
    <s v="No"/>
    <s v="In-store"/>
    <n v="460.4"/>
  </r>
  <r>
    <x v="160"/>
    <x v="0"/>
    <n v="61"/>
    <s v="Seattle"/>
    <s v="Married"/>
    <s v="High"/>
    <x v="3"/>
    <s v="PROD0006"/>
    <n v="940.53"/>
    <n v="3"/>
    <d v="2023-11-25T00:00:00"/>
    <x v="3"/>
    <n v="4"/>
    <s v="No"/>
    <s v="In-store"/>
    <n v="2821.59"/>
  </r>
  <r>
    <x v="161"/>
    <x v="0"/>
    <n v="62"/>
    <s v="Seattle"/>
    <s v="Divorced"/>
    <s v="Medium"/>
    <x v="3"/>
    <s v="PROD0135"/>
    <n v="933.24"/>
    <n v="2"/>
    <d v="2024-09-19T00:00:00"/>
    <x v="2"/>
    <n v="5"/>
    <s v="Yes"/>
    <s v="Online"/>
    <n v="1866.48"/>
  </r>
  <r>
    <x v="162"/>
    <x v="0"/>
    <n v="64"/>
    <s v="New York"/>
    <s v="Divorced"/>
    <s v="Low"/>
    <x v="3"/>
    <s v="PROD0106"/>
    <n v="829.9"/>
    <n v="2"/>
    <d v="2023-04-15T00:00:00"/>
    <x v="2"/>
    <n v="8"/>
    <s v="No"/>
    <s v="In-store"/>
    <n v="1659.8"/>
  </r>
  <r>
    <x v="163"/>
    <x v="0"/>
    <n v="65"/>
    <s v="Seattle"/>
    <s v="Married"/>
    <s v="Low"/>
    <x v="3"/>
    <s v="PROD0020"/>
    <n v="349.5"/>
    <n v="3"/>
    <d v="2024-03-25T00:00:00"/>
    <x v="1"/>
    <n v="1"/>
    <s v="No"/>
    <s v="Online"/>
    <n v="1048.5"/>
  </r>
  <r>
    <x v="164"/>
    <x v="0"/>
    <n v="66"/>
    <s v="Chicago"/>
    <s v="Single"/>
    <s v="Low"/>
    <x v="3"/>
    <s v="PROD0008"/>
    <n v="440.19"/>
    <n v="3"/>
    <d v="2024-06-29T00:00:00"/>
    <x v="0"/>
    <n v="7"/>
    <s v="No"/>
    <s v="In-store"/>
    <n v="1320.57"/>
  </r>
  <r>
    <x v="165"/>
    <x v="0"/>
    <n v="67"/>
    <s v="Houston"/>
    <s v="Single"/>
    <s v="Medium"/>
    <x v="3"/>
    <s v="PROD0074"/>
    <n v="770.09"/>
    <n v="3"/>
    <d v="2023-11-25T00:00:00"/>
    <x v="3"/>
    <n v="9"/>
    <s v="Yes"/>
    <s v="Online"/>
    <n v="2310.27"/>
  </r>
  <r>
    <x v="166"/>
    <x v="0"/>
    <n v="69"/>
    <s v="Houston"/>
    <s v="Married"/>
    <s v="Medium"/>
    <x v="3"/>
    <s v="PROD0045"/>
    <n v="482.21"/>
    <n v="5"/>
    <d v="2023-04-15T00:00:00"/>
    <x v="0"/>
    <n v="2"/>
    <s v="Yes"/>
    <s v="Online"/>
    <n v="2411.0499999999997"/>
  </r>
  <r>
    <x v="167"/>
    <x v="0"/>
    <n v="69"/>
    <s v="Phoenix"/>
    <s v="Single"/>
    <s v="Medium"/>
    <x v="3"/>
    <s v="PROD0134"/>
    <n v="537.99"/>
    <n v="4"/>
    <d v="2024-05-27T00:00:00"/>
    <x v="3"/>
    <n v="2"/>
    <s v="Yes"/>
    <s v="Online"/>
    <n v="2151.96"/>
  </r>
  <r>
    <x v="168"/>
    <x v="0"/>
    <n v="69"/>
    <s v="Boston"/>
    <s v="Divorced"/>
    <s v="Low"/>
    <x v="3"/>
    <s v="PROD0195"/>
    <n v="935.45"/>
    <n v="2"/>
    <d v="2023-06-05T00:00:00"/>
    <x v="2"/>
    <n v="2"/>
    <s v="Yes"/>
    <s v="Online"/>
    <n v="1870.9"/>
  </r>
  <r>
    <x v="169"/>
    <x v="0"/>
    <n v="18"/>
    <s v="Houston"/>
    <s v="Married"/>
    <s v="Medium"/>
    <x v="4"/>
    <s v="PROD0187"/>
    <n v="289.72000000000003"/>
    <n v="5"/>
    <d v="2023-03-29T00:00:00"/>
    <x v="0"/>
    <n v="7"/>
    <s v="No"/>
    <s v="Online"/>
    <n v="1448.6000000000001"/>
  </r>
  <r>
    <x v="170"/>
    <x v="0"/>
    <n v="19"/>
    <s v="Houston"/>
    <s v="Single"/>
    <s v="Low"/>
    <x v="4"/>
    <s v="PROD0035"/>
    <n v="699.72"/>
    <n v="5"/>
    <d v="2024-09-01T00:00:00"/>
    <x v="1"/>
    <n v="3"/>
    <s v="No"/>
    <s v="Online"/>
    <n v="3498.6000000000004"/>
  </r>
  <r>
    <x v="171"/>
    <x v="0"/>
    <n v="22"/>
    <s v="Houston"/>
    <s v="Married"/>
    <s v="High"/>
    <x v="4"/>
    <s v="PROD0007"/>
    <n v="64.55"/>
    <n v="1"/>
    <d v="2024-03-07T00:00:00"/>
    <x v="0"/>
    <n v="9"/>
    <s v="Yes"/>
    <s v="Online"/>
    <n v="64.55"/>
  </r>
  <r>
    <x v="172"/>
    <x v="0"/>
    <n v="22"/>
    <s v="Houston"/>
    <s v="Married"/>
    <s v="Medium"/>
    <x v="4"/>
    <s v="PROD0091"/>
    <n v="353.49"/>
    <n v="4"/>
    <d v="2024-03-01T00:00:00"/>
    <x v="1"/>
    <n v="2"/>
    <s v="No"/>
    <s v="Online"/>
    <n v="1413.96"/>
  </r>
  <r>
    <x v="173"/>
    <x v="0"/>
    <n v="23"/>
    <s v="Los Angeles"/>
    <s v="Single"/>
    <s v="Low"/>
    <x v="4"/>
    <s v="PROD0173"/>
    <n v="542.16"/>
    <n v="2"/>
    <d v="2024-03-07T00:00:00"/>
    <x v="2"/>
    <n v="1"/>
    <s v="No"/>
    <s v="Online"/>
    <n v="1084.32"/>
  </r>
  <r>
    <x v="174"/>
    <x v="0"/>
    <n v="25"/>
    <s v="Chicago"/>
    <s v="Divorced"/>
    <s v="Medium"/>
    <x v="4"/>
    <s v="PROD0156"/>
    <n v="195.25"/>
    <n v="3"/>
    <d v="2023-09-07T00:00:00"/>
    <x v="1"/>
    <n v="9"/>
    <s v="No"/>
    <s v="Online"/>
    <n v="585.75"/>
  </r>
  <r>
    <x v="175"/>
    <x v="0"/>
    <n v="25"/>
    <s v="Los Angeles"/>
    <s v="Single"/>
    <s v="Medium"/>
    <x v="4"/>
    <s v="PROD0050"/>
    <n v="881.12"/>
    <n v="1"/>
    <d v="2024-07-02T00:00:00"/>
    <x v="3"/>
    <n v="5"/>
    <s v="No"/>
    <s v="Online"/>
    <n v="881.12"/>
  </r>
  <r>
    <x v="176"/>
    <x v="0"/>
    <n v="26"/>
    <s v="Los Angeles"/>
    <s v="Married"/>
    <s v="Medium"/>
    <x v="4"/>
    <s v="PROD0081"/>
    <n v="89.78"/>
    <n v="4"/>
    <d v="2024-02-05T00:00:00"/>
    <x v="0"/>
    <n v="1"/>
    <s v="No"/>
    <s v="Online"/>
    <n v="359.12"/>
  </r>
  <r>
    <x v="177"/>
    <x v="0"/>
    <n v="27"/>
    <s v="Seattle"/>
    <s v="Single"/>
    <s v="Medium"/>
    <x v="4"/>
    <s v="PROD0130"/>
    <n v="227.44"/>
    <n v="2"/>
    <d v="2024-01-05T00:00:00"/>
    <x v="3"/>
    <n v="7"/>
    <s v="No"/>
    <s v="Online"/>
    <n v="454.88"/>
  </r>
  <r>
    <x v="178"/>
    <x v="0"/>
    <n v="29"/>
    <s v="Boston"/>
    <s v="Single"/>
    <s v="Medium"/>
    <x v="4"/>
    <s v="PROD0093"/>
    <n v="720.5"/>
    <n v="1"/>
    <d v="2023-12-08T00:00:00"/>
    <x v="0"/>
    <n v="4"/>
    <s v="No"/>
    <s v="Online"/>
    <n v="720.5"/>
  </r>
  <r>
    <x v="179"/>
    <x v="0"/>
    <n v="29"/>
    <s v="Chicago"/>
    <s v="Married"/>
    <s v="Medium"/>
    <x v="4"/>
    <s v="PROD0012"/>
    <n v="862.83"/>
    <n v="2"/>
    <d v="2024-08-06T00:00:00"/>
    <x v="2"/>
    <n v="9"/>
    <s v="Yes"/>
    <s v="In-store"/>
    <n v="1725.66"/>
  </r>
  <r>
    <x v="180"/>
    <x v="0"/>
    <n v="30"/>
    <s v="Boston"/>
    <s v="Single"/>
    <s v="Medium"/>
    <x v="4"/>
    <s v="PROD0027"/>
    <n v="440.91"/>
    <n v="1"/>
    <d v="2024-04-13T00:00:00"/>
    <x v="3"/>
    <n v="7"/>
    <s v="No"/>
    <s v="Online"/>
    <n v="440.91"/>
  </r>
  <r>
    <x v="181"/>
    <x v="0"/>
    <n v="30"/>
    <s v="Houston"/>
    <s v="Single"/>
    <s v="Medium"/>
    <x v="4"/>
    <s v="PROD0104"/>
    <n v="841.94"/>
    <n v="3"/>
    <d v="2024-07-27T00:00:00"/>
    <x v="1"/>
    <n v="3"/>
    <s v="Yes"/>
    <s v="Online"/>
    <n v="2525.8200000000002"/>
  </r>
  <r>
    <x v="182"/>
    <x v="0"/>
    <n v="31"/>
    <s v="Houston"/>
    <s v="Married"/>
    <s v="Medium"/>
    <x v="4"/>
    <s v="PROD0154"/>
    <n v="311.05"/>
    <n v="5"/>
    <d v="2023-06-15T00:00:00"/>
    <x v="3"/>
    <n v="7"/>
    <s v="Yes"/>
    <s v="Online"/>
    <n v="1555.25"/>
  </r>
  <r>
    <x v="183"/>
    <x v="0"/>
    <n v="32"/>
    <s v="Houston"/>
    <s v="Single"/>
    <s v="High"/>
    <x v="4"/>
    <s v="PROD0118"/>
    <n v="721.53"/>
    <n v="3"/>
    <d v="2024-10-24T00:00:00"/>
    <x v="2"/>
    <n v="1"/>
    <s v="No"/>
    <s v="In-store"/>
    <n v="2164.59"/>
  </r>
  <r>
    <x v="184"/>
    <x v="0"/>
    <n v="32"/>
    <s v="Seattle"/>
    <s v="Single"/>
    <s v="Low"/>
    <x v="4"/>
    <s v="PROD0169"/>
    <n v="799.83"/>
    <n v="2"/>
    <d v="2024-09-23T00:00:00"/>
    <x v="0"/>
    <n v="3"/>
    <s v="No"/>
    <s v="Online"/>
    <n v="1599.66"/>
  </r>
  <r>
    <x v="185"/>
    <x v="0"/>
    <n v="33"/>
    <s v="Houston"/>
    <s v="Divorced"/>
    <s v="High"/>
    <x v="4"/>
    <s v="PROD0184"/>
    <n v="664.73"/>
    <n v="2"/>
    <d v="2024-01-17T00:00:00"/>
    <x v="3"/>
    <n v="8"/>
    <s v="Yes"/>
    <s v="Online"/>
    <n v="1329.46"/>
  </r>
  <r>
    <x v="186"/>
    <x v="0"/>
    <n v="34"/>
    <s v="Houston"/>
    <s v="Divorced"/>
    <s v="High"/>
    <x v="4"/>
    <s v="PROD0039"/>
    <n v="247.42"/>
    <n v="3"/>
    <d v="2024-06-08T00:00:00"/>
    <x v="0"/>
    <n v="9"/>
    <s v="Yes"/>
    <s v="Online"/>
    <n v="742.26"/>
  </r>
  <r>
    <x v="187"/>
    <x v="0"/>
    <n v="35"/>
    <s v="Seattle"/>
    <s v="Single"/>
    <s v="Low"/>
    <x v="4"/>
    <s v="PROD0085"/>
    <n v="440.66"/>
    <n v="3"/>
    <d v="2024-01-10T00:00:00"/>
    <x v="2"/>
    <n v="9"/>
    <s v="No"/>
    <s v="Online"/>
    <n v="1321.98"/>
  </r>
  <r>
    <x v="188"/>
    <x v="0"/>
    <n v="35"/>
    <s v="Boston"/>
    <s v="Married"/>
    <s v="Medium"/>
    <x v="4"/>
    <s v="PROD0199"/>
    <n v="821.3"/>
    <n v="3"/>
    <d v="2024-04-11T00:00:00"/>
    <x v="0"/>
    <n v="8"/>
    <s v="Yes"/>
    <s v="Online"/>
    <n v="2463.8999999999996"/>
  </r>
  <r>
    <x v="189"/>
    <x v="0"/>
    <n v="37"/>
    <s v="Miami"/>
    <s v="Divorced"/>
    <s v="High"/>
    <x v="4"/>
    <s v="PROD0156"/>
    <n v="431.25"/>
    <n v="1"/>
    <d v="2024-10-28T00:00:00"/>
    <x v="0"/>
    <n v="7"/>
    <s v="Yes"/>
    <s v="Online"/>
    <n v="431.25"/>
  </r>
  <r>
    <x v="190"/>
    <x v="0"/>
    <n v="38"/>
    <s v="Boston"/>
    <s v="Divorced"/>
    <s v="Medium"/>
    <x v="4"/>
    <s v="PROD0163"/>
    <n v="213.74"/>
    <n v="5"/>
    <d v="2024-01-13T00:00:00"/>
    <x v="1"/>
    <n v="4"/>
    <s v="Yes"/>
    <s v="Online"/>
    <n v="1068.7"/>
  </r>
  <r>
    <x v="191"/>
    <x v="0"/>
    <n v="38"/>
    <s v="Seattle"/>
    <s v="Divorced"/>
    <s v="Low"/>
    <x v="4"/>
    <s v="PROD0072"/>
    <n v="912.7"/>
    <n v="3"/>
    <d v="2024-11-01T00:00:00"/>
    <x v="0"/>
    <n v="1"/>
    <s v="No"/>
    <s v="In-store"/>
    <n v="2738.1000000000004"/>
  </r>
  <r>
    <x v="192"/>
    <x v="0"/>
    <n v="39"/>
    <s v="Seattle"/>
    <s v="Single"/>
    <s v="High"/>
    <x v="4"/>
    <s v="PROD0164"/>
    <n v="869.03"/>
    <n v="2"/>
    <d v="2023-11-19T00:00:00"/>
    <x v="3"/>
    <n v="7"/>
    <s v="No"/>
    <s v="In-store"/>
    <n v="1738.06"/>
  </r>
  <r>
    <x v="193"/>
    <x v="0"/>
    <n v="39"/>
    <s v="Houston"/>
    <s v="Divorced"/>
    <s v="Medium"/>
    <x v="4"/>
    <s v="PROD0102"/>
    <n v="975.85"/>
    <n v="3"/>
    <d v="2023-12-01T00:00:00"/>
    <x v="0"/>
    <n v="3"/>
    <s v="No"/>
    <s v="In-store"/>
    <n v="2927.55"/>
  </r>
  <r>
    <x v="194"/>
    <x v="0"/>
    <n v="41"/>
    <s v="New York"/>
    <s v="Single"/>
    <s v="Medium"/>
    <x v="4"/>
    <s v="PROD0184"/>
    <n v="348.43"/>
    <n v="2"/>
    <d v="2023-10-28T00:00:00"/>
    <x v="2"/>
    <n v="1"/>
    <s v="No"/>
    <s v="Online"/>
    <n v="696.86"/>
  </r>
  <r>
    <x v="195"/>
    <x v="0"/>
    <n v="41"/>
    <s v="Miami"/>
    <s v="Married"/>
    <s v="Medium"/>
    <x v="4"/>
    <s v="PROD0092"/>
    <n v="859.36"/>
    <n v="1"/>
    <d v="2023-07-23T00:00:00"/>
    <x v="2"/>
    <n v="1"/>
    <s v="Yes"/>
    <s v="Online"/>
    <n v="859.36"/>
  </r>
  <r>
    <x v="196"/>
    <x v="0"/>
    <n v="42"/>
    <s v="Houston"/>
    <s v="Single"/>
    <s v="Medium"/>
    <x v="4"/>
    <s v="PROD0028"/>
    <n v="354.57"/>
    <n v="2"/>
    <d v="2023-02-06T00:00:00"/>
    <x v="1"/>
    <n v="7"/>
    <s v="Yes"/>
    <s v="Online"/>
    <n v="709.14"/>
  </r>
  <r>
    <x v="197"/>
    <x v="0"/>
    <n v="42"/>
    <s v="Houston"/>
    <s v="Divorced"/>
    <s v="Medium"/>
    <x v="4"/>
    <s v="PROD0072"/>
    <n v="912.01"/>
    <n v="5"/>
    <d v="2023-11-12T00:00:00"/>
    <x v="3"/>
    <n v="6"/>
    <s v="No"/>
    <s v="Online"/>
    <n v="4560.05"/>
  </r>
  <r>
    <x v="198"/>
    <x v="0"/>
    <n v="43"/>
    <s v="Los Angeles"/>
    <s v="Married"/>
    <s v="Low"/>
    <x v="4"/>
    <s v="PROD0090"/>
    <n v="115.56"/>
    <n v="2"/>
    <d v="2024-10-31T00:00:00"/>
    <x v="3"/>
    <n v="2"/>
    <s v="No"/>
    <s v="Online"/>
    <n v="231.12"/>
  </r>
  <r>
    <x v="199"/>
    <x v="0"/>
    <n v="44"/>
    <s v="Phoenix"/>
    <s v="Divorced"/>
    <s v="High"/>
    <x v="4"/>
    <s v="PROD0131"/>
    <n v="454.55"/>
    <n v="1"/>
    <d v="2023-01-10T00:00:00"/>
    <x v="3"/>
    <n v="5"/>
    <s v="No"/>
    <s v="Online"/>
    <n v="454.55"/>
  </r>
  <r>
    <x v="200"/>
    <x v="0"/>
    <n v="46"/>
    <s v="Houston"/>
    <s v="Single"/>
    <s v="Medium"/>
    <x v="4"/>
    <s v="PROD0116"/>
    <n v="398.3"/>
    <n v="1"/>
    <d v="2023-06-04T00:00:00"/>
    <x v="1"/>
    <n v="5"/>
    <s v="No"/>
    <s v="Online"/>
    <n v="398.3"/>
  </r>
  <r>
    <x v="201"/>
    <x v="0"/>
    <n v="46"/>
    <s v="Seattle"/>
    <s v="Single"/>
    <s v="Low"/>
    <x v="4"/>
    <s v="PROD0128"/>
    <n v="997.7"/>
    <n v="5"/>
    <d v="2024-10-14T00:00:00"/>
    <x v="2"/>
    <n v="1"/>
    <s v="No"/>
    <s v="In-store"/>
    <n v="4988.5"/>
  </r>
  <r>
    <x v="202"/>
    <x v="0"/>
    <n v="48"/>
    <s v="Phoenix"/>
    <s v="Divorced"/>
    <s v="Medium"/>
    <x v="4"/>
    <s v="PROD0129"/>
    <n v="392.94"/>
    <n v="2"/>
    <d v="2024-01-21T00:00:00"/>
    <x v="0"/>
    <n v="5"/>
    <s v="Yes"/>
    <s v="In-store"/>
    <n v="785.88"/>
  </r>
  <r>
    <x v="203"/>
    <x v="0"/>
    <n v="48"/>
    <s v="New York"/>
    <s v="Married"/>
    <s v="Medium"/>
    <x v="4"/>
    <s v="PROD0168"/>
    <n v="415.09"/>
    <n v="3"/>
    <d v="2023-03-16T00:00:00"/>
    <x v="0"/>
    <n v="9"/>
    <s v="Yes"/>
    <s v="Online"/>
    <n v="1245.27"/>
  </r>
  <r>
    <x v="204"/>
    <x v="0"/>
    <n v="49"/>
    <s v="Seattle"/>
    <s v="Divorced"/>
    <s v="Low"/>
    <x v="4"/>
    <s v="PROD0183"/>
    <n v="34.4"/>
    <n v="5"/>
    <d v="2024-10-15T00:00:00"/>
    <x v="2"/>
    <n v="8"/>
    <s v="No"/>
    <s v="In-store"/>
    <n v="172"/>
  </r>
  <r>
    <x v="205"/>
    <x v="0"/>
    <n v="49"/>
    <s v="Boston"/>
    <s v="Single"/>
    <s v="Low"/>
    <x v="4"/>
    <s v="PROD0132"/>
    <n v="581.04"/>
    <n v="3"/>
    <d v="2023-01-30T00:00:00"/>
    <x v="0"/>
    <n v="1"/>
    <s v="Yes"/>
    <s v="Online"/>
    <n v="1743.12"/>
  </r>
  <r>
    <x v="206"/>
    <x v="0"/>
    <n v="49"/>
    <s v="Los Angeles"/>
    <s v="Married"/>
    <s v="Medium"/>
    <x v="4"/>
    <s v="PROD0117"/>
    <n v="629.39"/>
    <n v="4"/>
    <d v="2024-05-28T00:00:00"/>
    <x v="1"/>
    <n v="9"/>
    <s v="Yes"/>
    <s v="Online"/>
    <n v="2517.56"/>
  </r>
  <r>
    <x v="207"/>
    <x v="0"/>
    <n v="51"/>
    <s v="New York"/>
    <s v="Single"/>
    <s v="Medium"/>
    <x v="4"/>
    <s v="PROD0099"/>
    <n v="618.04"/>
    <n v="1"/>
    <d v="2024-10-08T00:00:00"/>
    <x v="1"/>
    <n v="10"/>
    <s v="No"/>
    <s v="Online"/>
    <n v="618.04"/>
  </r>
  <r>
    <x v="208"/>
    <x v="0"/>
    <n v="52"/>
    <s v="Los Angeles"/>
    <s v="Divorced"/>
    <s v="Medium"/>
    <x v="4"/>
    <s v="PROD0119"/>
    <n v="30.8"/>
    <n v="3"/>
    <d v="2024-03-10T00:00:00"/>
    <x v="2"/>
    <n v="3"/>
    <s v="No"/>
    <s v="In-store"/>
    <n v="92.4"/>
  </r>
  <r>
    <x v="209"/>
    <x v="0"/>
    <n v="53"/>
    <s v="New York"/>
    <s v="Married"/>
    <s v="High"/>
    <x v="4"/>
    <s v="PROD0070"/>
    <n v="955.12"/>
    <n v="1"/>
    <d v="2024-06-23T00:00:00"/>
    <x v="1"/>
    <n v="3"/>
    <s v="Yes"/>
    <s v="Online"/>
    <n v="955.12"/>
  </r>
  <r>
    <x v="210"/>
    <x v="0"/>
    <n v="55"/>
    <s v="New York"/>
    <s v="Married"/>
    <s v="High"/>
    <x v="4"/>
    <s v="PROD0109"/>
    <n v="575.49"/>
    <n v="2"/>
    <d v="2024-03-18T00:00:00"/>
    <x v="1"/>
    <n v="9"/>
    <s v="Yes"/>
    <s v="Online"/>
    <n v="1150.98"/>
  </r>
  <r>
    <x v="211"/>
    <x v="0"/>
    <n v="57"/>
    <s v="Phoenix"/>
    <s v="Single"/>
    <s v="Medium"/>
    <x v="4"/>
    <s v="PROD0093"/>
    <n v="307.95999999999998"/>
    <n v="1"/>
    <d v="2024-04-13T00:00:00"/>
    <x v="0"/>
    <n v="1"/>
    <s v="Yes"/>
    <s v="Online"/>
    <n v="307.95999999999998"/>
  </r>
  <r>
    <x v="212"/>
    <x v="0"/>
    <n v="57"/>
    <s v="Phoenix"/>
    <s v="Single"/>
    <s v="Low"/>
    <x v="4"/>
    <s v="PROD0087"/>
    <n v="604.94000000000005"/>
    <n v="2"/>
    <d v="2024-06-27T00:00:00"/>
    <x v="1"/>
    <n v="7"/>
    <s v="Yes"/>
    <s v="Online"/>
    <n v="1209.8800000000001"/>
  </r>
  <r>
    <x v="213"/>
    <x v="0"/>
    <n v="61"/>
    <s v="Phoenix"/>
    <s v="Married"/>
    <s v="Medium"/>
    <x v="4"/>
    <s v="PROD0183"/>
    <n v="665.61"/>
    <n v="1"/>
    <d v="2023-12-31T00:00:00"/>
    <x v="1"/>
    <n v="4"/>
    <s v="No"/>
    <s v="In-store"/>
    <n v="665.61"/>
  </r>
  <r>
    <x v="214"/>
    <x v="0"/>
    <n v="62"/>
    <s v="Los Angeles"/>
    <s v="Divorced"/>
    <s v="High"/>
    <x v="4"/>
    <s v="PROD0178"/>
    <n v="744.27"/>
    <n v="2"/>
    <d v="2023-10-17T00:00:00"/>
    <x v="2"/>
    <n v="2"/>
    <s v="No"/>
    <s v="In-store"/>
    <n v="1488.54"/>
  </r>
  <r>
    <x v="215"/>
    <x v="0"/>
    <n v="64"/>
    <s v="Miami"/>
    <s v="Divorced"/>
    <s v="Medium"/>
    <x v="4"/>
    <s v="PROD0132"/>
    <n v="226.58"/>
    <n v="3"/>
    <d v="2023-10-08T00:00:00"/>
    <x v="1"/>
    <n v="10"/>
    <s v="No"/>
    <s v="Online"/>
    <n v="679.74"/>
  </r>
  <r>
    <x v="216"/>
    <x v="0"/>
    <n v="66"/>
    <s v="Boston"/>
    <s v="Single"/>
    <s v="High"/>
    <x v="4"/>
    <s v="PROD0149"/>
    <n v="377.26"/>
    <n v="4"/>
    <d v="2023-06-27T00:00:00"/>
    <x v="3"/>
    <n v="2"/>
    <s v="No"/>
    <s v="In-store"/>
    <n v="1509.04"/>
  </r>
  <r>
    <x v="217"/>
    <x v="0"/>
    <n v="66"/>
    <s v="Phoenix"/>
    <s v="Divorced"/>
    <s v="Medium"/>
    <x v="4"/>
    <s v="PROD0172"/>
    <n v="479.42"/>
    <n v="2"/>
    <d v="2023-02-10T00:00:00"/>
    <x v="3"/>
    <n v="2"/>
    <s v="No"/>
    <s v="In-store"/>
    <n v="958.84"/>
  </r>
  <r>
    <x v="218"/>
    <x v="0"/>
    <n v="66"/>
    <s v="Seattle"/>
    <s v="Single"/>
    <s v="Medium"/>
    <x v="4"/>
    <s v="PROD0139"/>
    <n v="548.80999999999995"/>
    <n v="2"/>
    <d v="2023-06-21T00:00:00"/>
    <x v="0"/>
    <n v="1"/>
    <s v="Yes"/>
    <s v="Online"/>
    <n v="1097.6199999999999"/>
  </r>
  <r>
    <x v="219"/>
    <x v="0"/>
    <n v="68"/>
    <s v="Houston"/>
    <s v="Married"/>
    <s v="Medium"/>
    <x v="4"/>
    <s v="PROD0022"/>
    <n v="62.22"/>
    <n v="5"/>
    <d v="2024-04-16T00:00:00"/>
    <x v="0"/>
    <n v="3"/>
    <s v="No"/>
    <s v="Online"/>
    <n v="311.10000000000002"/>
  </r>
  <r>
    <x v="220"/>
    <x v="0"/>
    <n v="68"/>
    <s v="Seattle"/>
    <s v="Married"/>
    <s v="Medium"/>
    <x v="4"/>
    <s v="PROD0140"/>
    <n v="289.94"/>
    <n v="3"/>
    <d v="2024-09-24T00:00:00"/>
    <x v="1"/>
    <n v="6"/>
    <s v="Yes"/>
    <s v="Online"/>
    <n v="869.81999999999994"/>
  </r>
  <r>
    <x v="221"/>
    <x v="0"/>
    <n v="18"/>
    <s v="Miami"/>
    <s v="Married"/>
    <s v="Medium"/>
    <x v="5"/>
    <s v="PROD0010"/>
    <n v="436.23"/>
    <n v="1"/>
    <d v="2024-03-07T00:00:00"/>
    <x v="1"/>
    <n v="7"/>
    <s v="No"/>
    <s v="Online"/>
    <n v="436.23"/>
  </r>
  <r>
    <x v="222"/>
    <x v="0"/>
    <n v="20"/>
    <s v="Boston"/>
    <s v="Single"/>
    <s v="Low"/>
    <x v="5"/>
    <s v="PROD0134"/>
    <n v="515.98"/>
    <n v="2"/>
    <d v="2024-01-15T00:00:00"/>
    <x v="1"/>
    <n v="10"/>
    <s v="Yes"/>
    <s v="Online"/>
    <n v="1031.96"/>
  </r>
  <r>
    <x v="223"/>
    <x v="0"/>
    <n v="21"/>
    <s v="Miami"/>
    <s v="Married"/>
    <s v="High"/>
    <x v="5"/>
    <s v="PROD0049"/>
    <n v="334.56"/>
    <n v="2"/>
    <d v="2024-03-30T00:00:00"/>
    <x v="2"/>
    <n v="8"/>
    <s v="Yes"/>
    <s v="Online"/>
    <n v="669.12"/>
  </r>
  <r>
    <x v="224"/>
    <x v="0"/>
    <n v="21"/>
    <s v="Chicago"/>
    <s v="Married"/>
    <s v="Medium"/>
    <x v="5"/>
    <s v="PROD0046"/>
    <n v="687.03"/>
    <n v="2"/>
    <d v="2023-04-29T00:00:00"/>
    <x v="0"/>
    <n v="5"/>
    <s v="No"/>
    <s v="In-store"/>
    <n v="1374.06"/>
  </r>
  <r>
    <x v="225"/>
    <x v="0"/>
    <n v="22"/>
    <s v="Miami"/>
    <s v="Divorced"/>
    <s v="Medium"/>
    <x v="5"/>
    <s v="PROD0168"/>
    <n v="629.17999999999995"/>
    <n v="4"/>
    <d v="2023-11-06T00:00:00"/>
    <x v="3"/>
    <n v="8"/>
    <s v="No"/>
    <s v="In-store"/>
    <n v="2516.7199999999998"/>
  </r>
  <r>
    <x v="226"/>
    <x v="0"/>
    <n v="24"/>
    <s v="Phoenix"/>
    <s v="Divorced"/>
    <s v="High"/>
    <x v="5"/>
    <s v="PROD0161"/>
    <n v="533.37"/>
    <n v="2"/>
    <d v="2024-02-21T00:00:00"/>
    <x v="1"/>
    <n v="2"/>
    <s v="No"/>
    <s v="Online"/>
    <n v="1066.74"/>
  </r>
  <r>
    <x v="227"/>
    <x v="0"/>
    <n v="26"/>
    <s v="Houston"/>
    <s v="Married"/>
    <s v="Low"/>
    <x v="5"/>
    <s v="PROD0090"/>
    <n v="869.3"/>
    <n v="5"/>
    <d v="2023-02-21T00:00:00"/>
    <x v="0"/>
    <n v="3"/>
    <s v="Yes"/>
    <s v="Online"/>
    <n v="4346.5"/>
  </r>
  <r>
    <x v="228"/>
    <x v="0"/>
    <n v="27"/>
    <s v="Houston"/>
    <s v="Married"/>
    <s v="Medium"/>
    <x v="5"/>
    <s v="PROD0067"/>
    <n v="497.08"/>
    <n v="4"/>
    <d v="2023-05-01T00:00:00"/>
    <x v="2"/>
    <n v="7"/>
    <s v="Yes"/>
    <s v="Online"/>
    <n v="1988.32"/>
  </r>
  <r>
    <x v="229"/>
    <x v="0"/>
    <n v="28"/>
    <s v="Phoenix"/>
    <s v="Single"/>
    <s v="High"/>
    <x v="5"/>
    <s v="PROD0161"/>
    <n v="584.95000000000005"/>
    <n v="2"/>
    <d v="2024-06-11T00:00:00"/>
    <x v="0"/>
    <n v="4"/>
    <s v="Yes"/>
    <s v="Online"/>
    <n v="1169.9000000000001"/>
  </r>
  <r>
    <x v="230"/>
    <x v="0"/>
    <n v="28"/>
    <s v="Chicago"/>
    <s v="Divorced"/>
    <s v="High"/>
    <x v="5"/>
    <s v="PROD0086"/>
    <n v="746.47"/>
    <n v="2"/>
    <d v="2023-03-03T00:00:00"/>
    <x v="2"/>
    <n v="2"/>
    <s v="Yes"/>
    <s v="Online"/>
    <n v="1492.94"/>
  </r>
  <r>
    <x v="231"/>
    <x v="0"/>
    <n v="30"/>
    <s v="Los Angeles"/>
    <s v="Divorced"/>
    <s v="Low"/>
    <x v="5"/>
    <s v="PROD0116"/>
    <n v="983.51"/>
    <n v="1"/>
    <d v="2024-09-17T00:00:00"/>
    <x v="1"/>
    <n v="9"/>
    <s v="Yes"/>
    <s v="Online"/>
    <n v="983.51"/>
  </r>
  <r>
    <x v="232"/>
    <x v="0"/>
    <n v="31"/>
    <s v="New York"/>
    <s v="Single"/>
    <s v="Medium"/>
    <x v="5"/>
    <s v="PROD0084"/>
    <n v="98.86"/>
    <n v="2"/>
    <d v="2023-11-25T00:00:00"/>
    <x v="2"/>
    <n v="1"/>
    <s v="No"/>
    <s v="In-store"/>
    <n v="197.72"/>
  </r>
  <r>
    <x v="233"/>
    <x v="0"/>
    <n v="32"/>
    <s v="Chicago"/>
    <s v="Single"/>
    <s v="Low"/>
    <x v="5"/>
    <s v="PROD0153"/>
    <n v="685.69"/>
    <n v="4"/>
    <d v="2023-12-16T00:00:00"/>
    <x v="1"/>
    <n v="7"/>
    <s v="Yes"/>
    <s v="Online"/>
    <n v="2742.76"/>
  </r>
  <r>
    <x v="234"/>
    <x v="0"/>
    <n v="32"/>
    <s v="Boston"/>
    <s v="Married"/>
    <s v="Medium"/>
    <x v="5"/>
    <s v="PROD0098"/>
    <n v="954.1"/>
    <n v="4"/>
    <d v="2024-10-20T00:00:00"/>
    <x v="0"/>
    <n v="9"/>
    <s v="No"/>
    <s v="Online"/>
    <n v="3816.4"/>
  </r>
  <r>
    <x v="235"/>
    <x v="0"/>
    <n v="33"/>
    <s v="Boston"/>
    <s v="Divorced"/>
    <s v="Medium"/>
    <x v="5"/>
    <s v="PROD0083"/>
    <n v="49.55"/>
    <n v="5"/>
    <d v="2024-01-01T00:00:00"/>
    <x v="2"/>
    <n v="9"/>
    <s v="Yes"/>
    <s v="Online"/>
    <n v="247.75"/>
  </r>
  <r>
    <x v="236"/>
    <x v="0"/>
    <n v="33"/>
    <s v="Los Angeles"/>
    <s v="Married"/>
    <s v="Low"/>
    <x v="5"/>
    <s v="PROD0112"/>
    <n v="706.24"/>
    <n v="4"/>
    <d v="2024-10-21T00:00:00"/>
    <x v="0"/>
    <n v="4"/>
    <s v="No"/>
    <s v="In-store"/>
    <n v="2824.96"/>
  </r>
  <r>
    <x v="237"/>
    <x v="0"/>
    <n v="34"/>
    <s v="Los Angeles"/>
    <s v="Single"/>
    <s v="Medium"/>
    <x v="5"/>
    <s v="PROD0077"/>
    <n v="67.87"/>
    <n v="1"/>
    <d v="2023-05-26T00:00:00"/>
    <x v="2"/>
    <n v="2"/>
    <s v="No"/>
    <s v="Online"/>
    <n v="67.87"/>
  </r>
  <r>
    <x v="238"/>
    <x v="0"/>
    <n v="34"/>
    <s v="Seattle"/>
    <s v="Divorced"/>
    <s v="Low"/>
    <x v="5"/>
    <s v="PROD0063"/>
    <n v="972.13"/>
    <n v="4"/>
    <d v="2024-05-01T00:00:00"/>
    <x v="1"/>
    <n v="4"/>
    <s v="No"/>
    <s v="Online"/>
    <n v="3888.52"/>
  </r>
  <r>
    <x v="239"/>
    <x v="0"/>
    <n v="35"/>
    <s v="Phoenix"/>
    <s v="Married"/>
    <s v="High"/>
    <x v="5"/>
    <s v="PROD0052"/>
    <n v="494.89"/>
    <n v="3"/>
    <d v="2023-02-22T00:00:00"/>
    <x v="0"/>
    <n v="4"/>
    <s v="No"/>
    <s v="In-store"/>
    <n v="1484.67"/>
  </r>
  <r>
    <x v="240"/>
    <x v="0"/>
    <n v="36"/>
    <s v="Phoenix"/>
    <s v="Divorced"/>
    <s v="Medium"/>
    <x v="5"/>
    <s v="PROD0130"/>
    <n v="420.99"/>
    <n v="3"/>
    <d v="2024-03-18T00:00:00"/>
    <x v="2"/>
    <n v="6"/>
    <s v="No"/>
    <s v="Online"/>
    <n v="1262.97"/>
  </r>
  <r>
    <x v="241"/>
    <x v="0"/>
    <n v="36"/>
    <s v="Miami"/>
    <s v="Single"/>
    <s v="Medium"/>
    <x v="5"/>
    <s v="PROD0171"/>
    <n v="661.72"/>
    <n v="2"/>
    <d v="2023-12-13T00:00:00"/>
    <x v="2"/>
    <n v="1"/>
    <s v="Yes"/>
    <s v="In-store"/>
    <n v="1323.44"/>
  </r>
  <r>
    <x v="242"/>
    <x v="0"/>
    <n v="37"/>
    <s v="Miami"/>
    <s v="Divorced"/>
    <s v="Medium"/>
    <x v="5"/>
    <s v="PROD0004"/>
    <n v="203.76"/>
    <n v="3"/>
    <d v="2024-04-05T00:00:00"/>
    <x v="0"/>
    <n v="2"/>
    <s v="No"/>
    <s v="Online"/>
    <n v="611.28"/>
  </r>
  <r>
    <x v="243"/>
    <x v="0"/>
    <n v="37"/>
    <s v="Chicago"/>
    <s v="Divorced"/>
    <s v="Medium"/>
    <x v="5"/>
    <s v="PROD0106"/>
    <n v="427.97"/>
    <n v="5"/>
    <d v="2023-09-13T00:00:00"/>
    <x v="1"/>
    <n v="6"/>
    <s v="Yes"/>
    <s v="Online"/>
    <n v="2139.8500000000004"/>
  </r>
  <r>
    <x v="244"/>
    <x v="0"/>
    <n v="38"/>
    <s v="Los Angeles"/>
    <s v="Single"/>
    <s v="Medium"/>
    <x v="5"/>
    <s v="PROD0001"/>
    <n v="577.04"/>
    <n v="4"/>
    <d v="2023-03-28T00:00:00"/>
    <x v="2"/>
    <n v="5"/>
    <s v="No"/>
    <s v="In-store"/>
    <n v="2308.16"/>
  </r>
  <r>
    <x v="245"/>
    <x v="0"/>
    <n v="41"/>
    <s v="Phoenix"/>
    <s v="Married"/>
    <s v="High"/>
    <x v="5"/>
    <s v="PROD0011"/>
    <n v="941.58"/>
    <n v="2"/>
    <d v="2023-11-30T00:00:00"/>
    <x v="3"/>
    <n v="9"/>
    <s v="No"/>
    <s v="In-store"/>
    <n v="1883.16"/>
  </r>
  <r>
    <x v="246"/>
    <x v="0"/>
    <n v="42"/>
    <s v="Miami"/>
    <s v="Divorced"/>
    <s v="Low"/>
    <x v="5"/>
    <s v="PROD0098"/>
    <n v="323.29000000000002"/>
    <n v="4"/>
    <d v="2023-09-12T00:00:00"/>
    <x v="0"/>
    <n v="2"/>
    <s v="No"/>
    <s v="Online"/>
    <n v="1293.1600000000001"/>
  </r>
  <r>
    <x v="247"/>
    <x v="0"/>
    <n v="42"/>
    <s v="Miami"/>
    <s v="Married"/>
    <s v="Low"/>
    <x v="5"/>
    <s v="PROD0146"/>
    <n v="972.84"/>
    <n v="1"/>
    <d v="2023-08-16T00:00:00"/>
    <x v="3"/>
    <n v="5"/>
    <s v="No"/>
    <s v="Online"/>
    <n v="972.84"/>
  </r>
  <r>
    <x v="248"/>
    <x v="0"/>
    <n v="43"/>
    <s v="Seattle"/>
    <s v="Married"/>
    <s v="Medium"/>
    <x v="5"/>
    <s v="PROD0197"/>
    <n v="394.09"/>
    <n v="2"/>
    <d v="2023-08-24T00:00:00"/>
    <x v="2"/>
    <n v="6"/>
    <s v="No"/>
    <s v="Online"/>
    <n v="788.18"/>
  </r>
  <r>
    <x v="249"/>
    <x v="0"/>
    <n v="46"/>
    <s v="Miami"/>
    <s v="Divorced"/>
    <s v="Low"/>
    <x v="5"/>
    <s v="PROD0016"/>
    <n v="300.98"/>
    <n v="4"/>
    <d v="2023-04-03T00:00:00"/>
    <x v="3"/>
    <n v="9"/>
    <s v="No"/>
    <s v="Online"/>
    <n v="1203.92"/>
  </r>
  <r>
    <x v="250"/>
    <x v="0"/>
    <n v="46"/>
    <s v="Phoenix"/>
    <s v="Single"/>
    <s v="Medium"/>
    <x v="5"/>
    <s v="PROD0090"/>
    <n v="427.09"/>
    <n v="2"/>
    <d v="2023-05-27T00:00:00"/>
    <x v="1"/>
    <n v="2"/>
    <s v="No"/>
    <s v="In-store"/>
    <n v="854.18"/>
  </r>
  <r>
    <x v="251"/>
    <x v="0"/>
    <n v="46"/>
    <s v="Boston"/>
    <s v="Single"/>
    <s v="Medium"/>
    <x v="5"/>
    <s v="PROD0117"/>
    <n v="967.07"/>
    <n v="3"/>
    <d v="2024-06-26T00:00:00"/>
    <x v="3"/>
    <n v="4"/>
    <s v="Yes"/>
    <s v="Online"/>
    <n v="2901.21"/>
  </r>
  <r>
    <x v="252"/>
    <x v="0"/>
    <n v="47"/>
    <s v="Los Angeles"/>
    <s v="Married"/>
    <s v="Medium"/>
    <x v="5"/>
    <s v="PROD0114"/>
    <n v="609.84"/>
    <n v="3"/>
    <d v="2023-01-06T00:00:00"/>
    <x v="1"/>
    <n v="1"/>
    <s v="No"/>
    <s v="Online"/>
    <n v="1829.52"/>
  </r>
  <r>
    <x v="253"/>
    <x v="0"/>
    <n v="47"/>
    <s v="New York"/>
    <s v="Married"/>
    <s v="Medium"/>
    <x v="5"/>
    <s v="PROD0004"/>
    <n v="704.55"/>
    <n v="4"/>
    <d v="2024-01-03T00:00:00"/>
    <x v="0"/>
    <n v="1"/>
    <s v="No"/>
    <s v="Online"/>
    <n v="2818.2"/>
  </r>
  <r>
    <x v="254"/>
    <x v="0"/>
    <n v="51"/>
    <s v="Houston"/>
    <s v="Single"/>
    <s v="Medium"/>
    <x v="5"/>
    <s v="PROD0085"/>
    <n v="995.47"/>
    <n v="1"/>
    <d v="2024-06-09T00:00:00"/>
    <x v="1"/>
    <n v="8"/>
    <s v="No"/>
    <s v="Online"/>
    <n v="995.47"/>
  </r>
  <r>
    <x v="255"/>
    <x v="0"/>
    <n v="53"/>
    <s v="Los Angeles"/>
    <s v="Married"/>
    <s v="High"/>
    <x v="5"/>
    <s v="PROD0142"/>
    <n v="211.5"/>
    <n v="1"/>
    <d v="2024-02-10T00:00:00"/>
    <x v="1"/>
    <n v="9"/>
    <s v="No"/>
    <s v="Online"/>
    <n v="211.5"/>
  </r>
  <r>
    <x v="256"/>
    <x v="0"/>
    <n v="56"/>
    <s v="Houston"/>
    <s v="Single"/>
    <s v="High"/>
    <x v="5"/>
    <s v="PROD0164"/>
    <n v="79.83"/>
    <n v="1"/>
    <d v="2023-05-22T00:00:00"/>
    <x v="0"/>
    <n v="8"/>
    <s v="No"/>
    <s v="Online"/>
    <n v="79.83"/>
  </r>
  <r>
    <x v="257"/>
    <x v="0"/>
    <n v="56"/>
    <s v="Phoenix"/>
    <s v="Divorced"/>
    <s v="Low"/>
    <x v="5"/>
    <s v="PROD0024"/>
    <n v="349.6"/>
    <n v="2"/>
    <d v="2023-09-11T00:00:00"/>
    <x v="0"/>
    <n v="6"/>
    <s v="No"/>
    <s v="Online"/>
    <n v="699.2"/>
  </r>
  <r>
    <x v="258"/>
    <x v="0"/>
    <n v="56"/>
    <s v="Houston"/>
    <s v="Single"/>
    <s v="Medium"/>
    <x v="5"/>
    <s v="PROD0062"/>
    <n v="642.72"/>
    <n v="2"/>
    <d v="2023-08-05T00:00:00"/>
    <x v="3"/>
    <n v="10"/>
    <s v="No"/>
    <s v="Online"/>
    <n v="1285.44"/>
  </r>
  <r>
    <x v="259"/>
    <x v="0"/>
    <n v="57"/>
    <s v="Phoenix"/>
    <s v="Married"/>
    <s v="Medium"/>
    <x v="5"/>
    <s v="PROD0125"/>
    <n v="298.45"/>
    <n v="2"/>
    <d v="2024-04-02T00:00:00"/>
    <x v="0"/>
    <n v="2"/>
    <s v="No"/>
    <s v="In-store"/>
    <n v="596.9"/>
  </r>
  <r>
    <x v="260"/>
    <x v="0"/>
    <n v="57"/>
    <s v="Seattle"/>
    <s v="Single"/>
    <s v="Medium"/>
    <x v="5"/>
    <s v="PROD0134"/>
    <n v="690.89"/>
    <n v="1"/>
    <d v="2023-06-10T00:00:00"/>
    <x v="1"/>
    <n v="8"/>
    <s v="No"/>
    <s v="Online"/>
    <n v="690.89"/>
  </r>
  <r>
    <x v="261"/>
    <x v="0"/>
    <n v="58"/>
    <s v="Phoenix"/>
    <s v="Single"/>
    <s v="Medium"/>
    <x v="5"/>
    <s v="PROD0191"/>
    <n v="317.13"/>
    <n v="1"/>
    <d v="2024-01-28T00:00:00"/>
    <x v="1"/>
    <n v="4"/>
    <s v="Yes"/>
    <s v="Online"/>
    <n v="317.13"/>
  </r>
  <r>
    <x v="262"/>
    <x v="0"/>
    <n v="63"/>
    <s v="New York"/>
    <s v="Married"/>
    <s v="Low"/>
    <x v="5"/>
    <s v="PROD0118"/>
    <n v="540.19000000000005"/>
    <n v="3"/>
    <d v="2024-01-04T00:00:00"/>
    <x v="3"/>
    <n v="4"/>
    <s v="No"/>
    <s v="Online"/>
    <n v="1620.5700000000002"/>
  </r>
  <r>
    <x v="263"/>
    <x v="0"/>
    <n v="63"/>
    <s v="Houston"/>
    <s v="Divorced"/>
    <s v="Medium"/>
    <x v="5"/>
    <s v="PROD0108"/>
    <n v="551.21"/>
    <n v="2"/>
    <d v="2023-07-02T00:00:00"/>
    <x v="2"/>
    <n v="6"/>
    <s v="No"/>
    <s v="In-store"/>
    <n v="1102.42"/>
  </r>
  <r>
    <x v="264"/>
    <x v="0"/>
    <n v="64"/>
    <s v="Houston"/>
    <s v="Divorced"/>
    <s v="Medium"/>
    <x v="5"/>
    <s v="PROD0123"/>
    <n v="281.47000000000003"/>
    <n v="3"/>
    <d v="2023-07-17T00:00:00"/>
    <x v="0"/>
    <n v="2"/>
    <s v="No"/>
    <s v="Online"/>
    <n v="844.41000000000008"/>
  </r>
  <r>
    <x v="265"/>
    <x v="0"/>
    <n v="66"/>
    <s v="Miami"/>
    <s v="Single"/>
    <s v="Medium"/>
    <x v="5"/>
    <s v="PROD0065"/>
    <n v="550.24"/>
    <n v="1"/>
    <d v="2023-06-11T00:00:00"/>
    <x v="3"/>
    <n v="8"/>
    <s v="No"/>
    <s v="In-store"/>
    <n v="550.24"/>
  </r>
  <r>
    <x v="266"/>
    <x v="0"/>
    <n v="67"/>
    <s v="New York"/>
    <s v="Divorced"/>
    <s v="Medium"/>
    <x v="5"/>
    <s v="PROD0125"/>
    <n v="772.05"/>
    <n v="1"/>
    <d v="2023-04-07T00:00:00"/>
    <x v="0"/>
    <n v="9"/>
    <s v="No"/>
    <s v="In-store"/>
    <n v="772.05"/>
  </r>
  <r>
    <x v="267"/>
    <x v="0"/>
    <n v="68"/>
    <s v="Los Angeles"/>
    <s v="Divorced"/>
    <s v="Low"/>
    <x v="5"/>
    <s v="PROD0013"/>
    <n v="604.25"/>
    <n v="4"/>
    <d v="2024-04-24T00:00:00"/>
    <x v="0"/>
    <n v="4"/>
    <s v="Yes"/>
    <s v="In-store"/>
    <n v="2417"/>
  </r>
  <r>
    <x v="268"/>
    <x v="0"/>
    <n v="68"/>
    <s v="New York"/>
    <s v="Divorced"/>
    <s v="Medium"/>
    <x v="5"/>
    <s v="PROD0017"/>
    <n v="631.39"/>
    <n v="1"/>
    <d v="2023-11-16T00:00:00"/>
    <x v="0"/>
    <n v="9"/>
    <s v="No"/>
    <s v="In-store"/>
    <n v="631.39"/>
  </r>
  <r>
    <x v="269"/>
    <x v="0"/>
    <n v="18"/>
    <s v="Houston"/>
    <s v="Married"/>
    <s v="Low"/>
    <x v="6"/>
    <s v="PROD0076"/>
    <n v="780.27"/>
    <n v="4"/>
    <d v="2023-07-02T00:00:00"/>
    <x v="2"/>
    <n v="4"/>
    <s v="No"/>
    <s v="Online"/>
    <n v="3121.08"/>
  </r>
  <r>
    <x v="270"/>
    <x v="0"/>
    <n v="19"/>
    <s v="Los Angeles"/>
    <s v="Married"/>
    <s v="Medium"/>
    <x v="6"/>
    <s v="PROD0196"/>
    <n v="196.35"/>
    <n v="4"/>
    <d v="2024-08-12T00:00:00"/>
    <x v="2"/>
    <n v="6"/>
    <s v="No"/>
    <s v="Online"/>
    <n v="785.4"/>
  </r>
  <r>
    <x v="271"/>
    <x v="0"/>
    <n v="19"/>
    <s v="Miami"/>
    <s v="Married"/>
    <s v="Low"/>
    <x v="6"/>
    <s v="PROD0096"/>
    <n v="726.79"/>
    <n v="4"/>
    <d v="2023-10-24T00:00:00"/>
    <x v="2"/>
    <n v="10"/>
    <s v="No"/>
    <s v="Online"/>
    <n v="2907.16"/>
  </r>
  <r>
    <x v="272"/>
    <x v="0"/>
    <n v="20"/>
    <s v="Chicago"/>
    <s v="Single"/>
    <s v="Low"/>
    <x v="6"/>
    <s v="PROD0043"/>
    <n v="342.96"/>
    <n v="4"/>
    <d v="2023-09-12T00:00:00"/>
    <x v="0"/>
    <n v="8"/>
    <s v="No"/>
    <s v="Online"/>
    <n v="1371.84"/>
  </r>
  <r>
    <x v="273"/>
    <x v="0"/>
    <n v="20"/>
    <s v="Boston"/>
    <s v="Single"/>
    <s v="Low"/>
    <x v="6"/>
    <s v="PROD0189"/>
    <n v="549.17999999999995"/>
    <n v="1"/>
    <d v="2024-01-19T00:00:00"/>
    <x v="2"/>
    <n v="10"/>
    <s v="No"/>
    <s v="Online"/>
    <n v="549.17999999999995"/>
  </r>
  <r>
    <x v="274"/>
    <x v="0"/>
    <n v="22"/>
    <s v="New York"/>
    <s v="Married"/>
    <s v="Medium"/>
    <x v="6"/>
    <s v="PROD0003"/>
    <n v="327.52999999999997"/>
    <n v="2"/>
    <d v="2023-12-09T00:00:00"/>
    <x v="3"/>
    <n v="3"/>
    <s v="No"/>
    <s v="Online"/>
    <n v="655.05999999999995"/>
  </r>
  <r>
    <x v="275"/>
    <x v="0"/>
    <n v="24"/>
    <s v="Houston"/>
    <s v="Divorced"/>
    <s v="Medium"/>
    <x v="6"/>
    <s v="PROD0065"/>
    <n v="542.84"/>
    <n v="4"/>
    <d v="2024-09-08T00:00:00"/>
    <x v="3"/>
    <n v="7"/>
    <s v="No"/>
    <s v="Online"/>
    <n v="2171.36"/>
  </r>
  <r>
    <x v="276"/>
    <x v="0"/>
    <n v="24"/>
    <s v="Los Angeles"/>
    <s v="Married"/>
    <s v="Low"/>
    <x v="6"/>
    <s v="PROD0078"/>
    <n v="823.05"/>
    <n v="1"/>
    <d v="2023-11-22T00:00:00"/>
    <x v="1"/>
    <n v="2"/>
    <s v="No"/>
    <s v="In-store"/>
    <n v="823.05"/>
  </r>
  <r>
    <x v="277"/>
    <x v="0"/>
    <n v="25"/>
    <s v="Chicago"/>
    <s v="Divorced"/>
    <s v="Medium"/>
    <x v="6"/>
    <s v="PROD0096"/>
    <n v="254.49"/>
    <n v="5"/>
    <d v="2023-04-10T00:00:00"/>
    <x v="2"/>
    <n v="1"/>
    <s v="No"/>
    <s v="Online"/>
    <n v="1272.45"/>
  </r>
  <r>
    <x v="278"/>
    <x v="0"/>
    <n v="25"/>
    <s v="Seattle"/>
    <s v="Married"/>
    <s v="Medium"/>
    <x v="6"/>
    <s v="PROD0152"/>
    <n v="322.51"/>
    <n v="5"/>
    <d v="2024-03-02T00:00:00"/>
    <x v="0"/>
    <n v="4"/>
    <s v="Yes"/>
    <s v="Online"/>
    <n v="1612.55"/>
  </r>
  <r>
    <x v="279"/>
    <x v="0"/>
    <n v="25"/>
    <s v="Chicago"/>
    <s v="Married"/>
    <s v="Low"/>
    <x v="6"/>
    <s v="PROD0134"/>
    <n v="967.04"/>
    <n v="4"/>
    <d v="2024-09-29T00:00:00"/>
    <x v="2"/>
    <n v="4"/>
    <s v="No"/>
    <s v="Online"/>
    <n v="3868.16"/>
  </r>
  <r>
    <x v="280"/>
    <x v="0"/>
    <n v="26"/>
    <s v="Seattle"/>
    <s v="Single"/>
    <s v="Low"/>
    <x v="6"/>
    <s v="PROD0042"/>
    <n v="517.27"/>
    <n v="3"/>
    <d v="2023-07-10T00:00:00"/>
    <x v="3"/>
    <n v="5"/>
    <s v="No"/>
    <s v="Online"/>
    <n v="1551.81"/>
  </r>
  <r>
    <x v="281"/>
    <x v="0"/>
    <n v="28"/>
    <s v="Los Angeles"/>
    <s v="Divorced"/>
    <s v="Low"/>
    <x v="6"/>
    <s v="PROD0111"/>
    <n v="446.26"/>
    <n v="3"/>
    <d v="2023-07-30T00:00:00"/>
    <x v="0"/>
    <n v="7"/>
    <s v="No"/>
    <s v="Online"/>
    <n v="1338.78"/>
  </r>
  <r>
    <x v="282"/>
    <x v="0"/>
    <n v="29"/>
    <s v="Los Angeles"/>
    <s v="Divorced"/>
    <s v="Low"/>
    <x v="6"/>
    <s v="PROD0029"/>
    <n v="483.09"/>
    <n v="5"/>
    <d v="2024-08-29T00:00:00"/>
    <x v="0"/>
    <n v="8"/>
    <s v="No"/>
    <s v="Online"/>
    <n v="2415.4499999999998"/>
  </r>
  <r>
    <x v="283"/>
    <x v="0"/>
    <n v="29"/>
    <s v="Boston"/>
    <s v="Single"/>
    <s v="Medium"/>
    <x v="6"/>
    <s v="PROD0099"/>
    <n v="814.72"/>
    <n v="1"/>
    <d v="2024-02-27T00:00:00"/>
    <x v="0"/>
    <n v="9"/>
    <s v="Yes"/>
    <s v="Online"/>
    <n v="814.72"/>
  </r>
  <r>
    <x v="284"/>
    <x v="0"/>
    <n v="30"/>
    <s v="Phoenix"/>
    <s v="Single"/>
    <s v="Medium"/>
    <x v="6"/>
    <s v="PROD0172"/>
    <n v="646.37"/>
    <n v="5"/>
    <d v="2024-07-23T00:00:00"/>
    <x v="3"/>
    <n v="7"/>
    <s v="No"/>
    <s v="Online"/>
    <n v="3231.85"/>
  </r>
  <r>
    <x v="285"/>
    <x v="0"/>
    <n v="31"/>
    <s v="Phoenix"/>
    <s v="Single"/>
    <s v="Medium"/>
    <x v="6"/>
    <s v="PROD0157"/>
    <n v="549.97"/>
    <n v="4"/>
    <d v="2024-04-02T00:00:00"/>
    <x v="0"/>
    <n v="2"/>
    <s v="No"/>
    <s v="Online"/>
    <n v="2199.88"/>
  </r>
  <r>
    <x v="286"/>
    <x v="0"/>
    <n v="32"/>
    <s v="Miami"/>
    <s v="Divorced"/>
    <s v="Medium"/>
    <x v="6"/>
    <s v="PROD0126"/>
    <n v="575.15"/>
    <n v="1"/>
    <d v="2023-01-17T00:00:00"/>
    <x v="3"/>
    <n v="2"/>
    <s v="No"/>
    <s v="In-store"/>
    <n v="575.15"/>
  </r>
  <r>
    <x v="287"/>
    <x v="0"/>
    <n v="32"/>
    <s v="Phoenix"/>
    <s v="Divorced"/>
    <s v="Medium"/>
    <x v="6"/>
    <s v="PROD0019"/>
    <n v="917.32"/>
    <n v="1"/>
    <d v="2024-06-11T00:00:00"/>
    <x v="2"/>
    <n v="5"/>
    <s v="No"/>
    <s v="Online"/>
    <n v="917.32"/>
  </r>
  <r>
    <x v="288"/>
    <x v="0"/>
    <n v="32"/>
    <s v="Chicago"/>
    <s v="Single"/>
    <s v="Medium"/>
    <x v="6"/>
    <s v="PROD0038"/>
    <n v="945.26"/>
    <n v="2"/>
    <d v="2024-10-04T00:00:00"/>
    <x v="3"/>
    <n v="5"/>
    <s v="No"/>
    <s v="Online"/>
    <n v="1890.52"/>
  </r>
  <r>
    <x v="289"/>
    <x v="0"/>
    <n v="33"/>
    <s v="Miami"/>
    <s v="Married"/>
    <s v="Low"/>
    <x v="6"/>
    <s v="PROD0085"/>
    <n v="758.63"/>
    <n v="1"/>
    <d v="2023-01-02T00:00:00"/>
    <x v="2"/>
    <n v="7"/>
    <s v="No"/>
    <s v="Online"/>
    <n v="758.63"/>
  </r>
  <r>
    <x v="290"/>
    <x v="0"/>
    <n v="34"/>
    <s v="Phoenix"/>
    <s v="Single"/>
    <s v="Medium"/>
    <x v="6"/>
    <s v="PROD0077"/>
    <n v="910.45"/>
    <n v="1"/>
    <d v="2023-06-06T00:00:00"/>
    <x v="0"/>
    <n v="3"/>
    <s v="Yes"/>
    <s v="Online"/>
    <n v="910.45"/>
  </r>
  <r>
    <x v="291"/>
    <x v="0"/>
    <n v="35"/>
    <s v="Miami"/>
    <s v="Married"/>
    <s v="Low"/>
    <x v="6"/>
    <s v="PROD0176"/>
    <n v="268.24"/>
    <n v="4"/>
    <d v="2024-01-08T00:00:00"/>
    <x v="1"/>
    <n v="7"/>
    <s v="No"/>
    <s v="In-store"/>
    <n v="1072.96"/>
  </r>
  <r>
    <x v="292"/>
    <x v="0"/>
    <n v="35"/>
    <s v="Phoenix"/>
    <s v="Married"/>
    <s v="Low"/>
    <x v="6"/>
    <s v="PROD0009"/>
    <n v="336.09"/>
    <n v="3"/>
    <d v="2023-03-17T00:00:00"/>
    <x v="3"/>
    <n v="7"/>
    <s v="No"/>
    <s v="Online"/>
    <n v="1008.27"/>
  </r>
  <r>
    <x v="293"/>
    <x v="0"/>
    <n v="37"/>
    <s v="Phoenix"/>
    <s v="Married"/>
    <s v="High"/>
    <x v="6"/>
    <s v="PROD0168"/>
    <n v="348.65"/>
    <n v="2"/>
    <d v="2023-12-27T00:00:00"/>
    <x v="2"/>
    <n v="3"/>
    <s v="Yes"/>
    <s v="In-store"/>
    <n v="697.3"/>
  </r>
  <r>
    <x v="294"/>
    <x v="0"/>
    <n v="37"/>
    <s v="Houston"/>
    <s v="Divorced"/>
    <s v="High"/>
    <x v="6"/>
    <s v="PROD0177"/>
    <n v="974.69"/>
    <n v="2"/>
    <d v="2024-09-14T00:00:00"/>
    <x v="0"/>
    <n v="4"/>
    <s v="No"/>
    <s v="Online"/>
    <n v="1949.38"/>
  </r>
  <r>
    <x v="295"/>
    <x v="0"/>
    <n v="38"/>
    <s v="New York"/>
    <s v="Divorced"/>
    <s v="Medium"/>
    <x v="6"/>
    <s v="PROD0185"/>
    <n v="200.1"/>
    <n v="2"/>
    <d v="2023-11-01T00:00:00"/>
    <x v="3"/>
    <n v="4"/>
    <s v="Yes"/>
    <s v="In-store"/>
    <n v="400.2"/>
  </r>
  <r>
    <x v="296"/>
    <x v="0"/>
    <n v="38"/>
    <s v="Los Angeles"/>
    <s v="Married"/>
    <s v="Low"/>
    <x v="6"/>
    <s v="PROD0113"/>
    <n v="762.8"/>
    <n v="2"/>
    <d v="2023-02-18T00:00:00"/>
    <x v="0"/>
    <n v="10"/>
    <s v="No"/>
    <s v="Online"/>
    <n v="1525.6"/>
  </r>
  <r>
    <x v="297"/>
    <x v="0"/>
    <n v="39"/>
    <s v="Los Angeles"/>
    <s v="Divorced"/>
    <s v="Medium"/>
    <x v="6"/>
    <s v="PROD0061"/>
    <n v="836.11"/>
    <n v="2"/>
    <d v="2024-10-28T00:00:00"/>
    <x v="1"/>
    <n v="8"/>
    <s v="Yes"/>
    <s v="Online"/>
    <n v="1672.22"/>
  </r>
  <r>
    <x v="298"/>
    <x v="0"/>
    <n v="40"/>
    <s v="Boston"/>
    <s v="Single"/>
    <s v="Low"/>
    <x v="6"/>
    <s v="PROD0149"/>
    <n v="614.26"/>
    <n v="3"/>
    <d v="2023-07-19T00:00:00"/>
    <x v="0"/>
    <n v="7"/>
    <s v="No"/>
    <s v="In-store"/>
    <n v="1842.78"/>
  </r>
  <r>
    <x v="299"/>
    <x v="0"/>
    <n v="43"/>
    <s v="New York"/>
    <s v="Married"/>
    <s v="Medium"/>
    <x v="6"/>
    <s v="PROD0082"/>
    <n v="144.30000000000001"/>
    <n v="1"/>
    <d v="2023-07-02T00:00:00"/>
    <x v="3"/>
    <n v="9"/>
    <s v="No"/>
    <s v="Online"/>
    <n v="144.30000000000001"/>
  </r>
  <r>
    <x v="300"/>
    <x v="0"/>
    <n v="43"/>
    <s v="New York"/>
    <s v="Divorced"/>
    <s v="Medium"/>
    <x v="6"/>
    <s v="PROD0173"/>
    <n v="388.3"/>
    <n v="4"/>
    <d v="2023-09-24T00:00:00"/>
    <x v="3"/>
    <n v="7"/>
    <s v="No"/>
    <s v="In-store"/>
    <n v="1553.2"/>
  </r>
  <r>
    <x v="301"/>
    <x v="0"/>
    <n v="45"/>
    <s v="New York"/>
    <s v="Married"/>
    <s v="Low"/>
    <x v="6"/>
    <s v="PROD0186"/>
    <n v="768.68"/>
    <n v="2"/>
    <d v="2023-07-06T00:00:00"/>
    <x v="3"/>
    <n v="5"/>
    <s v="No"/>
    <s v="In-store"/>
    <n v="1537.36"/>
  </r>
  <r>
    <x v="302"/>
    <x v="0"/>
    <n v="47"/>
    <s v="Los Angeles"/>
    <s v="Divorced"/>
    <s v="Low"/>
    <x v="6"/>
    <s v="PROD0022"/>
    <n v="240.4"/>
    <n v="5"/>
    <d v="2023-04-26T00:00:00"/>
    <x v="3"/>
    <n v="2"/>
    <s v="No"/>
    <s v="In-store"/>
    <n v="1202"/>
  </r>
  <r>
    <x v="303"/>
    <x v="0"/>
    <n v="47"/>
    <s v="Chicago"/>
    <s v="Divorced"/>
    <s v="Low"/>
    <x v="6"/>
    <s v="PROD0103"/>
    <n v="480.35"/>
    <n v="2"/>
    <d v="2024-05-23T00:00:00"/>
    <x v="3"/>
    <n v="7"/>
    <s v="No"/>
    <s v="In-store"/>
    <n v="960.7"/>
  </r>
  <r>
    <x v="304"/>
    <x v="0"/>
    <n v="48"/>
    <s v="Miami"/>
    <s v="Married"/>
    <s v="Medium"/>
    <x v="6"/>
    <s v="PROD0185"/>
    <n v="63.29"/>
    <n v="4"/>
    <d v="2023-07-11T00:00:00"/>
    <x v="0"/>
    <n v="3"/>
    <s v="No"/>
    <s v="In-store"/>
    <n v="253.16"/>
  </r>
  <r>
    <x v="305"/>
    <x v="0"/>
    <n v="48"/>
    <s v="Seattle"/>
    <s v="Divorced"/>
    <s v="Medium"/>
    <x v="6"/>
    <s v="PROD0015"/>
    <n v="96.57"/>
    <n v="1"/>
    <d v="2023-10-13T00:00:00"/>
    <x v="0"/>
    <n v="7"/>
    <s v="Yes"/>
    <s v="Online"/>
    <n v="96.57"/>
  </r>
  <r>
    <x v="306"/>
    <x v="0"/>
    <n v="50"/>
    <s v="Los Angeles"/>
    <s v="Divorced"/>
    <s v="Medium"/>
    <x v="6"/>
    <s v="PROD0128"/>
    <n v="305.08999999999997"/>
    <n v="3"/>
    <d v="2023-08-15T00:00:00"/>
    <x v="0"/>
    <n v="8"/>
    <s v="No"/>
    <s v="Online"/>
    <n v="915.27"/>
  </r>
  <r>
    <x v="307"/>
    <x v="0"/>
    <n v="50"/>
    <s v="New York"/>
    <s v="Divorced"/>
    <s v="High"/>
    <x v="6"/>
    <s v="PROD0026"/>
    <n v="436.04"/>
    <n v="1"/>
    <d v="2024-07-22T00:00:00"/>
    <x v="0"/>
    <n v="2"/>
    <s v="Yes"/>
    <s v="Online"/>
    <n v="436.04"/>
  </r>
  <r>
    <x v="308"/>
    <x v="0"/>
    <n v="50"/>
    <s v="Los Angeles"/>
    <s v="Divorced"/>
    <s v="Medium"/>
    <x v="6"/>
    <s v="PROD0038"/>
    <n v="771.75"/>
    <n v="4"/>
    <d v="2023-06-27T00:00:00"/>
    <x v="1"/>
    <n v="4"/>
    <s v="No"/>
    <s v="Online"/>
    <n v="3087"/>
  </r>
  <r>
    <x v="309"/>
    <x v="0"/>
    <n v="52"/>
    <s v="Houston"/>
    <s v="Divorced"/>
    <s v="Medium"/>
    <x v="6"/>
    <s v="PROD0137"/>
    <n v="967.3"/>
    <n v="2"/>
    <d v="2023-06-14T00:00:00"/>
    <x v="1"/>
    <n v="9"/>
    <s v="No"/>
    <s v="In-store"/>
    <n v="1934.6"/>
  </r>
  <r>
    <x v="310"/>
    <x v="0"/>
    <n v="53"/>
    <s v="Boston"/>
    <s v="Married"/>
    <s v="Medium"/>
    <x v="6"/>
    <s v="PROD0194"/>
    <n v="758.89"/>
    <n v="4"/>
    <d v="2024-10-23T00:00:00"/>
    <x v="0"/>
    <n v="5"/>
    <s v="No"/>
    <s v="Online"/>
    <n v="3035.56"/>
  </r>
  <r>
    <x v="311"/>
    <x v="0"/>
    <n v="54"/>
    <s v="Los Angeles"/>
    <s v="Married"/>
    <s v="High"/>
    <x v="6"/>
    <s v="PROD0188"/>
    <n v="127.95"/>
    <n v="2"/>
    <d v="2024-04-09T00:00:00"/>
    <x v="3"/>
    <n v="7"/>
    <s v="Yes"/>
    <s v="In-store"/>
    <n v="255.9"/>
  </r>
  <r>
    <x v="312"/>
    <x v="0"/>
    <n v="55"/>
    <s v="Boston"/>
    <s v="Divorced"/>
    <s v="Low"/>
    <x v="6"/>
    <s v="PROD0033"/>
    <n v="760.2"/>
    <n v="3"/>
    <d v="2023-07-19T00:00:00"/>
    <x v="1"/>
    <n v="3"/>
    <s v="No"/>
    <s v="In-store"/>
    <n v="2280.6000000000004"/>
  </r>
  <r>
    <x v="313"/>
    <x v="0"/>
    <n v="55"/>
    <s v="New York"/>
    <s v="Married"/>
    <s v="High"/>
    <x v="6"/>
    <s v="PROD0138"/>
    <n v="906.25"/>
    <n v="4"/>
    <d v="2023-11-14T00:00:00"/>
    <x v="3"/>
    <n v="10"/>
    <s v="No"/>
    <s v="In-store"/>
    <n v="3625"/>
  </r>
  <r>
    <x v="314"/>
    <x v="0"/>
    <n v="56"/>
    <s v="Los Angeles"/>
    <s v="Married"/>
    <s v="Low"/>
    <x v="6"/>
    <s v="PROD0191"/>
    <n v="19.73"/>
    <n v="2"/>
    <d v="2024-04-12T00:00:00"/>
    <x v="3"/>
    <n v="2"/>
    <s v="Yes"/>
    <s v="In-store"/>
    <n v="39.46"/>
  </r>
  <r>
    <x v="315"/>
    <x v="0"/>
    <n v="58"/>
    <s v="Chicago"/>
    <s v="Single"/>
    <s v="High"/>
    <x v="6"/>
    <s v="PROD0170"/>
    <n v="751.88"/>
    <n v="2"/>
    <d v="2024-05-29T00:00:00"/>
    <x v="1"/>
    <n v="3"/>
    <s v="No"/>
    <s v="In-store"/>
    <n v="1503.76"/>
  </r>
  <r>
    <x v="316"/>
    <x v="0"/>
    <n v="60"/>
    <s v="Los Angeles"/>
    <s v="Divorced"/>
    <s v="Medium"/>
    <x v="6"/>
    <s v="PROD0015"/>
    <n v="70.3"/>
    <n v="3"/>
    <d v="2024-07-18T00:00:00"/>
    <x v="1"/>
    <n v="5"/>
    <s v="Yes"/>
    <s v="Online"/>
    <n v="210.89999999999998"/>
  </r>
  <r>
    <x v="317"/>
    <x v="0"/>
    <n v="61"/>
    <s v="Houston"/>
    <s v="Married"/>
    <s v="Low"/>
    <x v="6"/>
    <s v="PROD0041"/>
    <n v="397.89"/>
    <n v="4"/>
    <d v="2023-11-19T00:00:00"/>
    <x v="0"/>
    <n v="7"/>
    <s v="No"/>
    <s v="Online"/>
    <n v="1591.56"/>
  </r>
  <r>
    <x v="318"/>
    <x v="0"/>
    <n v="61"/>
    <s v="Chicago"/>
    <s v="Single"/>
    <s v="Medium"/>
    <x v="6"/>
    <s v="PROD0071"/>
    <n v="443.66"/>
    <n v="3"/>
    <d v="2023-12-02T00:00:00"/>
    <x v="3"/>
    <n v="8"/>
    <s v="No"/>
    <s v="In-store"/>
    <n v="1330.98"/>
  </r>
  <r>
    <x v="319"/>
    <x v="0"/>
    <n v="62"/>
    <s v="Seattle"/>
    <s v="Married"/>
    <s v="High"/>
    <x v="6"/>
    <s v="PROD0079"/>
    <n v="117.6"/>
    <n v="2"/>
    <d v="2023-04-04T00:00:00"/>
    <x v="2"/>
    <n v="5"/>
    <s v="Yes"/>
    <s v="Online"/>
    <n v="235.2"/>
  </r>
  <r>
    <x v="320"/>
    <x v="0"/>
    <n v="63"/>
    <s v="Miami"/>
    <s v="Divorced"/>
    <s v="High"/>
    <x v="6"/>
    <s v="PROD0118"/>
    <n v="391.21"/>
    <n v="5"/>
    <d v="2023-10-15T00:00:00"/>
    <x v="3"/>
    <n v="5"/>
    <s v="No"/>
    <s v="Online"/>
    <n v="1956.05"/>
  </r>
  <r>
    <x v="321"/>
    <x v="0"/>
    <n v="66"/>
    <s v="Houston"/>
    <s v="Divorced"/>
    <s v="High"/>
    <x v="6"/>
    <s v="PROD0107"/>
    <n v="197.98"/>
    <n v="4"/>
    <d v="2024-10-26T00:00:00"/>
    <x v="2"/>
    <n v="9"/>
    <s v="No"/>
    <s v="Online"/>
    <n v="791.92"/>
  </r>
  <r>
    <x v="322"/>
    <x v="0"/>
    <n v="66"/>
    <s v="Chicago"/>
    <s v="Single"/>
    <s v="Medium"/>
    <x v="6"/>
    <s v="PROD0094"/>
    <n v="490.38"/>
    <n v="3"/>
    <d v="2023-12-06T00:00:00"/>
    <x v="1"/>
    <n v="1"/>
    <s v="No"/>
    <s v="Online"/>
    <n v="1471.1399999999999"/>
  </r>
  <r>
    <x v="323"/>
    <x v="0"/>
    <n v="68"/>
    <s v="Seattle"/>
    <s v="Single"/>
    <s v="Low"/>
    <x v="6"/>
    <s v="PROD0004"/>
    <n v="363.62"/>
    <n v="4"/>
    <d v="2024-03-20T00:00:00"/>
    <x v="0"/>
    <n v="9"/>
    <s v="Yes"/>
    <s v="Online"/>
    <n v="1454.48"/>
  </r>
  <r>
    <x v="324"/>
    <x v="0"/>
    <n v="69"/>
    <s v="Seattle"/>
    <s v="Divorced"/>
    <s v="Low"/>
    <x v="6"/>
    <s v="PROD0031"/>
    <n v="434.86"/>
    <n v="5"/>
    <d v="2024-05-17T00:00:00"/>
    <x v="1"/>
    <n v="1"/>
    <s v="Yes"/>
    <s v="In-store"/>
    <n v="2174.3000000000002"/>
  </r>
  <r>
    <x v="325"/>
    <x v="0"/>
    <n v="69"/>
    <s v="New York"/>
    <s v="Married"/>
    <s v="Low"/>
    <x v="6"/>
    <s v="PROD0074"/>
    <n v="764.59"/>
    <n v="5"/>
    <d v="2024-07-13T00:00:00"/>
    <x v="1"/>
    <n v="5"/>
    <s v="No"/>
    <s v="Online"/>
    <n v="3822.9500000000003"/>
  </r>
  <r>
    <x v="326"/>
    <x v="1"/>
    <n v="18"/>
    <s v="Miami"/>
    <s v="Single"/>
    <s v="Medium"/>
    <x v="0"/>
    <s v="PROD0010"/>
    <n v="474.33"/>
    <n v="2"/>
    <d v="2023-07-17T00:00:00"/>
    <x v="3"/>
    <n v="10"/>
    <s v="No"/>
    <s v="In-store"/>
    <n v="948.66"/>
  </r>
  <r>
    <x v="327"/>
    <x v="1"/>
    <n v="18"/>
    <s v="Chicago"/>
    <s v="Divorced"/>
    <s v="High"/>
    <x v="0"/>
    <s v="PROD0073"/>
    <n v="539.21"/>
    <n v="4"/>
    <d v="2023-06-08T00:00:00"/>
    <x v="3"/>
    <n v="7"/>
    <s v="Yes"/>
    <s v="Online"/>
    <n v="2156.84"/>
  </r>
  <r>
    <x v="328"/>
    <x v="1"/>
    <n v="21"/>
    <s v="Los Angeles"/>
    <s v="Married"/>
    <s v="Low"/>
    <x v="0"/>
    <s v="PROD0140"/>
    <n v="694.33"/>
    <n v="2"/>
    <d v="2024-05-12T00:00:00"/>
    <x v="3"/>
    <n v="10"/>
    <s v="Yes"/>
    <s v="Online"/>
    <n v="1388.66"/>
  </r>
  <r>
    <x v="329"/>
    <x v="1"/>
    <n v="22"/>
    <s v="Boston"/>
    <s v="Divorced"/>
    <s v="Low"/>
    <x v="0"/>
    <s v="PROD0151"/>
    <n v="390.67"/>
    <n v="5"/>
    <d v="2023-08-05T00:00:00"/>
    <x v="0"/>
    <n v="1"/>
    <s v="No"/>
    <s v="Online"/>
    <n v="1953.3500000000001"/>
  </r>
  <r>
    <x v="330"/>
    <x v="1"/>
    <n v="23"/>
    <s v="Houston"/>
    <s v="Divorced"/>
    <s v="Medium"/>
    <x v="0"/>
    <s v="PROD0127"/>
    <n v="198.23"/>
    <n v="4"/>
    <d v="2023-02-21T00:00:00"/>
    <x v="3"/>
    <n v="4"/>
    <s v="No"/>
    <s v="Online"/>
    <n v="792.92"/>
  </r>
  <r>
    <x v="331"/>
    <x v="1"/>
    <n v="24"/>
    <s v="Los Angeles"/>
    <s v="Divorced"/>
    <s v="High"/>
    <x v="0"/>
    <s v="PROD0090"/>
    <n v="348.71"/>
    <n v="1"/>
    <d v="2023-04-29T00:00:00"/>
    <x v="0"/>
    <n v="1"/>
    <s v="No"/>
    <s v="In-store"/>
    <n v="348.71"/>
  </r>
  <r>
    <x v="332"/>
    <x v="1"/>
    <n v="24"/>
    <s v="Los Angeles"/>
    <s v="Married"/>
    <s v="Medium"/>
    <x v="0"/>
    <s v="PROD0130"/>
    <n v="532.91"/>
    <n v="3"/>
    <d v="2024-05-09T00:00:00"/>
    <x v="3"/>
    <n v="4"/>
    <s v="No"/>
    <s v="In-store"/>
    <n v="1598.73"/>
  </r>
  <r>
    <x v="333"/>
    <x v="1"/>
    <n v="25"/>
    <s v="Chicago"/>
    <s v="Divorced"/>
    <s v="High"/>
    <x v="0"/>
    <s v="PROD0078"/>
    <n v="51.08"/>
    <n v="2"/>
    <d v="2023-03-30T00:00:00"/>
    <x v="1"/>
    <n v="6"/>
    <s v="No"/>
    <s v="Online"/>
    <n v="102.16"/>
  </r>
  <r>
    <x v="334"/>
    <x v="1"/>
    <n v="25"/>
    <s v="Los Angeles"/>
    <s v="Divorced"/>
    <s v="Medium"/>
    <x v="0"/>
    <s v="PROD0077"/>
    <n v="405.98"/>
    <n v="4"/>
    <d v="2024-07-25T00:00:00"/>
    <x v="2"/>
    <n v="8"/>
    <s v="Yes"/>
    <s v="In-store"/>
    <n v="1623.92"/>
  </r>
  <r>
    <x v="335"/>
    <x v="1"/>
    <n v="26"/>
    <s v="Houston"/>
    <s v="Divorced"/>
    <s v="Low"/>
    <x v="0"/>
    <s v="PROD0129"/>
    <n v="100.44"/>
    <n v="4"/>
    <d v="2024-08-29T00:00:00"/>
    <x v="1"/>
    <n v="8"/>
    <s v="No"/>
    <s v="In-store"/>
    <n v="401.76"/>
  </r>
  <r>
    <x v="336"/>
    <x v="1"/>
    <n v="26"/>
    <s v="Phoenix"/>
    <s v="Single"/>
    <s v="High"/>
    <x v="0"/>
    <s v="PROD0121"/>
    <n v="462.32"/>
    <n v="5"/>
    <d v="2024-01-02T00:00:00"/>
    <x v="2"/>
    <n v="3"/>
    <s v="Yes"/>
    <s v="In-store"/>
    <n v="2311.6"/>
  </r>
  <r>
    <x v="337"/>
    <x v="1"/>
    <n v="28"/>
    <s v="Seattle"/>
    <s v="Divorced"/>
    <s v="Medium"/>
    <x v="0"/>
    <s v="PROD0177"/>
    <n v="463.32"/>
    <n v="4"/>
    <d v="2023-04-02T00:00:00"/>
    <x v="0"/>
    <n v="6"/>
    <s v="No"/>
    <s v="Online"/>
    <n v="1853.28"/>
  </r>
  <r>
    <x v="338"/>
    <x v="1"/>
    <n v="28"/>
    <s v="Phoenix"/>
    <s v="Single"/>
    <s v="Low"/>
    <x v="0"/>
    <s v="PROD0020"/>
    <n v="757.02"/>
    <n v="1"/>
    <d v="2024-05-20T00:00:00"/>
    <x v="1"/>
    <n v="9"/>
    <s v="No"/>
    <s v="In-store"/>
    <n v="757.02"/>
  </r>
  <r>
    <x v="339"/>
    <x v="1"/>
    <n v="31"/>
    <s v="Miami"/>
    <s v="Married"/>
    <s v="Medium"/>
    <x v="0"/>
    <s v="PROD0103"/>
    <n v="423.22"/>
    <n v="4"/>
    <d v="2023-01-30T00:00:00"/>
    <x v="2"/>
    <n v="1"/>
    <s v="Yes"/>
    <s v="In-store"/>
    <n v="1692.88"/>
  </r>
  <r>
    <x v="340"/>
    <x v="1"/>
    <n v="31"/>
    <s v="New York"/>
    <s v="Divorced"/>
    <s v="Low"/>
    <x v="0"/>
    <s v="PROD0078"/>
    <n v="586.25"/>
    <n v="4"/>
    <d v="2024-03-08T00:00:00"/>
    <x v="2"/>
    <n v="3"/>
    <s v="No"/>
    <s v="In-store"/>
    <n v="2345"/>
  </r>
  <r>
    <x v="341"/>
    <x v="1"/>
    <n v="32"/>
    <s v="Boston"/>
    <s v="Divorced"/>
    <s v="Low"/>
    <x v="0"/>
    <s v="PROD0059"/>
    <n v="110.86"/>
    <n v="1"/>
    <d v="2024-03-11T00:00:00"/>
    <x v="1"/>
    <n v="8"/>
    <s v="No"/>
    <s v="Online"/>
    <n v="110.86"/>
  </r>
  <r>
    <x v="342"/>
    <x v="1"/>
    <n v="32"/>
    <s v="Houston"/>
    <s v="Divorced"/>
    <s v="Medium"/>
    <x v="0"/>
    <s v="PROD0164"/>
    <n v="855.4"/>
    <n v="2"/>
    <d v="2024-10-30T00:00:00"/>
    <x v="3"/>
    <n v="1"/>
    <s v="Yes"/>
    <s v="Online"/>
    <n v="1710.8"/>
  </r>
  <r>
    <x v="343"/>
    <x v="1"/>
    <n v="33"/>
    <s v="Boston"/>
    <s v="Single"/>
    <s v="Low"/>
    <x v="0"/>
    <s v="PROD0117"/>
    <n v="249.93"/>
    <n v="5"/>
    <d v="2024-01-05T00:00:00"/>
    <x v="1"/>
    <n v="6"/>
    <s v="Yes"/>
    <s v="In-store"/>
    <n v="1249.6500000000001"/>
  </r>
  <r>
    <x v="344"/>
    <x v="1"/>
    <n v="34"/>
    <s v="Boston"/>
    <s v="Divorced"/>
    <s v="Medium"/>
    <x v="0"/>
    <s v="PROD0059"/>
    <n v="713.25"/>
    <n v="4"/>
    <d v="2024-10-28T00:00:00"/>
    <x v="1"/>
    <n v="8"/>
    <s v="No"/>
    <s v="Online"/>
    <n v="2853"/>
  </r>
  <r>
    <x v="345"/>
    <x v="1"/>
    <n v="35"/>
    <s v="New York"/>
    <s v="Divorced"/>
    <s v="Medium"/>
    <x v="0"/>
    <s v="PROD0087"/>
    <n v="356.12"/>
    <n v="2"/>
    <d v="2024-02-04T00:00:00"/>
    <x v="2"/>
    <n v="8"/>
    <s v="No"/>
    <s v="Online"/>
    <n v="712.24"/>
  </r>
  <r>
    <x v="346"/>
    <x v="1"/>
    <n v="38"/>
    <s v="Houston"/>
    <s v="Divorced"/>
    <s v="High"/>
    <x v="0"/>
    <s v="PROD0102"/>
    <n v="334.56"/>
    <n v="3"/>
    <d v="2023-10-19T00:00:00"/>
    <x v="3"/>
    <n v="8"/>
    <s v="Yes"/>
    <s v="In-store"/>
    <n v="1003.6800000000001"/>
  </r>
  <r>
    <x v="347"/>
    <x v="1"/>
    <n v="39"/>
    <s v="Phoenix"/>
    <s v="Married"/>
    <s v="Low"/>
    <x v="0"/>
    <s v="PROD0197"/>
    <n v="465.75"/>
    <n v="3"/>
    <d v="2024-10-13T00:00:00"/>
    <x v="0"/>
    <n v="9"/>
    <s v="No"/>
    <s v="In-store"/>
    <n v="1397.25"/>
  </r>
  <r>
    <x v="348"/>
    <x v="1"/>
    <n v="39"/>
    <s v="Seattle"/>
    <s v="Married"/>
    <s v="Medium"/>
    <x v="0"/>
    <s v="PROD0040"/>
    <n v="642.57000000000005"/>
    <n v="5"/>
    <d v="2024-03-08T00:00:00"/>
    <x v="3"/>
    <n v="4"/>
    <s v="Yes"/>
    <s v="Online"/>
    <n v="3212.8500000000004"/>
  </r>
  <r>
    <x v="349"/>
    <x v="1"/>
    <n v="40"/>
    <s v="Chicago"/>
    <s v="Divorced"/>
    <s v="Low"/>
    <x v="0"/>
    <s v="PROD0136"/>
    <n v="339.4"/>
    <n v="2"/>
    <d v="2024-10-01T00:00:00"/>
    <x v="0"/>
    <n v="1"/>
    <s v="No"/>
    <s v="In-store"/>
    <n v="678.8"/>
  </r>
  <r>
    <x v="350"/>
    <x v="1"/>
    <n v="41"/>
    <s v="Phoenix"/>
    <s v="Single"/>
    <s v="Medium"/>
    <x v="0"/>
    <s v="PROD0075"/>
    <n v="392.42"/>
    <n v="4"/>
    <d v="2023-01-28T00:00:00"/>
    <x v="0"/>
    <n v="4"/>
    <s v="No"/>
    <s v="Online"/>
    <n v="1569.68"/>
  </r>
  <r>
    <x v="351"/>
    <x v="1"/>
    <n v="42"/>
    <s v="Houston"/>
    <s v="Divorced"/>
    <s v="Low"/>
    <x v="0"/>
    <s v="PROD0155"/>
    <n v="65.66"/>
    <n v="2"/>
    <d v="2024-05-29T00:00:00"/>
    <x v="1"/>
    <n v="7"/>
    <s v="Yes"/>
    <s v="Online"/>
    <n v="131.32"/>
  </r>
  <r>
    <x v="352"/>
    <x v="1"/>
    <n v="42"/>
    <s v="Seattle"/>
    <s v="Single"/>
    <s v="High"/>
    <x v="0"/>
    <s v="PROD0015"/>
    <n v="369.77"/>
    <n v="3"/>
    <d v="2024-06-23T00:00:00"/>
    <x v="1"/>
    <n v="1"/>
    <s v="Yes"/>
    <s v="Online"/>
    <n v="1109.31"/>
  </r>
  <r>
    <x v="353"/>
    <x v="1"/>
    <n v="43"/>
    <s v="Boston"/>
    <s v="Married"/>
    <s v="Low"/>
    <x v="0"/>
    <s v="PROD0154"/>
    <n v="174.52"/>
    <n v="4"/>
    <d v="2023-08-23T00:00:00"/>
    <x v="0"/>
    <n v="3"/>
    <s v="Yes"/>
    <s v="Online"/>
    <n v="698.08"/>
  </r>
  <r>
    <x v="354"/>
    <x v="1"/>
    <n v="43"/>
    <s v="Seattle"/>
    <s v="Married"/>
    <s v="Medium"/>
    <x v="0"/>
    <s v="PROD0050"/>
    <n v="264.08"/>
    <n v="2"/>
    <d v="2023-08-19T00:00:00"/>
    <x v="2"/>
    <n v="1"/>
    <s v="No"/>
    <s v="Online"/>
    <n v="528.16"/>
  </r>
  <r>
    <x v="355"/>
    <x v="1"/>
    <n v="43"/>
    <s v="Seattle"/>
    <s v="Single"/>
    <s v="High"/>
    <x v="0"/>
    <s v="PROD0140"/>
    <n v="510.47"/>
    <n v="2"/>
    <d v="2023-10-02T00:00:00"/>
    <x v="0"/>
    <n v="7"/>
    <s v="Yes"/>
    <s v="Online"/>
    <n v="1020.94"/>
  </r>
  <r>
    <x v="356"/>
    <x v="1"/>
    <n v="46"/>
    <s v="Houston"/>
    <s v="Married"/>
    <s v="Low"/>
    <x v="0"/>
    <s v="PROD0187"/>
    <n v="291.33999999999997"/>
    <n v="3"/>
    <d v="2024-02-09T00:00:00"/>
    <x v="3"/>
    <n v="10"/>
    <s v="No"/>
    <s v="Online"/>
    <n v="874.02"/>
  </r>
  <r>
    <x v="357"/>
    <x v="1"/>
    <n v="48"/>
    <s v="Phoenix"/>
    <s v="Divorced"/>
    <s v="Medium"/>
    <x v="0"/>
    <s v="PROD0075"/>
    <n v="36.340000000000003"/>
    <n v="1"/>
    <d v="2024-01-12T00:00:00"/>
    <x v="0"/>
    <n v="9"/>
    <s v="Yes"/>
    <s v="In-store"/>
    <n v="36.340000000000003"/>
  </r>
  <r>
    <x v="358"/>
    <x v="1"/>
    <n v="50"/>
    <s v="Miami"/>
    <s v="Married"/>
    <s v="Low"/>
    <x v="0"/>
    <s v="PROD0129"/>
    <n v="81.94"/>
    <n v="5"/>
    <d v="2023-07-17T00:00:00"/>
    <x v="2"/>
    <n v="9"/>
    <s v="No"/>
    <s v="In-store"/>
    <n v="409.7"/>
  </r>
  <r>
    <x v="359"/>
    <x v="1"/>
    <n v="50"/>
    <s v="Chicago"/>
    <s v="Single"/>
    <s v="Medium"/>
    <x v="0"/>
    <s v="PROD0188"/>
    <n v="205.58"/>
    <n v="5"/>
    <d v="2023-05-12T00:00:00"/>
    <x v="2"/>
    <n v="10"/>
    <s v="No"/>
    <s v="Online"/>
    <n v="1027.9000000000001"/>
  </r>
  <r>
    <x v="360"/>
    <x v="1"/>
    <n v="51"/>
    <s v="Phoenix"/>
    <s v="Married"/>
    <s v="Low"/>
    <x v="0"/>
    <s v="PROD0111"/>
    <n v="137.78"/>
    <n v="2"/>
    <d v="2024-05-23T00:00:00"/>
    <x v="0"/>
    <n v="3"/>
    <s v="No"/>
    <s v="Online"/>
    <n v="275.56"/>
  </r>
  <r>
    <x v="361"/>
    <x v="1"/>
    <n v="51"/>
    <s v="Houston"/>
    <s v="Divorced"/>
    <s v="Medium"/>
    <x v="0"/>
    <s v="PROD0075"/>
    <n v="267.45"/>
    <n v="2"/>
    <d v="2024-08-07T00:00:00"/>
    <x v="0"/>
    <n v="3"/>
    <s v="No"/>
    <s v="Online"/>
    <n v="534.9"/>
  </r>
  <r>
    <x v="362"/>
    <x v="1"/>
    <n v="52"/>
    <s v="Los Angeles"/>
    <s v="Married"/>
    <s v="Medium"/>
    <x v="0"/>
    <s v="PROD0187"/>
    <n v="488.66"/>
    <n v="1"/>
    <d v="2024-04-06T00:00:00"/>
    <x v="0"/>
    <n v="3"/>
    <s v="Yes"/>
    <s v="Online"/>
    <n v="488.66"/>
  </r>
  <r>
    <x v="363"/>
    <x v="1"/>
    <n v="52"/>
    <s v="Los Angeles"/>
    <s v="Divorced"/>
    <s v="Medium"/>
    <x v="0"/>
    <s v="PROD0083"/>
    <n v="930.11"/>
    <n v="1"/>
    <d v="2024-09-15T00:00:00"/>
    <x v="3"/>
    <n v="6"/>
    <s v="No"/>
    <s v="In-store"/>
    <n v="930.11"/>
  </r>
  <r>
    <x v="364"/>
    <x v="1"/>
    <n v="53"/>
    <s v="Seattle"/>
    <s v="Divorced"/>
    <s v="High"/>
    <x v="0"/>
    <s v="PROD0099"/>
    <n v="884.85"/>
    <n v="5"/>
    <d v="2024-01-18T00:00:00"/>
    <x v="3"/>
    <n v="3"/>
    <s v="Yes"/>
    <s v="Online"/>
    <n v="4424.25"/>
  </r>
  <r>
    <x v="365"/>
    <x v="1"/>
    <n v="54"/>
    <s v="Los Angeles"/>
    <s v="Married"/>
    <s v="Medium"/>
    <x v="0"/>
    <s v="PROD0045"/>
    <n v="378.32"/>
    <n v="2"/>
    <d v="2023-06-24T00:00:00"/>
    <x v="3"/>
    <n v="9"/>
    <s v="No"/>
    <s v="Online"/>
    <n v="756.64"/>
  </r>
  <r>
    <x v="366"/>
    <x v="1"/>
    <n v="55"/>
    <s v="Boston"/>
    <s v="Married"/>
    <s v="Low"/>
    <x v="0"/>
    <s v="PROD0157"/>
    <n v="759.08"/>
    <n v="5"/>
    <d v="2024-08-21T00:00:00"/>
    <x v="1"/>
    <n v="9"/>
    <s v="No"/>
    <s v="Online"/>
    <n v="3795.4"/>
  </r>
  <r>
    <x v="367"/>
    <x v="1"/>
    <n v="58"/>
    <s v="Seattle"/>
    <s v="Married"/>
    <s v="Medium"/>
    <x v="0"/>
    <s v="PROD0087"/>
    <n v="615.23"/>
    <n v="2"/>
    <d v="2023-06-11T00:00:00"/>
    <x v="1"/>
    <n v="8"/>
    <s v="No"/>
    <s v="Online"/>
    <n v="1230.46"/>
  </r>
  <r>
    <x v="368"/>
    <x v="1"/>
    <n v="59"/>
    <s v="Miami"/>
    <s v="Divorced"/>
    <s v="Low"/>
    <x v="0"/>
    <s v="PROD0058"/>
    <n v="65.180000000000007"/>
    <n v="4"/>
    <d v="2024-03-17T00:00:00"/>
    <x v="0"/>
    <n v="3"/>
    <s v="No"/>
    <s v="Online"/>
    <n v="260.72000000000003"/>
  </r>
  <r>
    <x v="369"/>
    <x v="1"/>
    <n v="59"/>
    <s v="Los Angeles"/>
    <s v="Single"/>
    <s v="Medium"/>
    <x v="0"/>
    <s v="PROD0063"/>
    <n v="143.09"/>
    <n v="4"/>
    <d v="2024-06-03T00:00:00"/>
    <x v="1"/>
    <n v="6"/>
    <s v="No"/>
    <s v="Online"/>
    <n v="572.36"/>
  </r>
  <r>
    <x v="370"/>
    <x v="1"/>
    <n v="59"/>
    <s v="Miami"/>
    <s v="Divorced"/>
    <s v="High"/>
    <x v="0"/>
    <s v="PROD0025"/>
    <n v="449"/>
    <n v="1"/>
    <d v="2023-12-05T00:00:00"/>
    <x v="1"/>
    <n v="10"/>
    <s v="No"/>
    <s v="Online"/>
    <n v="449"/>
  </r>
  <r>
    <x v="371"/>
    <x v="1"/>
    <n v="61"/>
    <s v="Miami"/>
    <s v="Married"/>
    <s v="High"/>
    <x v="0"/>
    <s v="PROD0045"/>
    <n v="48.97"/>
    <n v="1"/>
    <d v="2024-07-26T00:00:00"/>
    <x v="2"/>
    <n v="1"/>
    <s v="No"/>
    <s v="In-store"/>
    <n v="48.97"/>
  </r>
  <r>
    <x v="372"/>
    <x v="1"/>
    <n v="62"/>
    <s v="Los Angeles"/>
    <s v="Married"/>
    <s v="High"/>
    <x v="0"/>
    <s v="PROD0092"/>
    <n v="146.99"/>
    <n v="1"/>
    <d v="2023-05-08T00:00:00"/>
    <x v="2"/>
    <n v="8"/>
    <s v="No"/>
    <s v="Online"/>
    <n v="146.99"/>
  </r>
  <r>
    <x v="373"/>
    <x v="1"/>
    <n v="64"/>
    <s v="Boston"/>
    <s v="Divorced"/>
    <s v="Low"/>
    <x v="0"/>
    <s v="PROD0102"/>
    <n v="728.82"/>
    <n v="3"/>
    <d v="2023-04-22T00:00:00"/>
    <x v="3"/>
    <n v="4"/>
    <s v="No"/>
    <s v="Online"/>
    <n v="2186.46"/>
  </r>
  <r>
    <x v="374"/>
    <x v="1"/>
    <n v="65"/>
    <s v="New York"/>
    <s v="Divorced"/>
    <s v="Medium"/>
    <x v="0"/>
    <s v="PROD0117"/>
    <n v="200.34"/>
    <n v="4"/>
    <d v="2024-03-28T00:00:00"/>
    <x v="1"/>
    <n v="5"/>
    <s v="Yes"/>
    <s v="In-store"/>
    <n v="801.36"/>
  </r>
  <r>
    <x v="375"/>
    <x v="1"/>
    <n v="66"/>
    <s v="New York"/>
    <s v="Single"/>
    <s v="Low"/>
    <x v="0"/>
    <s v="PROD0193"/>
    <n v="888.55"/>
    <n v="4"/>
    <d v="2023-06-07T00:00:00"/>
    <x v="2"/>
    <n v="3"/>
    <s v="No"/>
    <s v="In-store"/>
    <n v="3554.2"/>
  </r>
  <r>
    <x v="376"/>
    <x v="1"/>
    <n v="69"/>
    <s v="Houston"/>
    <s v="Married"/>
    <s v="Medium"/>
    <x v="0"/>
    <s v="PROD0044"/>
    <n v="956.09"/>
    <n v="2"/>
    <d v="2023-03-31T00:00:00"/>
    <x v="3"/>
    <n v="10"/>
    <s v="Yes"/>
    <s v="Online"/>
    <n v="1912.18"/>
  </r>
  <r>
    <x v="377"/>
    <x v="1"/>
    <n v="18"/>
    <s v="Houston"/>
    <s v="Divorced"/>
    <s v="Low"/>
    <x v="1"/>
    <s v="PROD0103"/>
    <n v="44.03"/>
    <n v="3"/>
    <d v="2023-04-01T00:00:00"/>
    <x v="1"/>
    <n v="6"/>
    <s v="No"/>
    <s v="In-store"/>
    <n v="132.09"/>
  </r>
  <r>
    <x v="378"/>
    <x v="1"/>
    <n v="19"/>
    <s v="Phoenix"/>
    <s v="Married"/>
    <s v="Medium"/>
    <x v="1"/>
    <s v="PROD0123"/>
    <n v="480.02"/>
    <n v="4"/>
    <d v="2024-07-13T00:00:00"/>
    <x v="3"/>
    <n v="1"/>
    <s v="No"/>
    <s v="Online"/>
    <n v="1920.08"/>
  </r>
  <r>
    <x v="379"/>
    <x v="1"/>
    <n v="20"/>
    <s v="New York"/>
    <s v="Single"/>
    <s v="Low"/>
    <x v="1"/>
    <s v="PROD0137"/>
    <n v="304.88"/>
    <n v="4"/>
    <d v="2024-09-19T00:00:00"/>
    <x v="3"/>
    <n v="6"/>
    <s v="No"/>
    <s v="In-store"/>
    <n v="1219.52"/>
  </r>
  <r>
    <x v="380"/>
    <x v="1"/>
    <n v="20"/>
    <s v="New York"/>
    <s v="Married"/>
    <s v="High"/>
    <x v="1"/>
    <s v="PROD0148"/>
    <n v="868.39"/>
    <n v="4"/>
    <d v="2023-04-20T00:00:00"/>
    <x v="3"/>
    <n v="9"/>
    <s v="No"/>
    <s v="Online"/>
    <n v="3473.56"/>
  </r>
  <r>
    <x v="381"/>
    <x v="1"/>
    <n v="21"/>
    <s v="Phoenix"/>
    <s v="Married"/>
    <s v="Low"/>
    <x v="1"/>
    <s v="PROD0151"/>
    <n v="411.59"/>
    <n v="5"/>
    <d v="2024-06-19T00:00:00"/>
    <x v="2"/>
    <n v="4"/>
    <s v="Yes"/>
    <s v="Online"/>
    <n v="2057.9499999999998"/>
  </r>
  <r>
    <x v="382"/>
    <x v="1"/>
    <n v="22"/>
    <s v="Los Angeles"/>
    <s v="Divorced"/>
    <s v="Medium"/>
    <x v="1"/>
    <s v="PROD0188"/>
    <n v="584.03"/>
    <n v="5"/>
    <d v="2023-10-27T00:00:00"/>
    <x v="1"/>
    <n v="6"/>
    <s v="No"/>
    <s v="Online"/>
    <n v="2920.1499999999996"/>
  </r>
  <r>
    <x v="383"/>
    <x v="1"/>
    <n v="23"/>
    <s v="Miami"/>
    <s v="Single"/>
    <s v="Low"/>
    <x v="1"/>
    <s v="PROD0129"/>
    <n v="20.61"/>
    <n v="1"/>
    <d v="2024-10-28T00:00:00"/>
    <x v="1"/>
    <n v="4"/>
    <s v="No"/>
    <s v="In-store"/>
    <n v="20.61"/>
  </r>
  <r>
    <x v="384"/>
    <x v="1"/>
    <n v="23"/>
    <s v="Chicago"/>
    <s v="Married"/>
    <s v="Medium"/>
    <x v="1"/>
    <s v="PROD0015"/>
    <n v="519.59"/>
    <n v="2"/>
    <d v="2023-04-03T00:00:00"/>
    <x v="0"/>
    <n v="7"/>
    <s v="Yes"/>
    <s v="Online"/>
    <n v="1039.18"/>
  </r>
  <r>
    <x v="385"/>
    <x v="1"/>
    <n v="24"/>
    <s v="Los Angeles"/>
    <s v="Divorced"/>
    <s v="Medium"/>
    <x v="1"/>
    <s v="PROD0164"/>
    <n v="865.72"/>
    <n v="2"/>
    <d v="2024-05-30T00:00:00"/>
    <x v="3"/>
    <n v="5"/>
    <s v="Yes"/>
    <s v="In-store"/>
    <n v="1731.44"/>
  </r>
  <r>
    <x v="386"/>
    <x v="1"/>
    <n v="25"/>
    <s v="New York"/>
    <s v="Divorced"/>
    <s v="High"/>
    <x v="1"/>
    <s v="PROD0176"/>
    <n v="138.56"/>
    <n v="3"/>
    <d v="2023-01-08T00:00:00"/>
    <x v="2"/>
    <n v="9"/>
    <s v="No"/>
    <s v="In-store"/>
    <n v="415.68"/>
  </r>
  <r>
    <x v="387"/>
    <x v="1"/>
    <n v="25"/>
    <s v="Miami"/>
    <s v="Divorced"/>
    <s v="Medium"/>
    <x v="1"/>
    <s v="PROD0127"/>
    <n v="322.94"/>
    <n v="3"/>
    <d v="2023-01-03T00:00:00"/>
    <x v="0"/>
    <n v="9"/>
    <s v="Yes"/>
    <s v="In-store"/>
    <n v="968.81999999999994"/>
  </r>
  <r>
    <x v="388"/>
    <x v="1"/>
    <n v="25"/>
    <s v="Seattle"/>
    <s v="Married"/>
    <s v="Medium"/>
    <x v="1"/>
    <s v="PROD0176"/>
    <n v="987.03"/>
    <n v="5"/>
    <d v="2024-03-15T00:00:00"/>
    <x v="0"/>
    <n v="4"/>
    <s v="Yes"/>
    <s v="Online"/>
    <n v="4935.1499999999996"/>
  </r>
  <r>
    <x v="389"/>
    <x v="1"/>
    <n v="27"/>
    <s v="Phoenix"/>
    <s v="Divorced"/>
    <s v="Low"/>
    <x v="1"/>
    <s v="PROD0124"/>
    <n v="293.27"/>
    <n v="3"/>
    <d v="2024-09-11T00:00:00"/>
    <x v="3"/>
    <n v="1"/>
    <s v="No"/>
    <s v="Online"/>
    <n v="879.81"/>
  </r>
  <r>
    <x v="390"/>
    <x v="1"/>
    <n v="29"/>
    <s v="Seattle"/>
    <s v="Married"/>
    <s v="Medium"/>
    <x v="1"/>
    <s v="PROD0172"/>
    <n v="383.22"/>
    <n v="4"/>
    <d v="2023-12-02T00:00:00"/>
    <x v="1"/>
    <n v="6"/>
    <s v="No"/>
    <s v="Online"/>
    <n v="1532.88"/>
  </r>
  <r>
    <x v="391"/>
    <x v="1"/>
    <n v="29"/>
    <s v="Phoenix"/>
    <s v="Divorced"/>
    <s v="Medium"/>
    <x v="1"/>
    <s v="PROD0130"/>
    <n v="581.58000000000004"/>
    <n v="1"/>
    <d v="2024-10-24T00:00:00"/>
    <x v="1"/>
    <n v="5"/>
    <s v="Yes"/>
    <s v="In-store"/>
    <n v="581.58000000000004"/>
  </r>
  <r>
    <x v="392"/>
    <x v="1"/>
    <n v="30"/>
    <s v="Miami"/>
    <s v="Divorced"/>
    <s v="High"/>
    <x v="1"/>
    <s v="PROD0069"/>
    <n v="232.91"/>
    <n v="4"/>
    <d v="2023-02-25T00:00:00"/>
    <x v="2"/>
    <n v="5"/>
    <s v="Yes"/>
    <s v="In-store"/>
    <n v="931.64"/>
  </r>
  <r>
    <x v="393"/>
    <x v="1"/>
    <n v="30"/>
    <s v="Seattle"/>
    <s v="Single"/>
    <s v="Medium"/>
    <x v="1"/>
    <s v="PROD0132"/>
    <n v="813.51"/>
    <n v="3"/>
    <d v="2024-02-10T00:00:00"/>
    <x v="2"/>
    <n v="5"/>
    <s v="Yes"/>
    <s v="In-store"/>
    <n v="2440.5299999999997"/>
  </r>
  <r>
    <x v="394"/>
    <x v="1"/>
    <n v="32"/>
    <s v="Los Angeles"/>
    <s v="Married"/>
    <s v="Low"/>
    <x v="1"/>
    <s v="PROD0169"/>
    <n v="601.83000000000004"/>
    <n v="2"/>
    <d v="2024-06-28T00:00:00"/>
    <x v="3"/>
    <n v="4"/>
    <s v="No"/>
    <s v="In-store"/>
    <n v="1203.6600000000001"/>
  </r>
  <r>
    <x v="395"/>
    <x v="1"/>
    <n v="34"/>
    <s v="Los Angeles"/>
    <s v="Divorced"/>
    <s v="Medium"/>
    <x v="1"/>
    <s v="PROD0050"/>
    <n v="374.57"/>
    <n v="4"/>
    <d v="2023-08-25T00:00:00"/>
    <x v="1"/>
    <n v="2"/>
    <s v="Yes"/>
    <s v="Online"/>
    <n v="1498.28"/>
  </r>
  <r>
    <x v="396"/>
    <x v="1"/>
    <n v="34"/>
    <s v="Phoenix"/>
    <s v="Divorced"/>
    <s v="Medium"/>
    <x v="1"/>
    <s v="PROD0171"/>
    <n v="579.91"/>
    <n v="1"/>
    <d v="2023-06-16T00:00:00"/>
    <x v="2"/>
    <n v="1"/>
    <s v="Yes"/>
    <s v="Online"/>
    <n v="579.91"/>
  </r>
  <r>
    <x v="397"/>
    <x v="1"/>
    <n v="34"/>
    <s v="Phoenix"/>
    <s v="Divorced"/>
    <s v="Medium"/>
    <x v="1"/>
    <s v="PROD0122"/>
    <n v="870.84"/>
    <n v="1"/>
    <d v="2023-02-04T00:00:00"/>
    <x v="3"/>
    <n v="9"/>
    <s v="No"/>
    <s v="Online"/>
    <n v="870.84"/>
  </r>
  <r>
    <x v="398"/>
    <x v="1"/>
    <n v="35"/>
    <s v="Seattle"/>
    <s v="Single"/>
    <s v="Medium"/>
    <x v="1"/>
    <s v="PROD0018"/>
    <n v="485.75"/>
    <n v="3"/>
    <d v="2023-07-11T00:00:00"/>
    <x v="0"/>
    <n v="1"/>
    <s v="Yes"/>
    <s v="Online"/>
    <n v="1457.25"/>
  </r>
  <r>
    <x v="399"/>
    <x v="1"/>
    <n v="36"/>
    <s v="Miami"/>
    <s v="Divorced"/>
    <s v="Medium"/>
    <x v="1"/>
    <s v="PROD0155"/>
    <n v="409.45"/>
    <n v="1"/>
    <d v="2023-12-07T00:00:00"/>
    <x v="1"/>
    <n v="1"/>
    <s v="Yes"/>
    <s v="In-store"/>
    <n v="409.45"/>
  </r>
  <r>
    <x v="400"/>
    <x v="1"/>
    <n v="38"/>
    <s v="Miami"/>
    <s v="Divorced"/>
    <s v="Low"/>
    <x v="1"/>
    <s v="PROD0124"/>
    <n v="709.31"/>
    <n v="2"/>
    <d v="2023-04-02T00:00:00"/>
    <x v="1"/>
    <n v="3"/>
    <s v="Yes"/>
    <s v="In-store"/>
    <n v="1418.62"/>
  </r>
  <r>
    <x v="401"/>
    <x v="1"/>
    <n v="41"/>
    <s v="Houston"/>
    <s v="Single"/>
    <s v="Medium"/>
    <x v="1"/>
    <s v="PROD0085"/>
    <n v="156.47999999999999"/>
    <n v="5"/>
    <d v="2023-12-02T00:00:00"/>
    <x v="1"/>
    <n v="2"/>
    <s v="Yes"/>
    <s v="In-store"/>
    <n v="782.4"/>
  </r>
  <r>
    <x v="402"/>
    <x v="1"/>
    <n v="41"/>
    <s v="Houston"/>
    <s v="Single"/>
    <s v="Medium"/>
    <x v="1"/>
    <s v="PROD0183"/>
    <n v="455.44"/>
    <n v="2"/>
    <d v="2023-01-29T00:00:00"/>
    <x v="3"/>
    <n v="4"/>
    <s v="Yes"/>
    <s v="In-store"/>
    <n v="910.88"/>
  </r>
  <r>
    <x v="403"/>
    <x v="1"/>
    <n v="42"/>
    <s v="New York"/>
    <s v="Married"/>
    <s v="Medium"/>
    <x v="1"/>
    <s v="PROD0078"/>
    <n v="829.25"/>
    <n v="3"/>
    <d v="2024-08-23T00:00:00"/>
    <x v="2"/>
    <n v="5"/>
    <s v="Yes"/>
    <s v="In-store"/>
    <n v="2487.75"/>
  </r>
  <r>
    <x v="404"/>
    <x v="1"/>
    <n v="45"/>
    <s v="Los Angeles"/>
    <s v="Single"/>
    <s v="Low"/>
    <x v="1"/>
    <s v="PROD0187"/>
    <n v="751.12"/>
    <n v="1"/>
    <d v="2024-01-25T00:00:00"/>
    <x v="1"/>
    <n v="10"/>
    <s v="Yes"/>
    <s v="In-store"/>
    <n v="751.12"/>
  </r>
  <r>
    <x v="405"/>
    <x v="1"/>
    <n v="46"/>
    <s v="Phoenix"/>
    <s v="Married"/>
    <s v="Medium"/>
    <x v="1"/>
    <s v="PROD0141"/>
    <n v="928.47"/>
    <n v="4"/>
    <d v="2024-09-17T00:00:00"/>
    <x v="3"/>
    <n v="7"/>
    <s v="No"/>
    <s v="Online"/>
    <n v="3713.88"/>
  </r>
  <r>
    <x v="406"/>
    <x v="1"/>
    <n v="47"/>
    <s v="Houston"/>
    <s v="Divorced"/>
    <s v="Low"/>
    <x v="1"/>
    <s v="PROD0082"/>
    <n v="458.3"/>
    <n v="1"/>
    <d v="2024-08-31T00:00:00"/>
    <x v="1"/>
    <n v="8"/>
    <s v="Yes"/>
    <s v="Online"/>
    <n v="458.3"/>
  </r>
  <r>
    <x v="407"/>
    <x v="1"/>
    <n v="51"/>
    <s v="Boston"/>
    <s v="Married"/>
    <s v="Medium"/>
    <x v="1"/>
    <s v="PROD0077"/>
    <n v="101.53"/>
    <n v="2"/>
    <d v="2024-04-30T00:00:00"/>
    <x v="0"/>
    <n v="10"/>
    <s v="Yes"/>
    <s v="In-store"/>
    <n v="203.06"/>
  </r>
  <r>
    <x v="408"/>
    <x v="1"/>
    <n v="52"/>
    <s v="Los Angeles"/>
    <s v="Divorced"/>
    <s v="Medium"/>
    <x v="1"/>
    <s v="PROD0179"/>
    <n v="106.39"/>
    <n v="5"/>
    <d v="2023-10-31T00:00:00"/>
    <x v="0"/>
    <n v="9"/>
    <s v="Yes"/>
    <s v="Online"/>
    <n v="531.95000000000005"/>
  </r>
  <r>
    <x v="409"/>
    <x v="1"/>
    <n v="55"/>
    <s v="Miami"/>
    <s v="Single"/>
    <s v="High"/>
    <x v="1"/>
    <s v="PROD0197"/>
    <n v="296.08"/>
    <n v="3"/>
    <d v="2023-03-31T00:00:00"/>
    <x v="3"/>
    <n v="9"/>
    <s v="No"/>
    <s v="In-store"/>
    <n v="888.24"/>
  </r>
  <r>
    <x v="410"/>
    <x v="1"/>
    <n v="55"/>
    <s v="New York"/>
    <s v="Single"/>
    <s v="Low"/>
    <x v="1"/>
    <s v="PROD0187"/>
    <n v="358.96"/>
    <n v="1"/>
    <d v="2024-01-15T00:00:00"/>
    <x v="2"/>
    <n v="4"/>
    <s v="No"/>
    <s v="In-store"/>
    <n v="358.96"/>
  </r>
  <r>
    <x v="411"/>
    <x v="1"/>
    <n v="55"/>
    <s v="Miami"/>
    <s v="Married"/>
    <s v="Low"/>
    <x v="1"/>
    <s v="PROD0042"/>
    <n v="737.88"/>
    <n v="3"/>
    <d v="2023-12-24T00:00:00"/>
    <x v="0"/>
    <n v="2"/>
    <s v="Yes"/>
    <s v="Online"/>
    <n v="2213.64"/>
  </r>
  <r>
    <x v="412"/>
    <x v="1"/>
    <n v="55"/>
    <s v="New York"/>
    <s v="Married"/>
    <s v="Low"/>
    <x v="1"/>
    <s v="PROD0038"/>
    <n v="983.12"/>
    <n v="5"/>
    <d v="2023-11-02T00:00:00"/>
    <x v="3"/>
    <n v="5"/>
    <s v="No"/>
    <s v="In-store"/>
    <n v="4915.6000000000004"/>
  </r>
  <r>
    <x v="413"/>
    <x v="1"/>
    <n v="57"/>
    <s v="Phoenix"/>
    <s v="Married"/>
    <s v="High"/>
    <x v="1"/>
    <s v="PROD0180"/>
    <n v="25.87"/>
    <n v="4"/>
    <d v="2023-09-21T00:00:00"/>
    <x v="1"/>
    <n v="3"/>
    <s v="No"/>
    <s v="Online"/>
    <n v="103.48"/>
  </r>
  <r>
    <x v="414"/>
    <x v="1"/>
    <n v="57"/>
    <s v="Los Angeles"/>
    <s v="Single"/>
    <s v="Low"/>
    <x v="1"/>
    <s v="PROD0165"/>
    <n v="666.68"/>
    <n v="1"/>
    <d v="2024-10-21T00:00:00"/>
    <x v="2"/>
    <n v="9"/>
    <s v="No"/>
    <s v="In-store"/>
    <n v="666.68"/>
  </r>
  <r>
    <x v="415"/>
    <x v="1"/>
    <n v="58"/>
    <s v="Los Angeles"/>
    <s v="Single"/>
    <s v="Low"/>
    <x v="1"/>
    <s v="PROD0175"/>
    <n v="192.26"/>
    <n v="4"/>
    <d v="2024-05-08T00:00:00"/>
    <x v="1"/>
    <n v="10"/>
    <s v="No"/>
    <s v="Online"/>
    <n v="769.04"/>
  </r>
  <r>
    <x v="416"/>
    <x v="1"/>
    <n v="58"/>
    <s v="Boston"/>
    <s v="Divorced"/>
    <s v="Medium"/>
    <x v="1"/>
    <s v="PROD0087"/>
    <n v="400.53"/>
    <n v="3"/>
    <d v="2024-07-01T00:00:00"/>
    <x v="1"/>
    <n v="1"/>
    <s v="No"/>
    <s v="In-store"/>
    <n v="1201.5899999999999"/>
  </r>
  <r>
    <x v="417"/>
    <x v="1"/>
    <n v="59"/>
    <s v="Seattle"/>
    <s v="Single"/>
    <s v="Medium"/>
    <x v="1"/>
    <s v="PROD0076"/>
    <n v="550.94000000000005"/>
    <n v="4"/>
    <d v="2023-04-04T00:00:00"/>
    <x v="1"/>
    <n v="9"/>
    <s v="No"/>
    <s v="In-store"/>
    <n v="2203.7600000000002"/>
  </r>
  <r>
    <x v="418"/>
    <x v="1"/>
    <n v="61"/>
    <s v="Seattle"/>
    <s v="Divorced"/>
    <s v="High"/>
    <x v="1"/>
    <s v="PROD0144"/>
    <n v="137.07"/>
    <n v="1"/>
    <d v="2023-05-13T00:00:00"/>
    <x v="2"/>
    <n v="1"/>
    <s v="Yes"/>
    <s v="Online"/>
    <n v="137.07"/>
  </r>
  <r>
    <x v="419"/>
    <x v="1"/>
    <n v="62"/>
    <s v="Chicago"/>
    <s v="Single"/>
    <s v="Low"/>
    <x v="1"/>
    <s v="PROD0173"/>
    <n v="73.45"/>
    <n v="3"/>
    <d v="2023-03-23T00:00:00"/>
    <x v="3"/>
    <n v="8"/>
    <s v="No"/>
    <s v="In-store"/>
    <n v="220.35000000000002"/>
  </r>
  <r>
    <x v="420"/>
    <x v="1"/>
    <n v="63"/>
    <s v="Boston"/>
    <s v="Married"/>
    <s v="Medium"/>
    <x v="1"/>
    <s v="PROD0151"/>
    <n v="234.99"/>
    <n v="5"/>
    <d v="2024-01-03T00:00:00"/>
    <x v="3"/>
    <n v="3"/>
    <s v="No"/>
    <s v="Online"/>
    <n v="1174.95"/>
  </r>
  <r>
    <x v="421"/>
    <x v="1"/>
    <n v="64"/>
    <s v="New York"/>
    <s v="Single"/>
    <s v="Medium"/>
    <x v="1"/>
    <s v="PROD0154"/>
    <n v="424.78"/>
    <n v="1"/>
    <d v="2023-06-15T00:00:00"/>
    <x v="0"/>
    <n v="3"/>
    <s v="Yes"/>
    <s v="Online"/>
    <n v="424.78"/>
  </r>
  <r>
    <x v="422"/>
    <x v="1"/>
    <n v="66"/>
    <s v="Phoenix"/>
    <s v="Married"/>
    <s v="High"/>
    <x v="1"/>
    <s v="PROD0185"/>
    <n v="348.22"/>
    <n v="3"/>
    <d v="2023-02-14T00:00:00"/>
    <x v="0"/>
    <n v="8"/>
    <s v="No"/>
    <s v="In-store"/>
    <n v="1044.6600000000001"/>
  </r>
  <r>
    <x v="423"/>
    <x v="1"/>
    <n v="67"/>
    <s v="Houston"/>
    <s v="Married"/>
    <s v="High"/>
    <x v="1"/>
    <s v="PROD0197"/>
    <n v="700.19"/>
    <n v="3"/>
    <d v="2024-03-09T00:00:00"/>
    <x v="1"/>
    <n v="10"/>
    <s v="Yes"/>
    <s v="In-store"/>
    <n v="2100.5700000000002"/>
  </r>
  <r>
    <x v="424"/>
    <x v="1"/>
    <n v="69"/>
    <s v="Phoenix"/>
    <s v="Single"/>
    <s v="Medium"/>
    <x v="1"/>
    <s v="PROD0015"/>
    <n v="931.37"/>
    <n v="1"/>
    <d v="2023-07-21T00:00:00"/>
    <x v="3"/>
    <n v="7"/>
    <s v="Yes"/>
    <s v="In-store"/>
    <n v="931.37"/>
  </r>
  <r>
    <x v="425"/>
    <x v="1"/>
    <n v="20"/>
    <s v="New York"/>
    <s v="Married"/>
    <s v="Low"/>
    <x v="2"/>
    <s v="PROD0030"/>
    <n v="564.15"/>
    <n v="5"/>
    <d v="2023-11-26T00:00:00"/>
    <x v="2"/>
    <n v="10"/>
    <s v="No"/>
    <s v="In-store"/>
    <n v="2820.75"/>
  </r>
  <r>
    <x v="426"/>
    <x v="1"/>
    <n v="21"/>
    <s v="Miami"/>
    <s v="Married"/>
    <s v="Medium"/>
    <x v="2"/>
    <s v="PROD0120"/>
    <n v="710.54"/>
    <n v="1"/>
    <d v="2023-07-23T00:00:00"/>
    <x v="0"/>
    <n v="2"/>
    <s v="Yes"/>
    <s v="Online"/>
    <n v="710.54"/>
  </r>
  <r>
    <x v="427"/>
    <x v="1"/>
    <n v="24"/>
    <s v="Chicago"/>
    <s v="Single"/>
    <s v="Low"/>
    <x v="2"/>
    <s v="PROD0048"/>
    <n v="77.36"/>
    <n v="1"/>
    <d v="2023-06-26T00:00:00"/>
    <x v="2"/>
    <n v="3"/>
    <s v="No"/>
    <s v="In-store"/>
    <n v="77.36"/>
  </r>
  <r>
    <x v="428"/>
    <x v="1"/>
    <n v="25"/>
    <s v="Phoenix"/>
    <s v="Single"/>
    <s v="Medium"/>
    <x v="2"/>
    <s v="PROD0115"/>
    <n v="177.47"/>
    <n v="2"/>
    <d v="2024-06-17T00:00:00"/>
    <x v="1"/>
    <n v="10"/>
    <s v="Yes"/>
    <s v="In-store"/>
    <n v="354.94"/>
  </r>
  <r>
    <x v="429"/>
    <x v="1"/>
    <n v="26"/>
    <s v="Chicago"/>
    <s v="Single"/>
    <s v="Low"/>
    <x v="2"/>
    <s v="PROD0012"/>
    <n v="54.7"/>
    <n v="4"/>
    <d v="2024-05-07T00:00:00"/>
    <x v="1"/>
    <n v="4"/>
    <s v="Yes"/>
    <s v="Online"/>
    <n v="218.8"/>
  </r>
  <r>
    <x v="430"/>
    <x v="1"/>
    <n v="27"/>
    <s v="Houston"/>
    <s v="Single"/>
    <s v="High"/>
    <x v="2"/>
    <s v="PROD0087"/>
    <n v="508.31"/>
    <n v="4"/>
    <d v="2024-04-19T00:00:00"/>
    <x v="2"/>
    <n v="6"/>
    <s v="Yes"/>
    <s v="In-store"/>
    <n v="2033.24"/>
  </r>
  <r>
    <x v="431"/>
    <x v="1"/>
    <n v="28"/>
    <s v="Los Angeles"/>
    <s v="Single"/>
    <s v="Medium"/>
    <x v="2"/>
    <s v="PROD0131"/>
    <n v="591.91999999999996"/>
    <n v="2"/>
    <d v="2024-07-08T00:00:00"/>
    <x v="0"/>
    <n v="10"/>
    <s v="No"/>
    <s v="Online"/>
    <n v="1183.8399999999999"/>
  </r>
  <r>
    <x v="432"/>
    <x v="1"/>
    <n v="29"/>
    <s v="Phoenix"/>
    <s v="Single"/>
    <s v="Medium"/>
    <x v="2"/>
    <s v="PROD0054"/>
    <n v="188.36"/>
    <n v="5"/>
    <d v="2023-02-16T00:00:00"/>
    <x v="0"/>
    <n v="10"/>
    <s v="No"/>
    <s v="In-store"/>
    <n v="941.80000000000007"/>
  </r>
  <r>
    <x v="433"/>
    <x v="1"/>
    <n v="31"/>
    <s v="Los Angeles"/>
    <s v="Divorced"/>
    <s v="Low"/>
    <x v="2"/>
    <s v="PROD0108"/>
    <n v="126.79"/>
    <n v="5"/>
    <d v="2024-02-13T00:00:00"/>
    <x v="1"/>
    <n v="2"/>
    <s v="Yes"/>
    <s v="Online"/>
    <n v="633.95000000000005"/>
  </r>
  <r>
    <x v="434"/>
    <x v="1"/>
    <n v="32"/>
    <s v="Houston"/>
    <s v="Married"/>
    <s v="Low"/>
    <x v="2"/>
    <s v="PROD0144"/>
    <n v="347.55"/>
    <n v="4"/>
    <d v="2023-09-14T00:00:00"/>
    <x v="0"/>
    <n v="10"/>
    <s v="Yes"/>
    <s v="In-store"/>
    <n v="1390.2"/>
  </r>
  <r>
    <x v="435"/>
    <x v="1"/>
    <n v="33"/>
    <s v="Miami"/>
    <s v="Divorced"/>
    <s v="Low"/>
    <x v="2"/>
    <s v="PROD0081"/>
    <n v="718.17"/>
    <n v="3"/>
    <d v="2023-11-17T00:00:00"/>
    <x v="3"/>
    <n v="3"/>
    <s v="Yes"/>
    <s v="Online"/>
    <n v="2154.5099999999998"/>
  </r>
  <r>
    <x v="436"/>
    <x v="1"/>
    <n v="35"/>
    <s v="New York"/>
    <s v="Single"/>
    <s v="High"/>
    <x v="2"/>
    <s v="PROD0118"/>
    <n v="59.67"/>
    <n v="5"/>
    <d v="2023-04-16T00:00:00"/>
    <x v="0"/>
    <n v="1"/>
    <s v="Yes"/>
    <s v="Online"/>
    <n v="298.35000000000002"/>
  </r>
  <r>
    <x v="437"/>
    <x v="1"/>
    <n v="37"/>
    <s v="Chicago"/>
    <s v="Divorced"/>
    <s v="Low"/>
    <x v="2"/>
    <s v="PROD0113"/>
    <n v="194.56"/>
    <n v="1"/>
    <d v="2023-05-06T00:00:00"/>
    <x v="2"/>
    <n v="2"/>
    <s v="No"/>
    <s v="Online"/>
    <n v="194.56"/>
  </r>
  <r>
    <x v="438"/>
    <x v="1"/>
    <n v="39"/>
    <s v="Chicago"/>
    <s v="Single"/>
    <s v="Low"/>
    <x v="2"/>
    <s v="PROD0038"/>
    <n v="401.1"/>
    <n v="3"/>
    <d v="2023-04-08T00:00:00"/>
    <x v="0"/>
    <n v="3"/>
    <s v="Yes"/>
    <s v="Online"/>
    <n v="1203.3000000000002"/>
  </r>
  <r>
    <x v="439"/>
    <x v="1"/>
    <n v="39"/>
    <s v="Boston"/>
    <s v="Single"/>
    <s v="Medium"/>
    <x v="2"/>
    <s v="PROD0010"/>
    <n v="988.95"/>
    <n v="5"/>
    <d v="2023-06-14T00:00:00"/>
    <x v="0"/>
    <n v="2"/>
    <s v="No"/>
    <s v="Online"/>
    <n v="4944.75"/>
  </r>
  <r>
    <x v="440"/>
    <x v="1"/>
    <n v="40"/>
    <s v="Miami"/>
    <s v="Single"/>
    <s v="Medium"/>
    <x v="2"/>
    <s v="PROD0152"/>
    <n v="966.61"/>
    <n v="1"/>
    <d v="2024-04-25T00:00:00"/>
    <x v="2"/>
    <n v="9"/>
    <s v="Yes"/>
    <s v="In-store"/>
    <n v="966.61"/>
  </r>
  <r>
    <x v="441"/>
    <x v="1"/>
    <n v="41"/>
    <s v="Boston"/>
    <s v="Single"/>
    <s v="Medium"/>
    <x v="2"/>
    <s v="PROD0054"/>
    <n v="281.25"/>
    <n v="4"/>
    <d v="2024-09-13T00:00:00"/>
    <x v="3"/>
    <n v="7"/>
    <s v="No"/>
    <s v="Online"/>
    <n v="1125"/>
  </r>
  <r>
    <x v="442"/>
    <x v="1"/>
    <n v="41"/>
    <s v="Los Angeles"/>
    <s v="Divorced"/>
    <s v="Medium"/>
    <x v="2"/>
    <s v="PROD0179"/>
    <n v="474.71"/>
    <n v="5"/>
    <d v="2023-11-20T00:00:00"/>
    <x v="3"/>
    <n v="5"/>
    <s v="No"/>
    <s v="Online"/>
    <n v="2373.5499999999997"/>
  </r>
  <r>
    <x v="443"/>
    <x v="1"/>
    <n v="42"/>
    <s v="Los Angeles"/>
    <s v="Single"/>
    <s v="High"/>
    <x v="2"/>
    <s v="PROD0153"/>
    <n v="294.64"/>
    <n v="3"/>
    <d v="2023-06-06T00:00:00"/>
    <x v="0"/>
    <n v="10"/>
    <s v="Yes"/>
    <s v="In-store"/>
    <n v="883.92"/>
  </r>
  <r>
    <x v="444"/>
    <x v="1"/>
    <n v="42"/>
    <s v="Houston"/>
    <s v="Single"/>
    <s v="Medium"/>
    <x v="2"/>
    <s v="PROD0021"/>
    <n v="397.01"/>
    <n v="3"/>
    <d v="2023-07-24T00:00:00"/>
    <x v="1"/>
    <n v="2"/>
    <s v="No"/>
    <s v="In-store"/>
    <n v="1191.03"/>
  </r>
  <r>
    <x v="445"/>
    <x v="1"/>
    <n v="44"/>
    <s v="Chicago"/>
    <s v="Married"/>
    <s v="Medium"/>
    <x v="2"/>
    <s v="PROD0002"/>
    <n v="108.58"/>
    <n v="4"/>
    <d v="2024-02-04T00:00:00"/>
    <x v="3"/>
    <n v="1"/>
    <s v="No"/>
    <s v="Online"/>
    <n v="434.32"/>
  </r>
  <r>
    <x v="446"/>
    <x v="1"/>
    <n v="44"/>
    <s v="Miami"/>
    <s v="Married"/>
    <s v="Medium"/>
    <x v="2"/>
    <s v="PROD0052"/>
    <n v="647.47"/>
    <n v="5"/>
    <d v="2024-03-24T00:00:00"/>
    <x v="2"/>
    <n v="2"/>
    <s v="No"/>
    <s v="Online"/>
    <n v="3237.3500000000004"/>
  </r>
  <r>
    <x v="447"/>
    <x v="1"/>
    <n v="46"/>
    <s v="Houston"/>
    <s v="Divorced"/>
    <s v="Medium"/>
    <x v="2"/>
    <s v="PROD0014"/>
    <n v="219.63"/>
    <n v="5"/>
    <d v="2023-01-24T00:00:00"/>
    <x v="0"/>
    <n v="5"/>
    <s v="No"/>
    <s v="Online"/>
    <n v="1098.1500000000001"/>
  </r>
  <r>
    <x v="448"/>
    <x v="1"/>
    <n v="47"/>
    <s v="Houston"/>
    <s v="Married"/>
    <s v="Low"/>
    <x v="2"/>
    <s v="PROD0154"/>
    <n v="452.26"/>
    <n v="4"/>
    <d v="2023-09-29T00:00:00"/>
    <x v="2"/>
    <n v="8"/>
    <s v="Yes"/>
    <s v="Online"/>
    <n v="1809.04"/>
  </r>
  <r>
    <x v="449"/>
    <x v="1"/>
    <n v="48"/>
    <s v="New York"/>
    <s v="Single"/>
    <s v="High"/>
    <x v="2"/>
    <s v="PROD0093"/>
    <n v="281.92"/>
    <n v="5"/>
    <d v="2024-07-27T00:00:00"/>
    <x v="0"/>
    <n v="3"/>
    <s v="No"/>
    <s v="Online"/>
    <n v="1409.6000000000001"/>
  </r>
  <r>
    <x v="450"/>
    <x v="1"/>
    <n v="48"/>
    <s v="Chicago"/>
    <s v="Divorced"/>
    <s v="High"/>
    <x v="2"/>
    <s v="PROD0092"/>
    <n v="297.97000000000003"/>
    <n v="5"/>
    <d v="2023-11-14T00:00:00"/>
    <x v="1"/>
    <n v="5"/>
    <s v="No"/>
    <s v="Online"/>
    <n v="1489.8500000000001"/>
  </r>
  <r>
    <x v="451"/>
    <x v="1"/>
    <n v="48"/>
    <s v="Los Angeles"/>
    <s v="Married"/>
    <s v="Medium"/>
    <x v="2"/>
    <s v="PROD0018"/>
    <n v="859.74"/>
    <n v="2"/>
    <d v="2024-02-28T00:00:00"/>
    <x v="2"/>
    <n v="7"/>
    <s v="No"/>
    <s v="In-store"/>
    <n v="1719.48"/>
  </r>
  <r>
    <x v="452"/>
    <x v="1"/>
    <n v="49"/>
    <s v="Los Angeles"/>
    <s v="Divorced"/>
    <s v="Medium"/>
    <x v="2"/>
    <s v="PROD0182"/>
    <n v="346.6"/>
    <n v="1"/>
    <d v="2023-10-01T00:00:00"/>
    <x v="1"/>
    <n v="9"/>
    <s v="No"/>
    <s v="In-store"/>
    <n v="346.6"/>
  </r>
  <r>
    <x v="453"/>
    <x v="1"/>
    <n v="49"/>
    <s v="Seattle"/>
    <s v="Divorced"/>
    <s v="High"/>
    <x v="2"/>
    <s v="PROD0029"/>
    <n v="539.99"/>
    <n v="1"/>
    <d v="2023-11-05T00:00:00"/>
    <x v="3"/>
    <n v="4"/>
    <s v="No"/>
    <s v="In-store"/>
    <n v="539.99"/>
  </r>
  <r>
    <x v="454"/>
    <x v="1"/>
    <n v="50"/>
    <s v="Miami"/>
    <s v="Single"/>
    <s v="Medium"/>
    <x v="2"/>
    <s v="PROD0110"/>
    <n v="266.32"/>
    <n v="2"/>
    <d v="2024-03-19T00:00:00"/>
    <x v="2"/>
    <n v="10"/>
    <s v="No"/>
    <s v="Online"/>
    <n v="532.64"/>
  </r>
  <r>
    <x v="455"/>
    <x v="1"/>
    <n v="52"/>
    <s v="Chicago"/>
    <s v="Single"/>
    <s v="High"/>
    <x v="2"/>
    <s v="PROD0170"/>
    <n v="49.93"/>
    <n v="3"/>
    <d v="2024-02-19T00:00:00"/>
    <x v="1"/>
    <n v="6"/>
    <s v="No"/>
    <s v="In-store"/>
    <n v="149.79"/>
  </r>
  <r>
    <x v="456"/>
    <x v="1"/>
    <n v="53"/>
    <s v="Miami"/>
    <s v="Married"/>
    <s v="Medium"/>
    <x v="2"/>
    <s v="PROD0110"/>
    <n v="154.56"/>
    <n v="1"/>
    <d v="2023-06-27T00:00:00"/>
    <x v="1"/>
    <n v="10"/>
    <s v="Yes"/>
    <s v="Online"/>
    <n v="154.56"/>
  </r>
  <r>
    <x v="457"/>
    <x v="1"/>
    <n v="53"/>
    <s v="Miami"/>
    <s v="Divorced"/>
    <s v="Low"/>
    <x v="2"/>
    <s v="PROD0083"/>
    <n v="200.1"/>
    <n v="5"/>
    <d v="2024-03-02T00:00:00"/>
    <x v="3"/>
    <n v="7"/>
    <s v="No"/>
    <s v="Online"/>
    <n v="1000.5"/>
  </r>
  <r>
    <x v="458"/>
    <x v="1"/>
    <n v="54"/>
    <s v="New York"/>
    <s v="Married"/>
    <s v="Low"/>
    <x v="2"/>
    <s v="PROD0194"/>
    <n v="56.72"/>
    <n v="1"/>
    <d v="2024-10-29T00:00:00"/>
    <x v="2"/>
    <n v="8"/>
    <s v="Yes"/>
    <s v="In-store"/>
    <n v="56.72"/>
  </r>
  <r>
    <x v="459"/>
    <x v="1"/>
    <n v="54"/>
    <s v="Miami"/>
    <s v="Divorced"/>
    <s v="High"/>
    <x v="2"/>
    <s v="PROD0028"/>
    <n v="100.41"/>
    <n v="3"/>
    <d v="2023-07-15T00:00:00"/>
    <x v="0"/>
    <n v="7"/>
    <s v="Yes"/>
    <s v="Online"/>
    <n v="301.23"/>
  </r>
  <r>
    <x v="460"/>
    <x v="1"/>
    <n v="54"/>
    <s v="Chicago"/>
    <s v="Married"/>
    <s v="Medium"/>
    <x v="2"/>
    <s v="PROD0093"/>
    <n v="722.05"/>
    <n v="3"/>
    <d v="2024-02-07T00:00:00"/>
    <x v="2"/>
    <n v="1"/>
    <s v="Yes"/>
    <s v="Online"/>
    <n v="2166.1499999999996"/>
  </r>
  <r>
    <x v="461"/>
    <x v="1"/>
    <n v="56"/>
    <s v="Boston"/>
    <s v="Married"/>
    <s v="Medium"/>
    <x v="2"/>
    <s v="PROD0078"/>
    <n v="878.97"/>
    <n v="3"/>
    <d v="2024-04-27T00:00:00"/>
    <x v="2"/>
    <n v="3"/>
    <s v="No"/>
    <s v="In-store"/>
    <n v="2636.91"/>
  </r>
  <r>
    <x v="462"/>
    <x v="1"/>
    <n v="57"/>
    <s v="Houston"/>
    <s v="Single"/>
    <s v="Low"/>
    <x v="2"/>
    <s v="PROD0025"/>
    <n v="465.73"/>
    <n v="3"/>
    <d v="2024-01-31T00:00:00"/>
    <x v="2"/>
    <n v="5"/>
    <s v="No"/>
    <s v="Online"/>
    <n v="1397.19"/>
  </r>
  <r>
    <x v="463"/>
    <x v="1"/>
    <n v="58"/>
    <s v="Los Angeles"/>
    <s v="Married"/>
    <s v="High"/>
    <x v="2"/>
    <s v="PROD0170"/>
    <n v="487.2"/>
    <n v="1"/>
    <d v="2023-09-16T00:00:00"/>
    <x v="2"/>
    <n v="9"/>
    <s v="No"/>
    <s v="Online"/>
    <n v="487.2"/>
  </r>
  <r>
    <x v="464"/>
    <x v="1"/>
    <n v="59"/>
    <s v="New York"/>
    <s v="Married"/>
    <s v="High"/>
    <x v="2"/>
    <s v="PROD0123"/>
    <n v="338.85"/>
    <n v="5"/>
    <d v="2023-06-26T00:00:00"/>
    <x v="0"/>
    <n v="3"/>
    <s v="No"/>
    <s v="In-store"/>
    <n v="1694.25"/>
  </r>
  <r>
    <x v="465"/>
    <x v="1"/>
    <n v="60"/>
    <s v="New York"/>
    <s v="Single"/>
    <s v="Medium"/>
    <x v="2"/>
    <s v="PROD0150"/>
    <n v="95.84"/>
    <n v="3"/>
    <d v="2023-02-27T00:00:00"/>
    <x v="3"/>
    <n v="3"/>
    <s v="No"/>
    <s v="In-store"/>
    <n v="287.52"/>
  </r>
  <r>
    <x v="466"/>
    <x v="1"/>
    <n v="60"/>
    <s v="Chicago"/>
    <s v="Divorced"/>
    <s v="Low"/>
    <x v="2"/>
    <s v="PROD0031"/>
    <n v="274.13"/>
    <n v="2"/>
    <d v="2023-08-19T00:00:00"/>
    <x v="1"/>
    <n v="9"/>
    <s v="Yes"/>
    <s v="Online"/>
    <n v="548.26"/>
  </r>
  <r>
    <x v="467"/>
    <x v="1"/>
    <n v="60"/>
    <s v="Houston"/>
    <s v="Divorced"/>
    <s v="Medium"/>
    <x v="2"/>
    <s v="PROD0157"/>
    <n v="802.93"/>
    <n v="2"/>
    <d v="2023-10-06T00:00:00"/>
    <x v="0"/>
    <n v="9"/>
    <s v="Yes"/>
    <s v="In-store"/>
    <n v="1605.86"/>
  </r>
  <r>
    <x v="468"/>
    <x v="1"/>
    <n v="61"/>
    <s v="Miami"/>
    <s v="Single"/>
    <s v="Medium"/>
    <x v="2"/>
    <s v="PROD0151"/>
    <n v="927.64"/>
    <n v="5"/>
    <d v="2023-08-16T00:00:00"/>
    <x v="1"/>
    <n v="1"/>
    <s v="No"/>
    <s v="Online"/>
    <n v="4638.2"/>
  </r>
  <r>
    <x v="469"/>
    <x v="1"/>
    <n v="63"/>
    <s v="New York"/>
    <s v="Single"/>
    <s v="Medium"/>
    <x v="2"/>
    <s v="PROD0069"/>
    <n v="140.94999999999999"/>
    <n v="4"/>
    <d v="2023-07-14T00:00:00"/>
    <x v="3"/>
    <n v="2"/>
    <s v="Yes"/>
    <s v="In-store"/>
    <n v="563.79999999999995"/>
  </r>
  <r>
    <x v="470"/>
    <x v="1"/>
    <n v="63"/>
    <s v="Phoenix"/>
    <s v="Divorced"/>
    <s v="High"/>
    <x v="2"/>
    <s v="PROD0005"/>
    <n v="665.69"/>
    <n v="5"/>
    <d v="2024-01-27T00:00:00"/>
    <x v="3"/>
    <n v="9"/>
    <s v="Yes"/>
    <s v="Online"/>
    <n v="3328.4500000000003"/>
  </r>
  <r>
    <x v="471"/>
    <x v="1"/>
    <n v="64"/>
    <s v="Houston"/>
    <s v="Married"/>
    <s v="Low"/>
    <x v="2"/>
    <s v="PROD0167"/>
    <n v="771.37"/>
    <n v="5"/>
    <d v="2024-06-22T00:00:00"/>
    <x v="2"/>
    <n v="1"/>
    <s v="No"/>
    <s v="Online"/>
    <n v="3856.85"/>
  </r>
  <r>
    <x v="472"/>
    <x v="1"/>
    <n v="65"/>
    <s v="Seattle"/>
    <s v="Married"/>
    <s v="Low"/>
    <x v="2"/>
    <s v="PROD0192"/>
    <n v="580.78"/>
    <n v="3"/>
    <d v="2024-09-14T00:00:00"/>
    <x v="3"/>
    <n v="8"/>
    <s v="Yes"/>
    <s v="Online"/>
    <n v="1742.34"/>
  </r>
  <r>
    <x v="473"/>
    <x v="1"/>
    <n v="68"/>
    <s v="Boston"/>
    <s v="Divorced"/>
    <s v="Medium"/>
    <x v="2"/>
    <s v="PROD0116"/>
    <n v="121.46"/>
    <n v="1"/>
    <d v="2023-10-21T00:00:00"/>
    <x v="2"/>
    <n v="4"/>
    <s v="No"/>
    <s v="Online"/>
    <n v="121.46"/>
  </r>
  <r>
    <x v="474"/>
    <x v="1"/>
    <n v="68"/>
    <s v="Houston"/>
    <s v="Divorced"/>
    <s v="High"/>
    <x v="2"/>
    <s v="PROD0089"/>
    <n v="218.86"/>
    <n v="3"/>
    <d v="2023-11-13T00:00:00"/>
    <x v="0"/>
    <n v="4"/>
    <s v="No"/>
    <s v="In-store"/>
    <n v="656.58"/>
  </r>
  <r>
    <x v="475"/>
    <x v="1"/>
    <n v="69"/>
    <s v="Seattle"/>
    <s v="Divorced"/>
    <s v="Low"/>
    <x v="2"/>
    <s v="PROD0111"/>
    <n v="264.49"/>
    <n v="3"/>
    <d v="2024-06-09T00:00:00"/>
    <x v="1"/>
    <n v="8"/>
    <s v="No"/>
    <s v="Online"/>
    <n v="793.47"/>
  </r>
  <r>
    <x v="476"/>
    <x v="1"/>
    <n v="18"/>
    <s v="Los Angeles"/>
    <s v="Married"/>
    <s v="Medium"/>
    <x v="3"/>
    <s v="PROD0189"/>
    <n v="933.54"/>
    <n v="5"/>
    <d v="2023-06-18T00:00:00"/>
    <x v="2"/>
    <n v="1"/>
    <s v="Yes"/>
    <s v="In-store"/>
    <n v="4667.7"/>
  </r>
  <r>
    <x v="477"/>
    <x v="1"/>
    <n v="19"/>
    <s v="Los Angeles"/>
    <s v="Single"/>
    <s v="High"/>
    <x v="3"/>
    <s v="PROD0071"/>
    <n v="350.65"/>
    <n v="3"/>
    <d v="2023-05-08T00:00:00"/>
    <x v="0"/>
    <n v="2"/>
    <s v="Yes"/>
    <s v="Online"/>
    <n v="1051.9499999999998"/>
  </r>
  <r>
    <x v="478"/>
    <x v="1"/>
    <n v="20"/>
    <s v="Chicago"/>
    <s v="Divorced"/>
    <s v="Medium"/>
    <x v="3"/>
    <s v="PROD0028"/>
    <n v="998.81"/>
    <n v="1"/>
    <d v="2024-02-03T00:00:00"/>
    <x v="3"/>
    <n v="5"/>
    <s v="Yes"/>
    <s v="In-store"/>
    <n v="998.81"/>
  </r>
  <r>
    <x v="479"/>
    <x v="1"/>
    <n v="21"/>
    <s v="Phoenix"/>
    <s v="Divorced"/>
    <s v="Medium"/>
    <x v="3"/>
    <s v="PROD0087"/>
    <n v="322.38"/>
    <n v="1"/>
    <d v="2024-06-18T00:00:00"/>
    <x v="3"/>
    <n v="6"/>
    <s v="No"/>
    <s v="Online"/>
    <n v="322.38"/>
  </r>
  <r>
    <x v="480"/>
    <x v="1"/>
    <n v="23"/>
    <s v="Seattle"/>
    <s v="Married"/>
    <s v="Low"/>
    <x v="3"/>
    <s v="PROD0191"/>
    <n v="704.48"/>
    <n v="4"/>
    <d v="2024-01-13T00:00:00"/>
    <x v="0"/>
    <n v="4"/>
    <s v="No"/>
    <s v="Online"/>
    <n v="2817.92"/>
  </r>
  <r>
    <x v="481"/>
    <x v="1"/>
    <n v="28"/>
    <s v="Houston"/>
    <s v="Single"/>
    <s v="Low"/>
    <x v="3"/>
    <s v="PROD0012"/>
    <n v="600.09"/>
    <n v="1"/>
    <d v="2024-07-23T00:00:00"/>
    <x v="3"/>
    <n v="1"/>
    <s v="Yes"/>
    <s v="In-store"/>
    <n v="600.09"/>
  </r>
  <r>
    <x v="482"/>
    <x v="1"/>
    <n v="29"/>
    <s v="New York"/>
    <s v="Married"/>
    <s v="Medium"/>
    <x v="3"/>
    <s v="PROD0102"/>
    <n v="160.22999999999999"/>
    <n v="5"/>
    <d v="2023-03-25T00:00:00"/>
    <x v="1"/>
    <n v="5"/>
    <s v="Yes"/>
    <s v="Online"/>
    <n v="801.15"/>
  </r>
  <r>
    <x v="483"/>
    <x v="1"/>
    <n v="30"/>
    <s v="New York"/>
    <s v="Married"/>
    <s v="High"/>
    <x v="3"/>
    <s v="PROD0057"/>
    <n v="864.8"/>
    <n v="4"/>
    <d v="2024-03-27T00:00:00"/>
    <x v="1"/>
    <n v="9"/>
    <s v="No"/>
    <s v="Online"/>
    <n v="3459.2"/>
  </r>
  <r>
    <x v="484"/>
    <x v="1"/>
    <n v="31"/>
    <s v="Miami"/>
    <s v="Single"/>
    <s v="Low"/>
    <x v="3"/>
    <s v="PROD0112"/>
    <n v="720.83"/>
    <n v="4"/>
    <d v="2024-06-01T00:00:00"/>
    <x v="3"/>
    <n v="10"/>
    <s v="Yes"/>
    <s v="Online"/>
    <n v="2883.32"/>
  </r>
  <r>
    <x v="485"/>
    <x v="1"/>
    <n v="32"/>
    <s v="Miami"/>
    <s v="Divorced"/>
    <s v="High"/>
    <x v="3"/>
    <s v="PROD0154"/>
    <n v="525.34"/>
    <n v="1"/>
    <d v="2024-08-01T00:00:00"/>
    <x v="1"/>
    <n v="9"/>
    <s v="No"/>
    <s v="Online"/>
    <n v="525.34"/>
  </r>
  <r>
    <x v="486"/>
    <x v="1"/>
    <n v="32"/>
    <s v="Phoenix"/>
    <s v="Single"/>
    <s v="Low"/>
    <x v="3"/>
    <s v="PROD0036"/>
    <n v="644.67999999999995"/>
    <n v="3"/>
    <d v="2024-07-22T00:00:00"/>
    <x v="3"/>
    <n v="1"/>
    <s v="No"/>
    <s v="In-store"/>
    <n v="1934.04"/>
  </r>
  <r>
    <x v="487"/>
    <x v="1"/>
    <n v="33"/>
    <s v="New York"/>
    <s v="Married"/>
    <s v="Low"/>
    <x v="3"/>
    <s v="PROD0060"/>
    <n v="176.34"/>
    <n v="5"/>
    <d v="2024-10-02T00:00:00"/>
    <x v="2"/>
    <n v="1"/>
    <s v="Yes"/>
    <s v="Online"/>
    <n v="881.7"/>
  </r>
  <r>
    <x v="488"/>
    <x v="1"/>
    <n v="34"/>
    <s v="Boston"/>
    <s v="Divorced"/>
    <s v="Medium"/>
    <x v="3"/>
    <s v="PROD0199"/>
    <n v="835.98"/>
    <n v="2"/>
    <d v="2023-02-20T00:00:00"/>
    <x v="3"/>
    <n v="7"/>
    <s v="No"/>
    <s v="In-store"/>
    <n v="1671.96"/>
  </r>
  <r>
    <x v="489"/>
    <x v="1"/>
    <n v="37"/>
    <s v="Los Angeles"/>
    <s v="Divorced"/>
    <s v="Low"/>
    <x v="3"/>
    <s v="PROD0125"/>
    <n v="929.52"/>
    <n v="1"/>
    <d v="2023-08-11T00:00:00"/>
    <x v="2"/>
    <n v="2"/>
    <s v="Yes"/>
    <s v="Online"/>
    <n v="929.52"/>
  </r>
  <r>
    <x v="490"/>
    <x v="1"/>
    <n v="37"/>
    <s v="Seattle"/>
    <s v="Single"/>
    <s v="High"/>
    <x v="3"/>
    <s v="PROD0064"/>
    <n v="977.68"/>
    <n v="3"/>
    <d v="2023-10-01T00:00:00"/>
    <x v="3"/>
    <n v="1"/>
    <s v="No"/>
    <s v="In-store"/>
    <n v="2933.04"/>
  </r>
  <r>
    <x v="491"/>
    <x v="1"/>
    <n v="40"/>
    <s v="New York"/>
    <s v="Divorced"/>
    <s v="Medium"/>
    <x v="3"/>
    <s v="PROD0039"/>
    <n v="71.33"/>
    <n v="3"/>
    <d v="2023-07-14T00:00:00"/>
    <x v="3"/>
    <n v="1"/>
    <s v="Yes"/>
    <s v="Online"/>
    <n v="213.99"/>
  </r>
  <r>
    <x v="492"/>
    <x v="1"/>
    <n v="40"/>
    <s v="Houston"/>
    <s v="Married"/>
    <s v="Medium"/>
    <x v="3"/>
    <s v="PROD0017"/>
    <n v="670.26"/>
    <n v="2"/>
    <d v="2024-05-05T00:00:00"/>
    <x v="2"/>
    <n v="8"/>
    <s v="No"/>
    <s v="Online"/>
    <n v="1340.52"/>
  </r>
  <r>
    <x v="493"/>
    <x v="1"/>
    <n v="41"/>
    <s v="Phoenix"/>
    <s v="Divorced"/>
    <s v="Low"/>
    <x v="3"/>
    <s v="PROD0147"/>
    <n v="354.34"/>
    <n v="2"/>
    <d v="2023-02-15T00:00:00"/>
    <x v="1"/>
    <n v="9"/>
    <s v="No"/>
    <s v="Online"/>
    <n v="708.68"/>
  </r>
  <r>
    <x v="494"/>
    <x v="1"/>
    <n v="42"/>
    <s v="Miami"/>
    <s v="Divorced"/>
    <s v="Low"/>
    <x v="3"/>
    <s v="PROD0181"/>
    <n v="470.39"/>
    <n v="3"/>
    <d v="2023-05-07T00:00:00"/>
    <x v="2"/>
    <n v="10"/>
    <s v="Yes"/>
    <s v="In-store"/>
    <n v="1411.17"/>
  </r>
  <r>
    <x v="495"/>
    <x v="1"/>
    <n v="43"/>
    <s v="Los Angeles"/>
    <s v="Single"/>
    <s v="Low"/>
    <x v="3"/>
    <s v="PROD0089"/>
    <n v="426.53"/>
    <n v="5"/>
    <d v="2023-10-25T00:00:00"/>
    <x v="3"/>
    <n v="3"/>
    <s v="Yes"/>
    <s v="Online"/>
    <n v="2132.6499999999996"/>
  </r>
  <r>
    <x v="496"/>
    <x v="1"/>
    <n v="46"/>
    <s v="New York"/>
    <s v="Divorced"/>
    <s v="High"/>
    <x v="3"/>
    <s v="PROD0122"/>
    <n v="399.7"/>
    <n v="3"/>
    <d v="2023-03-02T00:00:00"/>
    <x v="2"/>
    <n v="7"/>
    <s v="Yes"/>
    <s v="In-store"/>
    <n v="1199.0999999999999"/>
  </r>
  <r>
    <x v="497"/>
    <x v="1"/>
    <n v="47"/>
    <s v="Houston"/>
    <s v="Married"/>
    <s v="High"/>
    <x v="3"/>
    <s v="PROD0065"/>
    <n v="858.96"/>
    <n v="1"/>
    <d v="2024-06-09T00:00:00"/>
    <x v="3"/>
    <n v="2"/>
    <s v="No"/>
    <s v="Online"/>
    <n v="858.96"/>
  </r>
  <r>
    <x v="498"/>
    <x v="1"/>
    <n v="49"/>
    <s v="Seattle"/>
    <s v="Single"/>
    <s v="Low"/>
    <x v="3"/>
    <s v="PROD0177"/>
    <n v="600.17999999999995"/>
    <n v="2"/>
    <d v="2023-03-19T00:00:00"/>
    <x v="1"/>
    <n v="1"/>
    <s v="Yes"/>
    <s v="Online"/>
    <n v="1200.3599999999999"/>
  </r>
  <r>
    <x v="499"/>
    <x v="1"/>
    <n v="50"/>
    <s v="Seattle"/>
    <s v="Single"/>
    <s v="Medium"/>
    <x v="3"/>
    <s v="PROD0110"/>
    <n v="498.03"/>
    <n v="3"/>
    <d v="2024-01-31T00:00:00"/>
    <x v="3"/>
    <n v="10"/>
    <s v="Yes"/>
    <s v="In-store"/>
    <n v="1494.09"/>
  </r>
  <r>
    <x v="500"/>
    <x v="1"/>
    <n v="52"/>
    <s v="Los Angeles"/>
    <s v="Single"/>
    <s v="High"/>
    <x v="3"/>
    <s v="PROD0181"/>
    <n v="537.15"/>
    <n v="1"/>
    <d v="2023-03-11T00:00:00"/>
    <x v="1"/>
    <n v="5"/>
    <s v="Yes"/>
    <s v="In-store"/>
    <n v="537.15"/>
  </r>
  <r>
    <x v="501"/>
    <x v="1"/>
    <n v="54"/>
    <s v="Los Angeles"/>
    <s v="Divorced"/>
    <s v="Low"/>
    <x v="3"/>
    <s v="PROD0149"/>
    <n v="399.39"/>
    <n v="2"/>
    <d v="2023-06-22T00:00:00"/>
    <x v="0"/>
    <n v="4"/>
    <s v="No"/>
    <s v="In-store"/>
    <n v="798.78"/>
  </r>
  <r>
    <x v="502"/>
    <x v="1"/>
    <n v="54"/>
    <s v="Boston"/>
    <s v="Divorced"/>
    <s v="High"/>
    <x v="3"/>
    <s v="PROD0060"/>
    <n v="543.01"/>
    <n v="3"/>
    <d v="2023-01-02T00:00:00"/>
    <x v="2"/>
    <n v="9"/>
    <s v="No"/>
    <s v="In-store"/>
    <n v="1629.03"/>
  </r>
  <r>
    <x v="503"/>
    <x v="1"/>
    <n v="54"/>
    <s v="New York"/>
    <s v="Married"/>
    <s v="Medium"/>
    <x v="3"/>
    <s v="PROD0188"/>
    <n v="966.17"/>
    <n v="4"/>
    <d v="2024-07-09T00:00:00"/>
    <x v="1"/>
    <n v="5"/>
    <s v="No"/>
    <s v="Online"/>
    <n v="3864.68"/>
  </r>
  <r>
    <x v="504"/>
    <x v="1"/>
    <n v="56"/>
    <s v="Los Angeles"/>
    <s v="Single"/>
    <s v="High"/>
    <x v="3"/>
    <s v="PROD0199"/>
    <n v="49.52"/>
    <n v="5"/>
    <d v="2024-02-26T00:00:00"/>
    <x v="3"/>
    <n v="1"/>
    <s v="Yes"/>
    <s v="In-store"/>
    <n v="247.60000000000002"/>
  </r>
  <r>
    <x v="505"/>
    <x v="1"/>
    <n v="57"/>
    <s v="Miami"/>
    <s v="Single"/>
    <s v="Low"/>
    <x v="3"/>
    <s v="PROD0153"/>
    <n v="680.1"/>
    <n v="2"/>
    <d v="2023-01-04T00:00:00"/>
    <x v="3"/>
    <n v="4"/>
    <s v="No"/>
    <s v="Online"/>
    <n v="1360.2"/>
  </r>
  <r>
    <x v="506"/>
    <x v="1"/>
    <n v="59"/>
    <s v="Chicago"/>
    <s v="Single"/>
    <s v="Low"/>
    <x v="3"/>
    <s v="PROD0178"/>
    <n v="46.35"/>
    <n v="3"/>
    <d v="2024-09-17T00:00:00"/>
    <x v="2"/>
    <n v="8"/>
    <s v="No"/>
    <s v="Online"/>
    <n v="139.05000000000001"/>
  </r>
  <r>
    <x v="507"/>
    <x v="1"/>
    <n v="60"/>
    <s v="Houston"/>
    <s v="Married"/>
    <s v="High"/>
    <x v="3"/>
    <s v="PROD0089"/>
    <n v="204.72"/>
    <n v="2"/>
    <d v="2024-09-21T00:00:00"/>
    <x v="1"/>
    <n v="10"/>
    <s v="Yes"/>
    <s v="In-store"/>
    <n v="409.44"/>
  </r>
  <r>
    <x v="508"/>
    <x v="1"/>
    <n v="60"/>
    <s v="Chicago"/>
    <s v="Single"/>
    <s v="Medium"/>
    <x v="3"/>
    <s v="PROD0188"/>
    <n v="961.14"/>
    <n v="5"/>
    <d v="2023-10-13T00:00:00"/>
    <x v="3"/>
    <n v="10"/>
    <s v="No"/>
    <s v="Online"/>
    <n v="4805.7"/>
  </r>
  <r>
    <x v="509"/>
    <x v="1"/>
    <n v="62"/>
    <s v="Los Angeles"/>
    <s v="Married"/>
    <s v="Medium"/>
    <x v="3"/>
    <s v="PROD0010"/>
    <n v="510.87"/>
    <n v="1"/>
    <d v="2023-04-08T00:00:00"/>
    <x v="3"/>
    <n v="10"/>
    <s v="Yes"/>
    <s v="In-store"/>
    <n v="510.87"/>
  </r>
  <r>
    <x v="510"/>
    <x v="1"/>
    <n v="64"/>
    <s v="Boston"/>
    <s v="Single"/>
    <s v="Medium"/>
    <x v="3"/>
    <s v="PROD0001"/>
    <n v="509.59"/>
    <n v="2"/>
    <d v="2023-08-02T00:00:00"/>
    <x v="2"/>
    <n v="3"/>
    <s v="No"/>
    <s v="Online"/>
    <n v="1019.18"/>
  </r>
  <r>
    <x v="511"/>
    <x v="1"/>
    <n v="64"/>
    <s v="Los Angeles"/>
    <s v="Married"/>
    <s v="Medium"/>
    <x v="3"/>
    <s v="PROD0035"/>
    <n v="923.42"/>
    <n v="1"/>
    <d v="2024-02-14T00:00:00"/>
    <x v="1"/>
    <n v="5"/>
    <s v="No"/>
    <s v="Online"/>
    <n v="923.42"/>
  </r>
  <r>
    <x v="512"/>
    <x v="1"/>
    <n v="65"/>
    <s v="Miami"/>
    <s v="Divorced"/>
    <s v="Medium"/>
    <x v="3"/>
    <s v="PROD0034"/>
    <n v="221.41"/>
    <n v="4"/>
    <d v="2023-07-06T00:00:00"/>
    <x v="3"/>
    <n v="9"/>
    <s v="No"/>
    <s v="Online"/>
    <n v="885.64"/>
  </r>
  <r>
    <x v="513"/>
    <x v="1"/>
    <n v="66"/>
    <s v="Los Angeles"/>
    <s v="Divorced"/>
    <s v="Low"/>
    <x v="3"/>
    <s v="PROD0087"/>
    <n v="910.5"/>
    <n v="4"/>
    <d v="2023-10-11T00:00:00"/>
    <x v="1"/>
    <n v="10"/>
    <s v="Yes"/>
    <s v="Online"/>
    <n v="3642"/>
  </r>
  <r>
    <x v="514"/>
    <x v="1"/>
    <n v="67"/>
    <s v="Chicago"/>
    <s v="Married"/>
    <s v="High"/>
    <x v="3"/>
    <s v="PROD0151"/>
    <n v="299.73"/>
    <n v="4"/>
    <d v="2023-10-17T00:00:00"/>
    <x v="1"/>
    <n v="4"/>
    <s v="No"/>
    <s v="In-store"/>
    <n v="1198.92"/>
  </r>
  <r>
    <x v="515"/>
    <x v="1"/>
    <n v="69"/>
    <s v="Phoenix"/>
    <s v="Single"/>
    <s v="Low"/>
    <x v="3"/>
    <s v="PROD0189"/>
    <n v="674.06"/>
    <n v="4"/>
    <d v="2023-11-19T00:00:00"/>
    <x v="3"/>
    <n v="10"/>
    <s v="No"/>
    <s v="Online"/>
    <n v="2696.24"/>
  </r>
  <r>
    <x v="516"/>
    <x v="1"/>
    <n v="18"/>
    <s v="Phoenix"/>
    <s v="Single"/>
    <s v="Low"/>
    <x v="4"/>
    <s v="PROD0168"/>
    <n v="310.19"/>
    <n v="5"/>
    <d v="2024-09-10T00:00:00"/>
    <x v="2"/>
    <n v="1"/>
    <s v="No"/>
    <s v="In-store"/>
    <n v="1550.95"/>
  </r>
  <r>
    <x v="517"/>
    <x v="1"/>
    <n v="19"/>
    <s v="Chicago"/>
    <s v="Single"/>
    <s v="Medium"/>
    <x v="4"/>
    <s v="PROD0108"/>
    <n v="881.04"/>
    <n v="5"/>
    <d v="2024-08-26T00:00:00"/>
    <x v="1"/>
    <n v="9"/>
    <s v="Yes"/>
    <s v="Online"/>
    <n v="4405.2"/>
  </r>
  <r>
    <x v="518"/>
    <x v="1"/>
    <n v="21"/>
    <s v="Houston"/>
    <s v="Married"/>
    <s v="High"/>
    <x v="4"/>
    <s v="PROD0150"/>
    <n v="812.58"/>
    <n v="1"/>
    <d v="2024-06-14T00:00:00"/>
    <x v="0"/>
    <n v="1"/>
    <s v="No"/>
    <s v="In-store"/>
    <n v="812.58"/>
  </r>
  <r>
    <x v="519"/>
    <x v="1"/>
    <n v="22"/>
    <s v="Chicago"/>
    <s v="Single"/>
    <s v="Medium"/>
    <x v="4"/>
    <s v="PROD0152"/>
    <n v="16.91"/>
    <n v="3"/>
    <d v="2024-09-27T00:00:00"/>
    <x v="2"/>
    <n v="1"/>
    <s v="No"/>
    <s v="In-store"/>
    <n v="50.730000000000004"/>
  </r>
  <r>
    <x v="520"/>
    <x v="1"/>
    <n v="22"/>
    <s v="Los Angeles"/>
    <s v="Married"/>
    <s v="Low"/>
    <x v="4"/>
    <s v="PROD0088"/>
    <n v="684.47"/>
    <n v="3"/>
    <d v="2024-07-03T00:00:00"/>
    <x v="2"/>
    <n v="6"/>
    <s v="No"/>
    <s v="In-store"/>
    <n v="2053.41"/>
  </r>
  <r>
    <x v="521"/>
    <x v="1"/>
    <n v="23"/>
    <s v="New York"/>
    <s v="Single"/>
    <s v="High"/>
    <x v="4"/>
    <s v="PROD0103"/>
    <n v="178.76"/>
    <n v="5"/>
    <d v="2023-04-13T00:00:00"/>
    <x v="0"/>
    <n v="2"/>
    <s v="No"/>
    <s v="Online"/>
    <n v="893.8"/>
  </r>
  <r>
    <x v="522"/>
    <x v="1"/>
    <n v="23"/>
    <s v="Phoenix"/>
    <s v="Married"/>
    <s v="High"/>
    <x v="4"/>
    <s v="PROD0183"/>
    <n v="796"/>
    <n v="1"/>
    <d v="2023-08-27T00:00:00"/>
    <x v="3"/>
    <n v="3"/>
    <s v="No"/>
    <s v="In-store"/>
    <n v="796"/>
  </r>
  <r>
    <x v="523"/>
    <x v="1"/>
    <n v="23"/>
    <s v="Houston"/>
    <s v="Single"/>
    <s v="Medium"/>
    <x v="4"/>
    <s v="PROD0080"/>
    <n v="823.04"/>
    <n v="2"/>
    <d v="2023-11-15T00:00:00"/>
    <x v="1"/>
    <n v="5"/>
    <s v="Yes"/>
    <s v="In-store"/>
    <n v="1646.08"/>
  </r>
  <r>
    <x v="524"/>
    <x v="1"/>
    <n v="24"/>
    <s v="New York"/>
    <s v="Single"/>
    <s v="Medium"/>
    <x v="4"/>
    <s v="PROD0112"/>
    <n v="58.28"/>
    <n v="2"/>
    <d v="2023-02-12T00:00:00"/>
    <x v="2"/>
    <n v="7"/>
    <s v="Yes"/>
    <s v="Online"/>
    <n v="116.56"/>
  </r>
  <r>
    <x v="525"/>
    <x v="1"/>
    <n v="24"/>
    <s v="Los Angeles"/>
    <s v="Married"/>
    <s v="Medium"/>
    <x v="4"/>
    <s v="PROD0174"/>
    <n v="363.41"/>
    <n v="2"/>
    <d v="2023-03-21T00:00:00"/>
    <x v="2"/>
    <n v="8"/>
    <s v="No"/>
    <s v="In-store"/>
    <n v="726.82"/>
  </r>
  <r>
    <x v="526"/>
    <x v="1"/>
    <n v="25"/>
    <s v="Houston"/>
    <s v="Single"/>
    <s v="High"/>
    <x v="4"/>
    <s v="PROD0123"/>
    <n v="66.430000000000007"/>
    <n v="1"/>
    <d v="2024-09-28T00:00:00"/>
    <x v="0"/>
    <n v="5"/>
    <s v="No"/>
    <s v="Online"/>
    <n v="66.430000000000007"/>
  </r>
  <r>
    <x v="527"/>
    <x v="1"/>
    <n v="27"/>
    <s v="Chicago"/>
    <s v="Single"/>
    <s v="Low"/>
    <x v="4"/>
    <s v="PROD0173"/>
    <n v="870.95"/>
    <n v="4"/>
    <d v="2023-03-29T00:00:00"/>
    <x v="3"/>
    <n v="3"/>
    <s v="No"/>
    <s v="In-store"/>
    <n v="3483.8"/>
  </r>
  <r>
    <x v="528"/>
    <x v="1"/>
    <n v="28"/>
    <s v="Houston"/>
    <s v="Divorced"/>
    <s v="Low"/>
    <x v="4"/>
    <s v="PROD0022"/>
    <n v="192.2"/>
    <n v="2"/>
    <d v="2024-08-23T00:00:00"/>
    <x v="3"/>
    <n v="4"/>
    <s v="No"/>
    <s v="In-store"/>
    <n v="384.4"/>
  </r>
  <r>
    <x v="529"/>
    <x v="1"/>
    <n v="28"/>
    <s v="Boston"/>
    <s v="Single"/>
    <s v="Medium"/>
    <x v="4"/>
    <s v="PROD0085"/>
    <n v="695.98"/>
    <n v="4"/>
    <d v="2023-03-12T00:00:00"/>
    <x v="2"/>
    <n v="5"/>
    <s v="No"/>
    <s v="Online"/>
    <n v="2783.92"/>
  </r>
  <r>
    <x v="530"/>
    <x v="1"/>
    <n v="31"/>
    <s v="Houston"/>
    <s v="Divorced"/>
    <s v="Low"/>
    <x v="4"/>
    <s v="PROD0150"/>
    <n v="785.33"/>
    <n v="5"/>
    <d v="2023-05-07T00:00:00"/>
    <x v="1"/>
    <n v="10"/>
    <s v="No"/>
    <s v="Online"/>
    <n v="3926.65"/>
  </r>
  <r>
    <x v="531"/>
    <x v="1"/>
    <n v="32"/>
    <s v="Los Angeles"/>
    <s v="Married"/>
    <s v="High"/>
    <x v="4"/>
    <s v="PROD0142"/>
    <n v="359.94"/>
    <n v="1"/>
    <d v="2023-05-09T00:00:00"/>
    <x v="0"/>
    <n v="6"/>
    <s v="No"/>
    <s v="Online"/>
    <n v="359.94"/>
  </r>
  <r>
    <x v="532"/>
    <x v="1"/>
    <n v="34"/>
    <s v="Phoenix"/>
    <s v="Single"/>
    <s v="Medium"/>
    <x v="4"/>
    <s v="PROD0039"/>
    <n v="941.92"/>
    <n v="5"/>
    <d v="2024-06-04T00:00:00"/>
    <x v="3"/>
    <n v="2"/>
    <s v="No"/>
    <s v="In-store"/>
    <n v="4709.5999999999995"/>
  </r>
  <r>
    <x v="533"/>
    <x v="1"/>
    <n v="35"/>
    <s v="Miami"/>
    <s v="Single"/>
    <s v="Medium"/>
    <x v="4"/>
    <s v="PROD0115"/>
    <n v="961.94"/>
    <n v="1"/>
    <d v="2023-08-10T00:00:00"/>
    <x v="0"/>
    <n v="4"/>
    <s v="Yes"/>
    <s v="Online"/>
    <n v="961.94"/>
  </r>
  <r>
    <x v="534"/>
    <x v="1"/>
    <n v="40"/>
    <s v="Los Angeles"/>
    <s v="Married"/>
    <s v="Low"/>
    <x v="4"/>
    <s v="PROD0153"/>
    <n v="173.84"/>
    <n v="4"/>
    <d v="2024-02-29T00:00:00"/>
    <x v="2"/>
    <n v="8"/>
    <s v="No"/>
    <s v="Online"/>
    <n v="695.36"/>
  </r>
  <r>
    <x v="535"/>
    <x v="1"/>
    <n v="40"/>
    <s v="Chicago"/>
    <s v="Divorced"/>
    <s v="Low"/>
    <x v="4"/>
    <s v="PROD0179"/>
    <n v="314.60000000000002"/>
    <n v="5"/>
    <d v="2023-09-19T00:00:00"/>
    <x v="0"/>
    <n v="6"/>
    <s v="Yes"/>
    <s v="In-store"/>
    <n v="1573"/>
  </r>
  <r>
    <x v="536"/>
    <x v="1"/>
    <n v="41"/>
    <s v="Chicago"/>
    <s v="Married"/>
    <s v="High"/>
    <x v="4"/>
    <s v="PROD0017"/>
    <n v="839.1"/>
    <n v="4"/>
    <d v="2024-11-01T00:00:00"/>
    <x v="2"/>
    <n v="2"/>
    <s v="No"/>
    <s v="Online"/>
    <n v="3356.4"/>
  </r>
  <r>
    <x v="537"/>
    <x v="1"/>
    <n v="42"/>
    <s v="Phoenix"/>
    <s v="Single"/>
    <s v="High"/>
    <x v="4"/>
    <s v="PROD0142"/>
    <n v="69.62"/>
    <n v="2"/>
    <d v="2024-07-24T00:00:00"/>
    <x v="2"/>
    <n v="7"/>
    <s v="No"/>
    <s v="Online"/>
    <n v="139.24"/>
  </r>
  <r>
    <x v="538"/>
    <x v="1"/>
    <n v="42"/>
    <s v="Houston"/>
    <s v="Married"/>
    <s v="Low"/>
    <x v="4"/>
    <s v="PROD0015"/>
    <n v="248.75"/>
    <n v="3"/>
    <d v="2023-02-03T00:00:00"/>
    <x v="0"/>
    <n v="3"/>
    <s v="No"/>
    <s v="Online"/>
    <n v="746.25"/>
  </r>
  <r>
    <x v="539"/>
    <x v="1"/>
    <n v="43"/>
    <s v="Miami"/>
    <s v="Divorced"/>
    <s v="Medium"/>
    <x v="4"/>
    <s v="PROD0098"/>
    <n v="60.75"/>
    <n v="1"/>
    <d v="2023-06-22T00:00:00"/>
    <x v="1"/>
    <n v="7"/>
    <s v="No"/>
    <s v="In-store"/>
    <n v="60.75"/>
  </r>
  <r>
    <x v="540"/>
    <x v="1"/>
    <n v="43"/>
    <s v="Houston"/>
    <s v="Divorced"/>
    <s v="High"/>
    <x v="4"/>
    <s v="PROD0182"/>
    <n v="938.68"/>
    <n v="2"/>
    <d v="2024-05-27T00:00:00"/>
    <x v="3"/>
    <n v="7"/>
    <s v="Yes"/>
    <s v="Online"/>
    <n v="1877.36"/>
  </r>
  <r>
    <x v="541"/>
    <x v="1"/>
    <n v="46"/>
    <s v="Seattle"/>
    <s v="Single"/>
    <s v="High"/>
    <x v="4"/>
    <s v="PROD0102"/>
    <n v="132.22"/>
    <n v="3"/>
    <d v="2024-07-06T00:00:00"/>
    <x v="0"/>
    <n v="2"/>
    <s v="Yes"/>
    <s v="In-store"/>
    <n v="396.65999999999997"/>
  </r>
  <r>
    <x v="542"/>
    <x v="1"/>
    <n v="46"/>
    <s v="Chicago"/>
    <s v="Single"/>
    <s v="High"/>
    <x v="4"/>
    <s v="PROD0172"/>
    <n v="395.32"/>
    <n v="4"/>
    <d v="2024-04-21T00:00:00"/>
    <x v="1"/>
    <n v="1"/>
    <s v="Yes"/>
    <s v="Online"/>
    <n v="1581.28"/>
  </r>
  <r>
    <x v="543"/>
    <x v="1"/>
    <n v="47"/>
    <s v="Houston"/>
    <s v="Single"/>
    <s v="Medium"/>
    <x v="4"/>
    <s v="PROD0151"/>
    <n v="910.11"/>
    <n v="2"/>
    <d v="2024-07-20T00:00:00"/>
    <x v="0"/>
    <n v="3"/>
    <s v="No"/>
    <s v="Online"/>
    <n v="1820.22"/>
  </r>
  <r>
    <x v="544"/>
    <x v="1"/>
    <n v="51"/>
    <s v="Los Angeles"/>
    <s v="Married"/>
    <s v="High"/>
    <x v="4"/>
    <s v="PROD0066"/>
    <n v="513.80999999999995"/>
    <n v="1"/>
    <d v="2023-03-21T00:00:00"/>
    <x v="2"/>
    <n v="3"/>
    <s v="No"/>
    <s v="Online"/>
    <n v="513.80999999999995"/>
  </r>
  <r>
    <x v="545"/>
    <x v="1"/>
    <n v="51"/>
    <s v="Miami"/>
    <s v="Single"/>
    <s v="Medium"/>
    <x v="4"/>
    <s v="PROD0160"/>
    <n v="542.98"/>
    <n v="5"/>
    <d v="2023-03-17T00:00:00"/>
    <x v="2"/>
    <n v="6"/>
    <s v="No"/>
    <s v="In-store"/>
    <n v="2714.9"/>
  </r>
  <r>
    <x v="546"/>
    <x v="1"/>
    <n v="51"/>
    <s v="Los Angeles"/>
    <s v="Divorced"/>
    <s v="Low"/>
    <x v="4"/>
    <s v="PROD0151"/>
    <n v="845.37"/>
    <n v="5"/>
    <d v="2023-06-13T00:00:00"/>
    <x v="0"/>
    <n v="3"/>
    <s v="No"/>
    <s v="Online"/>
    <n v="4226.8500000000004"/>
  </r>
  <r>
    <x v="547"/>
    <x v="1"/>
    <n v="51"/>
    <s v="Phoenix"/>
    <s v="Married"/>
    <s v="Low"/>
    <x v="4"/>
    <s v="PROD0117"/>
    <n v="964.05"/>
    <n v="2"/>
    <d v="2024-06-17T00:00:00"/>
    <x v="1"/>
    <n v="9"/>
    <s v="No"/>
    <s v="Online"/>
    <n v="1928.1"/>
  </r>
  <r>
    <x v="548"/>
    <x v="1"/>
    <n v="54"/>
    <s v="Los Angeles"/>
    <s v="Divorced"/>
    <s v="Low"/>
    <x v="4"/>
    <s v="PROD0195"/>
    <n v="327.64999999999998"/>
    <n v="4"/>
    <d v="2023-04-10T00:00:00"/>
    <x v="3"/>
    <n v="9"/>
    <s v="No"/>
    <s v="Online"/>
    <n v="1310.5999999999999"/>
  </r>
  <r>
    <x v="549"/>
    <x v="1"/>
    <n v="54"/>
    <s v="Houston"/>
    <s v="Single"/>
    <s v="High"/>
    <x v="4"/>
    <s v="PROD0029"/>
    <n v="741.16"/>
    <n v="2"/>
    <d v="2024-07-13T00:00:00"/>
    <x v="2"/>
    <n v="2"/>
    <s v="No"/>
    <s v="In-store"/>
    <n v="1482.32"/>
  </r>
  <r>
    <x v="550"/>
    <x v="1"/>
    <n v="55"/>
    <s v="Los Angeles"/>
    <s v="Married"/>
    <s v="Medium"/>
    <x v="4"/>
    <s v="PROD0070"/>
    <n v="639.29"/>
    <n v="3"/>
    <d v="2023-05-13T00:00:00"/>
    <x v="3"/>
    <n v="6"/>
    <s v="Yes"/>
    <s v="Online"/>
    <n v="1917.87"/>
  </r>
  <r>
    <x v="551"/>
    <x v="1"/>
    <n v="56"/>
    <s v="Seattle"/>
    <s v="Divorced"/>
    <s v="Medium"/>
    <x v="4"/>
    <s v="PROD0046"/>
    <n v="24.05"/>
    <n v="3"/>
    <d v="2023-09-24T00:00:00"/>
    <x v="0"/>
    <n v="1"/>
    <s v="Yes"/>
    <s v="Online"/>
    <n v="72.150000000000006"/>
  </r>
  <r>
    <x v="552"/>
    <x v="1"/>
    <n v="57"/>
    <s v="Boston"/>
    <s v="Married"/>
    <s v="Medium"/>
    <x v="4"/>
    <s v="PROD0104"/>
    <n v="134.38999999999999"/>
    <n v="5"/>
    <d v="2023-08-01T00:00:00"/>
    <x v="2"/>
    <n v="1"/>
    <s v="No"/>
    <s v="In-store"/>
    <n v="671.94999999999993"/>
  </r>
  <r>
    <x v="553"/>
    <x v="1"/>
    <n v="57"/>
    <s v="Chicago"/>
    <s v="Divorced"/>
    <s v="Low"/>
    <x v="4"/>
    <s v="PROD0036"/>
    <n v="443.52"/>
    <n v="5"/>
    <d v="2024-10-12T00:00:00"/>
    <x v="0"/>
    <n v="1"/>
    <s v="Yes"/>
    <s v="In-store"/>
    <n v="2217.6"/>
  </r>
  <r>
    <x v="554"/>
    <x v="1"/>
    <n v="58"/>
    <s v="Phoenix"/>
    <s v="Divorced"/>
    <s v="Low"/>
    <x v="4"/>
    <s v="PROD0152"/>
    <n v="425.14"/>
    <n v="2"/>
    <d v="2024-06-24T00:00:00"/>
    <x v="0"/>
    <n v="5"/>
    <s v="Yes"/>
    <s v="Online"/>
    <n v="850.28"/>
  </r>
  <r>
    <x v="555"/>
    <x v="1"/>
    <n v="59"/>
    <s v="Houston"/>
    <s v="Single"/>
    <s v="Medium"/>
    <x v="4"/>
    <s v="PROD0101"/>
    <n v="634.46"/>
    <n v="4"/>
    <d v="2023-08-03T00:00:00"/>
    <x v="0"/>
    <n v="10"/>
    <s v="No"/>
    <s v="Online"/>
    <n v="2537.84"/>
  </r>
  <r>
    <x v="556"/>
    <x v="1"/>
    <n v="59"/>
    <s v="Miami"/>
    <s v="Single"/>
    <s v="Medium"/>
    <x v="4"/>
    <s v="PROD0122"/>
    <n v="976.69"/>
    <n v="4"/>
    <d v="2023-04-30T00:00:00"/>
    <x v="0"/>
    <n v="1"/>
    <s v="Yes"/>
    <s v="Online"/>
    <n v="3906.76"/>
  </r>
  <r>
    <x v="557"/>
    <x v="1"/>
    <n v="65"/>
    <s v="Seattle"/>
    <s v="Single"/>
    <s v="Medium"/>
    <x v="4"/>
    <s v="PROD0191"/>
    <n v="586.61"/>
    <n v="4"/>
    <d v="2024-01-20T00:00:00"/>
    <x v="3"/>
    <n v="10"/>
    <s v="No"/>
    <s v="Online"/>
    <n v="2346.44"/>
  </r>
  <r>
    <x v="558"/>
    <x v="1"/>
    <n v="66"/>
    <s v="Chicago"/>
    <s v="Divorced"/>
    <s v="Medium"/>
    <x v="4"/>
    <s v="PROD0088"/>
    <n v="489.33"/>
    <n v="5"/>
    <d v="2024-10-23T00:00:00"/>
    <x v="2"/>
    <n v="2"/>
    <s v="No"/>
    <s v="Online"/>
    <n v="2446.65"/>
  </r>
  <r>
    <x v="559"/>
    <x v="1"/>
    <n v="67"/>
    <s v="Miami"/>
    <s v="Divorced"/>
    <s v="Medium"/>
    <x v="4"/>
    <s v="PROD0144"/>
    <n v="424.51"/>
    <n v="4"/>
    <d v="2023-03-09T00:00:00"/>
    <x v="3"/>
    <n v="5"/>
    <s v="No"/>
    <s v="In-store"/>
    <n v="1698.04"/>
  </r>
  <r>
    <x v="560"/>
    <x v="1"/>
    <n v="68"/>
    <s v="Los Angeles"/>
    <s v="Single"/>
    <s v="Medium"/>
    <x v="4"/>
    <s v="PROD0095"/>
    <n v="512.67999999999995"/>
    <n v="3"/>
    <d v="2023-04-01T00:00:00"/>
    <x v="2"/>
    <n v="9"/>
    <s v="Yes"/>
    <s v="In-store"/>
    <n v="1538.04"/>
  </r>
  <r>
    <x v="561"/>
    <x v="1"/>
    <n v="68"/>
    <s v="Boston"/>
    <s v="Married"/>
    <s v="Medium"/>
    <x v="4"/>
    <s v="PROD0079"/>
    <n v="532.30999999999995"/>
    <n v="3"/>
    <d v="2023-12-08T00:00:00"/>
    <x v="2"/>
    <n v="6"/>
    <s v="No"/>
    <s v="Online"/>
    <n v="1596.9299999999998"/>
  </r>
  <r>
    <x v="562"/>
    <x v="1"/>
    <n v="68"/>
    <s v="Houston"/>
    <s v="Divorced"/>
    <s v="Medium"/>
    <x v="4"/>
    <s v="PROD0122"/>
    <n v="627.27"/>
    <n v="2"/>
    <d v="2023-05-13T00:00:00"/>
    <x v="3"/>
    <n v="10"/>
    <s v="No"/>
    <s v="In-store"/>
    <n v="1254.54"/>
  </r>
  <r>
    <x v="563"/>
    <x v="1"/>
    <n v="68"/>
    <s v="Seattle"/>
    <s v="Single"/>
    <s v="Medium"/>
    <x v="4"/>
    <s v="PROD0149"/>
    <n v="877.15"/>
    <n v="5"/>
    <d v="2024-05-22T00:00:00"/>
    <x v="3"/>
    <n v="1"/>
    <s v="No"/>
    <s v="In-store"/>
    <n v="4385.75"/>
  </r>
  <r>
    <x v="564"/>
    <x v="1"/>
    <n v="68"/>
    <s v="New York"/>
    <s v="Divorced"/>
    <s v="Medium"/>
    <x v="4"/>
    <s v="PROD0003"/>
    <n v="963.11"/>
    <n v="2"/>
    <d v="2023-11-25T00:00:00"/>
    <x v="1"/>
    <n v="6"/>
    <s v="Yes"/>
    <s v="Online"/>
    <n v="1926.22"/>
  </r>
  <r>
    <x v="565"/>
    <x v="1"/>
    <n v="18"/>
    <s v="Seattle"/>
    <s v="Single"/>
    <s v="Medium"/>
    <x v="5"/>
    <s v="PROD0095"/>
    <n v="900.26"/>
    <n v="3"/>
    <d v="2023-11-17T00:00:00"/>
    <x v="3"/>
    <n v="3"/>
    <s v="Yes"/>
    <s v="Online"/>
    <n v="2700.7799999999997"/>
  </r>
  <r>
    <x v="566"/>
    <x v="1"/>
    <n v="21"/>
    <s v="Seattle"/>
    <s v="Divorced"/>
    <s v="Low"/>
    <x v="5"/>
    <s v="PROD0069"/>
    <n v="836.62"/>
    <n v="4"/>
    <d v="2023-08-09T00:00:00"/>
    <x v="3"/>
    <n v="5"/>
    <s v="No"/>
    <s v="In-store"/>
    <n v="3346.48"/>
  </r>
  <r>
    <x v="567"/>
    <x v="1"/>
    <n v="23"/>
    <s v="Phoenix"/>
    <s v="Divorced"/>
    <s v="Medium"/>
    <x v="5"/>
    <s v="PROD0078"/>
    <n v="361.25"/>
    <n v="3"/>
    <d v="2024-08-08T00:00:00"/>
    <x v="3"/>
    <n v="10"/>
    <s v="Yes"/>
    <s v="In-store"/>
    <n v="1083.75"/>
  </r>
  <r>
    <x v="568"/>
    <x v="1"/>
    <n v="25"/>
    <s v="New York"/>
    <s v="Single"/>
    <s v="Medium"/>
    <x v="5"/>
    <s v="PROD0168"/>
    <n v="496.11"/>
    <n v="3"/>
    <d v="2024-10-01T00:00:00"/>
    <x v="1"/>
    <n v="8"/>
    <s v="No"/>
    <s v="Online"/>
    <n v="1488.33"/>
  </r>
  <r>
    <x v="569"/>
    <x v="1"/>
    <n v="26"/>
    <s v="Boston"/>
    <s v="Divorced"/>
    <s v="Low"/>
    <x v="5"/>
    <s v="PROD0115"/>
    <n v="796.07"/>
    <n v="1"/>
    <d v="2024-09-06T00:00:00"/>
    <x v="3"/>
    <n v="7"/>
    <s v="No"/>
    <s v="In-store"/>
    <n v="796.07"/>
  </r>
  <r>
    <x v="570"/>
    <x v="1"/>
    <n v="27"/>
    <s v="Seattle"/>
    <s v="Single"/>
    <s v="Low"/>
    <x v="5"/>
    <s v="PROD0001"/>
    <n v="341.1"/>
    <n v="2"/>
    <d v="2024-05-02T00:00:00"/>
    <x v="2"/>
    <n v="7"/>
    <s v="No"/>
    <s v="Online"/>
    <n v="682.2"/>
  </r>
  <r>
    <x v="571"/>
    <x v="1"/>
    <n v="27"/>
    <s v="Boston"/>
    <s v="Single"/>
    <s v="High"/>
    <x v="5"/>
    <s v="PROD0003"/>
    <n v="686.28"/>
    <n v="5"/>
    <d v="2023-04-21T00:00:00"/>
    <x v="0"/>
    <n v="3"/>
    <s v="No"/>
    <s v="In-store"/>
    <n v="3431.3999999999996"/>
  </r>
  <r>
    <x v="572"/>
    <x v="1"/>
    <n v="28"/>
    <s v="Houston"/>
    <s v="Single"/>
    <s v="Medium"/>
    <x v="5"/>
    <s v="PROD0100"/>
    <n v="74.62"/>
    <n v="5"/>
    <d v="2024-08-24T00:00:00"/>
    <x v="2"/>
    <n v="8"/>
    <s v="No"/>
    <s v="Online"/>
    <n v="373.1"/>
  </r>
  <r>
    <x v="573"/>
    <x v="1"/>
    <n v="28"/>
    <s v="Seattle"/>
    <s v="Married"/>
    <s v="Medium"/>
    <x v="5"/>
    <s v="PROD0035"/>
    <n v="78.349999999999994"/>
    <n v="3"/>
    <d v="2024-10-22T00:00:00"/>
    <x v="1"/>
    <n v="10"/>
    <s v="No"/>
    <s v="Online"/>
    <n v="235.04999999999998"/>
  </r>
  <r>
    <x v="574"/>
    <x v="1"/>
    <n v="28"/>
    <s v="New York"/>
    <s v="Married"/>
    <s v="High"/>
    <x v="5"/>
    <s v="PROD0068"/>
    <n v="286.33999999999997"/>
    <n v="3"/>
    <d v="2023-12-23T00:00:00"/>
    <x v="2"/>
    <n v="1"/>
    <s v="No"/>
    <s v="In-store"/>
    <n v="859.02"/>
  </r>
  <r>
    <x v="575"/>
    <x v="1"/>
    <n v="28"/>
    <s v="Seattle"/>
    <s v="Married"/>
    <s v="High"/>
    <x v="5"/>
    <s v="PROD0036"/>
    <n v="739.76"/>
    <n v="4"/>
    <d v="2023-09-30T00:00:00"/>
    <x v="3"/>
    <n v="1"/>
    <s v="Yes"/>
    <s v="Online"/>
    <n v="2959.04"/>
  </r>
  <r>
    <x v="576"/>
    <x v="1"/>
    <n v="28"/>
    <s v="Phoenix"/>
    <s v="Single"/>
    <s v="Medium"/>
    <x v="5"/>
    <s v="PROD0159"/>
    <n v="777.75"/>
    <n v="5"/>
    <d v="2023-12-16T00:00:00"/>
    <x v="3"/>
    <n v="3"/>
    <s v="No"/>
    <s v="Online"/>
    <n v="3888.75"/>
  </r>
  <r>
    <x v="577"/>
    <x v="1"/>
    <n v="30"/>
    <s v="Miami"/>
    <s v="Single"/>
    <s v="Low"/>
    <x v="5"/>
    <s v="PROD0026"/>
    <n v="735.83"/>
    <n v="4"/>
    <d v="2024-08-06T00:00:00"/>
    <x v="3"/>
    <n v="7"/>
    <s v="Yes"/>
    <s v="In-store"/>
    <n v="2943.32"/>
  </r>
  <r>
    <x v="578"/>
    <x v="1"/>
    <n v="31"/>
    <s v="Phoenix"/>
    <s v="Single"/>
    <s v="Medium"/>
    <x v="5"/>
    <s v="PROD0014"/>
    <n v="838.01"/>
    <n v="5"/>
    <d v="2023-07-20T00:00:00"/>
    <x v="0"/>
    <n v="7"/>
    <s v="Yes"/>
    <s v="In-store"/>
    <n v="4190.05"/>
  </r>
  <r>
    <x v="579"/>
    <x v="1"/>
    <n v="34"/>
    <s v="Miami"/>
    <s v="Divorced"/>
    <s v="Medium"/>
    <x v="5"/>
    <s v="PROD0060"/>
    <n v="463.78"/>
    <n v="5"/>
    <d v="2024-02-16T00:00:00"/>
    <x v="2"/>
    <n v="1"/>
    <s v="No"/>
    <s v="Online"/>
    <n v="2318.8999999999996"/>
  </r>
  <r>
    <x v="580"/>
    <x v="1"/>
    <n v="35"/>
    <s v="Boston"/>
    <s v="Single"/>
    <s v="Medium"/>
    <x v="5"/>
    <s v="PROD0015"/>
    <n v="587.47"/>
    <n v="1"/>
    <d v="2024-10-07T00:00:00"/>
    <x v="1"/>
    <n v="4"/>
    <s v="Yes"/>
    <s v="Online"/>
    <n v="587.47"/>
  </r>
  <r>
    <x v="581"/>
    <x v="1"/>
    <n v="35"/>
    <s v="Phoenix"/>
    <s v="Divorced"/>
    <s v="Low"/>
    <x v="5"/>
    <s v="PROD0147"/>
    <n v="785.67"/>
    <n v="3"/>
    <d v="2024-01-09T00:00:00"/>
    <x v="3"/>
    <n v="8"/>
    <s v="Yes"/>
    <s v="In-store"/>
    <n v="2357.0099999999998"/>
  </r>
  <r>
    <x v="582"/>
    <x v="1"/>
    <n v="36"/>
    <s v="New York"/>
    <s v="Divorced"/>
    <s v="Medium"/>
    <x v="5"/>
    <s v="PROD0045"/>
    <n v="612.13"/>
    <n v="3"/>
    <d v="2024-07-28T00:00:00"/>
    <x v="1"/>
    <n v="5"/>
    <s v="No"/>
    <s v="Online"/>
    <n v="1836.3899999999999"/>
  </r>
  <r>
    <x v="583"/>
    <x v="1"/>
    <n v="37"/>
    <s v="Houston"/>
    <s v="Single"/>
    <s v="Low"/>
    <x v="5"/>
    <s v="PROD0092"/>
    <n v="151.38999999999999"/>
    <n v="3"/>
    <d v="2024-05-17T00:00:00"/>
    <x v="1"/>
    <n v="8"/>
    <s v="No"/>
    <s v="Online"/>
    <n v="454.16999999999996"/>
  </r>
  <r>
    <x v="584"/>
    <x v="1"/>
    <n v="37"/>
    <s v="Phoenix"/>
    <s v="Married"/>
    <s v="High"/>
    <x v="5"/>
    <s v="PROD0184"/>
    <n v="555.05999999999995"/>
    <n v="3"/>
    <d v="2023-01-06T00:00:00"/>
    <x v="3"/>
    <n v="6"/>
    <s v="No"/>
    <s v="In-store"/>
    <n v="1665.1799999999998"/>
  </r>
  <r>
    <x v="585"/>
    <x v="1"/>
    <n v="38"/>
    <s v="Seattle"/>
    <s v="Married"/>
    <s v="Low"/>
    <x v="5"/>
    <s v="PROD0016"/>
    <n v="236.05"/>
    <n v="2"/>
    <d v="2024-10-20T00:00:00"/>
    <x v="1"/>
    <n v="4"/>
    <s v="No"/>
    <s v="In-store"/>
    <n v="472.1"/>
  </r>
  <r>
    <x v="586"/>
    <x v="1"/>
    <n v="39"/>
    <s v="Houston"/>
    <s v="Married"/>
    <s v="Medium"/>
    <x v="5"/>
    <s v="PROD0154"/>
    <n v="910.83"/>
    <n v="1"/>
    <d v="2023-09-19T00:00:00"/>
    <x v="2"/>
    <n v="10"/>
    <s v="Yes"/>
    <s v="Online"/>
    <n v="910.83"/>
  </r>
  <r>
    <x v="587"/>
    <x v="1"/>
    <n v="41"/>
    <s v="Los Angeles"/>
    <s v="Single"/>
    <s v="Medium"/>
    <x v="5"/>
    <s v="PROD0042"/>
    <n v="119.5"/>
    <n v="5"/>
    <d v="2024-02-08T00:00:00"/>
    <x v="1"/>
    <n v="6"/>
    <s v="No"/>
    <s v="In-store"/>
    <n v="597.5"/>
  </r>
  <r>
    <x v="588"/>
    <x v="1"/>
    <n v="42"/>
    <s v="Boston"/>
    <s v="Divorced"/>
    <s v="Medium"/>
    <x v="5"/>
    <s v="PROD0071"/>
    <n v="66.819999999999993"/>
    <n v="1"/>
    <d v="2024-07-30T00:00:00"/>
    <x v="3"/>
    <n v="5"/>
    <s v="Yes"/>
    <s v="Online"/>
    <n v="66.819999999999993"/>
  </r>
  <r>
    <x v="589"/>
    <x v="1"/>
    <n v="45"/>
    <s v="Phoenix"/>
    <s v="Single"/>
    <s v="Medium"/>
    <x v="5"/>
    <s v="PROD0101"/>
    <n v="251.56"/>
    <n v="3"/>
    <d v="2024-05-06T00:00:00"/>
    <x v="2"/>
    <n v="6"/>
    <s v="No"/>
    <s v="In-store"/>
    <n v="754.68000000000006"/>
  </r>
  <r>
    <x v="590"/>
    <x v="1"/>
    <n v="46"/>
    <s v="Boston"/>
    <s v="Divorced"/>
    <s v="Medium"/>
    <x v="5"/>
    <s v="PROD0105"/>
    <n v="270.92"/>
    <n v="1"/>
    <d v="2024-10-14T00:00:00"/>
    <x v="0"/>
    <n v="5"/>
    <s v="No"/>
    <s v="Online"/>
    <n v="270.92"/>
  </r>
  <r>
    <x v="591"/>
    <x v="1"/>
    <n v="46"/>
    <s v="Boston"/>
    <s v="Single"/>
    <s v="Low"/>
    <x v="5"/>
    <s v="PROD0051"/>
    <n v="894.99"/>
    <n v="4"/>
    <d v="2023-07-12T00:00:00"/>
    <x v="3"/>
    <n v="7"/>
    <s v="No"/>
    <s v="Online"/>
    <n v="3579.96"/>
  </r>
  <r>
    <x v="592"/>
    <x v="1"/>
    <n v="46"/>
    <s v="Houston"/>
    <s v="Divorced"/>
    <s v="Medium"/>
    <x v="5"/>
    <s v="PROD0179"/>
    <n v="982.66"/>
    <n v="3"/>
    <d v="2023-05-23T00:00:00"/>
    <x v="0"/>
    <n v="8"/>
    <s v="Yes"/>
    <s v="Online"/>
    <n v="2947.98"/>
  </r>
  <r>
    <x v="593"/>
    <x v="1"/>
    <n v="49"/>
    <s v="Miami"/>
    <s v="Single"/>
    <s v="Medium"/>
    <x v="5"/>
    <s v="PROD0140"/>
    <n v="259.64999999999998"/>
    <n v="2"/>
    <d v="2024-06-04T00:00:00"/>
    <x v="0"/>
    <n v="7"/>
    <s v="No"/>
    <s v="In-store"/>
    <n v="519.29999999999995"/>
  </r>
  <r>
    <x v="594"/>
    <x v="1"/>
    <n v="49"/>
    <s v="Houston"/>
    <s v="Single"/>
    <s v="High"/>
    <x v="5"/>
    <s v="PROD0053"/>
    <n v="764.27"/>
    <n v="5"/>
    <d v="2023-09-06T00:00:00"/>
    <x v="2"/>
    <n v="9"/>
    <s v="No"/>
    <s v="In-store"/>
    <n v="3821.35"/>
  </r>
  <r>
    <x v="595"/>
    <x v="1"/>
    <n v="50"/>
    <s v="Chicago"/>
    <s v="Single"/>
    <s v="Medium"/>
    <x v="5"/>
    <s v="PROD0154"/>
    <n v="626.98"/>
    <n v="5"/>
    <d v="2024-05-07T00:00:00"/>
    <x v="1"/>
    <n v="2"/>
    <s v="Yes"/>
    <s v="In-store"/>
    <n v="3134.9"/>
  </r>
  <r>
    <x v="596"/>
    <x v="1"/>
    <n v="51"/>
    <s v="Los Angeles"/>
    <s v="Divorced"/>
    <s v="Medium"/>
    <x v="5"/>
    <s v="PROD0057"/>
    <n v="190"/>
    <n v="3"/>
    <d v="2023-02-17T00:00:00"/>
    <x v="3"/>
    <n v="9"/>
    <s v="No"/>
    <s v="Online"/>
    <n v="570"/>
  </r>
  <r>
    <x v="597"/>
    <x v="1"/>
    <n v="52"/>
    <s v="Miami"/>
    <s v="Married"/>
    <s v="Medium"/>
    <x v="5"/>
    <s v="PROD0073"/>
    <n v="19.809999999999999"/>
    <n v="5"/>
    <d v="2023-06-09T00:00:00"/>
    <x v="3"/>
    <n v="4"/>
    <s v="Yes"/>
    <s v="Online"/>
    <n v="99.05"/>
  </r>
  <r>
    <x v="598"/>
    <x v="1"/>
    <n v="53"/>
    <s v="Chicago"/>
    <s v="Single"/>
    <s v="Low"/>
    <x v="5"/>
    <s v="PROD0145"/>
    <n v="419.38"/>
    <n v="4"/>
    <d v="2024-05-12T00:00:00"/>
    <x v="3"/>
    <n v="6"/>
    <s v="No"/>
    <s v="Online"/>
    <n v="1677.52"/>
  </r>
  <r>
    <x v="599"/>
    <x v="1"/>
    <n v="55"/>
    <s v="Seattle"/>
    <s v="Married"/>
    <s v="Medium"/>
    <x v="5"/>
    <s v="PROD0167"/>
    <n v="490.78"/>
    <n v="5"/>
    <d v="2024-08-23T00:00:00"/>
    <x v="1"/>
    <n v="4"/>
    <s v="No"/>
    <s v="Online"/>
    <n v="2453.8999999999996"/>
  </r>
  <r>
    <x v="600"/>
    <x v="1"/>
    <n v="56"/>
    <s v="Phoenix"/>
    <s v="Single"/>
    <s v="Low"/>
    <x v="5"/>
    <s v="PROD0131"/>
    <n v="767.66"/>
    <n v="4"/>
    <d v="2024-10-03T00:00:00"/>
    <x v="3"/>
    <n v="10"/>
    <s v="Yes"/>
    <s v="In-store"/>
    <n v="3070.64"/>
  </r>
  <r>
    <x v="601"/>
    <x v="1"/>
    <n v="57"/>
    <s v="Chicago"/>
    <s v="Divorced"/>
    <s v="High"/>
    <x v="5"/>
    <s v="PROD0101"/>
    <n v="77.5"/>
    <n v="3"/>
    <d v="2023-09-19T00:00:00"/>
    <x v="3"/>
    <n v="7"/>
    <s v="No"/>
    <s v="In-store"/>
    <n v="232.5"/>
  </r>
  <r>
    <x v="602"/>
    <x v="1"/>
    <n v="57"/>
    <s v="Boston"/>
    <s v="Married"/>
    <s v="Medium"/>
    <x v="5"/>
    <s v="PROD0088"/>
    <n v="474.35"/>
    <n v="1"/>
    <d v="2023-08-01T00:00:00"/>
    <x v="1"/>
    <n v="7"/>
    <s v="No"/>
    <s v="Online"/>
    <n v="474.35"/>
  </r>
  <r>
    <x v="603"/>
    <x v="1"/>
    <n v="57"/>
    <s v="Houston"/>
    <s v="Divorced"/>
    <s v="Low"/>
    <x v="5"/>
    <s v="PROD0036"/>
    <n v="638.55999999999995"/>
    <n v="1"/>
    <d v="2024-03-06T00:00:00"/>
    <x v="1"/>
    <n v="7"/>
    <s v="Yes"/>
    <s v="In-store"/>
    <n v="638.55999999999995"/>
  </r>
  <r>
    <x v="604"/>
    <x v="1"/>
    <n v="58"/>
    <s v="Seattle"/>
    <s v="Single"/>
    <s v="High"/>
    <x v="5"/>
    <s v="PROD0039"/>
    <n v="256.12"/>
    <n v="4"/>
    <d v="2023-03-24T00:00:00"/>
    <x v="2"/>
    <n v="5"/>
    <s v="No"/>
    <s v="Online"/>
    <n v="1024.48"/>
  </r>
  <r>
    <x v="605"/>
    <x v="1"/>
    <n v="58"/>
    <s v="Miami"/>
    <s v="Single"/>
    <s v="Medium"/>
    <x v="5"/>
    <s v="PROD0089"/>
    <n v="417.03"/>
    <n v="5"/>
    <d v="2023-05-04T00:00:00"/>
    <x v="0"/>
    <n v="7"/>
    <s v="No"/>
    <s v="Online"/>
    <n v="2085.1499999999996"/>
  </r>
  <r>
    <x v="606"/>
    <x v="1"/>
    <n v="60"/>
    <s v="Miami"/>
    <s v="Divorced"/>
    <s v="Medium"/>
    <x v="5"/>
    <s v="PROD0158"/>
    <n v="698.02"/>
    <n v="4"/>
    <d v="2023-02-18T00:00:00"/>
    <x v="0"/>
    <n v="9"/>
    <s v="Yes"/>
    <s v="In-store"/>
    <n v="2792.08"/>
  </r>
  <r>
    <x v="607"/>
    <x v="1"/>
    <n v="60"/>
    <s v="Los Angeles"/>
    <s v="Single"/>
    <s v="High"/>
    <x v="5"/>
    <s v="PROD0113"/>
    <n v="921.48"/>
    <n v="5"/>
    <d v="2024-01-28T00:00:00"/>
    <x v="1"/>
    <n v="3"/>
    <s v="No"/>
    <s v="Online"/>
    <n v="4607.3999999999996"/>
  </r>
  <r>
    <x v="608"/>
    <x v="1"/>
    <n v="62"/>
    <s v="Miami"/>
    <s v="Married"/>
    <s v="Low"/>
    <x v="5"/>
    <s v="PROD0140"/>
    <n v="10.93"/>
    <n v="2"/>
    <d v="2024-03-14T00:00:00"/>
    <x v="1"/>
    <n v="7"/>
    <s v="No"/>
    <s v="Online"/>
    <n v="21.86"/>
  </r>
  <r>
    <x v="609"/>
    <x v="1"/>
    <n v="62"/>
    <s v="Los Angeles"/>
    <s v="Divorced"/>
    <s v="Medium"/>
    <x v="5"/>
    <s v="PROD0173"/>
    <n v="886.39"/>
    <n v="4"/>
    <d v="2024-03-24T00:00:00"/>
    <x v="0"/>
    <n v="9"/>
    <s v="Yes"/>
    <s v="Online"/>
    <n v="3545.56"/>
  </r>
  <r>
    <x v="610"/>
    <x v="1"/>
    <n v="62"/>
    <s v="Los Angeles"/>
    <s v="Divorced"/>
    <s v="Low"/>
    <x v="5"/>
    <s v="PROD0073"/>
    <n v="953.77"/>
    <n v="2"/>
    <d v="2023-09-26T00:00:00"/>
    <x v="3"/>
    <n v="9"/>
    <s v="Yes"/>
    <s v="In-store"/>
    <n v="1907.54"/>
  </r>
  <r>
    <x v="611"/>
    <x v="1"/>
    <n v="64"/>
    <s v="Houston"/>
    <s v="Single"/>
    <s v="Medium"/>
    <x v="5"/>
    <s v="PROD0054"/>
    <n v="212.05"/>
    <n v="3"/>
    <d v="2023-08-20T00:00:00"/>
    <x v="3"/>
    <n v="9"/>
    <s v="Yes"/>
    <s v="Online"/>
    <n v="636.15000000000009"/>
  </r>
  <r>
    <x v="612"/>
    <x v="1"/>
    <n v="65"/>
    <s v="Miami"/>
    <s v="Divorced"/>
    <s v="High"/>
    <x v="5"/>
    <s v="PROD0132"/>
    <n v="441.88"/>
    <n v="3"/>
    <d v="2023-01-03T00:00:00"/>
    <x v="3"/>
    <n v="1"/>
    <s v="No"/>
    <s v="Online"/>
    <n v="1325.6399999999999"/>
  </r>
  <r>
    <x v="613"/>
    <x v="1"/>
    <n v="66"/>
    <s v="New York"/>
    <s v="Single"/>
    <s v="High"/>
    <x v="5"/>
    <s v="PROD0118"/>
    <n v="223.87"/>
    <n v="2"/>
    <d v="2023-11-02T00:00:00"/>
    <x v="1"/>
    <n v="1"/>
    <s v="Yes"/>
    <s v="Online"/>
    <n v="447.74"/>
  </r>
  <r>
    <x v="614"/>
    <x v="1"/>
    <n v="68"/>
    <s v="Phoenix"/>
    <s v="Single"/>
    <s v="Low"/>
    <x v="5"/>
    <s v="PROD0167"/>
    <n v="203.5"/>
    <n v="2"/>
    <d v="2024-07-20T00:00:00"/>
    <x v="1"/>
    <n v="3"/>
    <s v="No"/>
    <s v="Online"/>
    <n v="407"/>
  </r>
  <r>
    <x v="615"/>
    <x v="1"/>
    <n v="68"/>
    <s v="New York"/>
    <s v="Divorced"/>
    <s v="Medium"/>
    <x v="5"/>
    <s v="PROD0171"/>
    <n v="503.35"/>
    <n v="3"/>
    <d v="2024-03-15T00:00:00"/>
    <x v="1"/>
    <n v="9"/>
    <s v="No"/>
    <s v="Online"/>
    <n v="1510.0500000000002"/>
  </r>
  <r>
    <x v="616"/>
    <x v="1"/>
    <n v="18"/>
    <s v="Boston"/>
    <s v="Single"/>
    <s v="Medium"/>
    <x v="6"/>
    <s v="PROD0035"/>
    <n v="328.85"/>
    <n v="4"/>
    <d v="2023-12-23T00:00:00"/>
    <x v="1"/>
    <n v="7"/>
    <s v="Yes"/>
    <s v="In-store"/>
    <n v="1315.4"/>
  </r>
  <r>
    <x v="617"/>
    <x v="1"/>
    <n v="18"/>
    <s v="Seattle"/>
    <s v="Single"/>
    <s v="Low"/>
    <x v="6"/>
    <s v="PROD0122"/>
    <n v="679.85"/>
    <n v="1"/>
    <d v="2023-10-21T00:00:00"/>
    <x v="0"/>
    <n v="1"/>
    <s v="Yes"/>
    <s v="In-store"/>
    <n v="679.85"/>
  </r>
  <r>
    <x v="618"/>
    <x v="1"/>
    <n v="18"/>
    <s v="Seattle"/>
    <s v="Single"/>
    <s v="Low"/>
    <x v="6"/>
    <s v="PROD0007"/>
    <n v="817.59"/>
    <n v="3"/>
    <d v="2024-02-03T00:00:00"/>
    <x v="0"/>
    <n v="2"/>
    <s v="Yes"/>
    <s v="Online"/>
    <n v="2452.77"/>
  </r>
  <r>
    <x v="619"/>
    <x v="1"/>
    <n v="19"/>
    <s v="Houston"/>
    <s v="Single"/>
    <s v="Medium"/>
    <x v="6"/>
    <s v="PROD0166"/>
    <n v="176.14"/>
    <n v="1"/>
    <d v="2023-05-25T00:00:00"/>
    <x v="0"/>
    <n v="10"/>
    <s v="No"/>
    <s v="In-store"/>
    <n v="176.14"/>
  </r>
  <r>
    <x v="620"/>
    <x v="1"/>
    <n v="19"/>
    <s v="Seattle"/>
    <s v="Married"/>
    <s v="Medium"/>
    <x v="6"/>
    <s v="PROD0042"/>
    <n v="831.27"/>
    <n v="1"/>
    <d v="2024-10-23T00:00:00"/>
    <x v="2"/>
    <n v="2"/>
    <s v="No"/>
    <s v="In-store"/>
    <n v="831.27"/>
  </r>
  <r>
    <x v="621"/>
    <x v="1"/>
    <n v="19"/>
    <s v="Boston"/>
    <s v="Married"/>
    <s v="High"/>
    <x v="6"/>
    <s v="PROD0018"/>
    <n v="845.55"/>
    <n v="5"/>
    <d v="2024-03-13T00:00:00"/>
    <x v="1"/>
    <n v="2"/>
    <s v="Yes"/>
    <s v="In-store"/>
    <n v="4227.75"/>
  </r>
  <r>
    <x v="622"/>
    <x v="1"/>
    <n v="19"/>
    <s v="Phoenix"/>
    <s v="Single"/>
    <s v="Medium"/>
    <x v="6"/>
    <s v="PROD0043"/>
    <n v="981.45"/>
    <n v="4"/>
    <d v="2023-06-26T00:00:00"/>
    <x v="3"/>
    <n v="4"/>
    <s v="Yes"/>
    <s v="In-store"/>
    <n v="3925.8"/>
  </r>
  <r>
    <x v="623"/>
    <x v="1"/>
    <n v="20"/>
    <s v="Miami"/>
    <s v="Single"/>
    <s v="High"/>
    <x v="6"/>
    <s v="PROD0145"/>
    <n v="255.16"/>
    <n v="2"/>
    <d v="2023-02-08T00:00:00"/>
    <x v="0"/>
    <n v="3"/>
    <s v="No"/>
    <s v="Online"/>
    <n v="510.32"/>
  </r>
  <r>
    <x v="624"/>
    <x v="1"/>
    <n v="20"/>
    <s v="Miami"/>
    <s v="Married"/>
    <s v="Medium"/>
    <x v="6"/>
    <s v="PROD0155"/>
    <n v="432.63"/>
    <n v="1"/>
    <d v="2023-07-03T00:00:00"/>
    <x v="2"/>
    <n v="3"/>
    <s v="No"/>
    <s v="Online"/>
    <n v="432.63"/>
  </r>
  <r>
    <x v="625"/>
    <x v="1"/>
    <n v="20"/>
    <s v="Seattle"/>
    <s v="Married"/>
    <s v="Medium"/>
    <x v="6"/>
    <s v="PROD0030"/>
    <n v="649.85"/>
    <n v="4"/>
    <d v="2023-07-27T00:00:00"/>
    <x v="0"/>
    <n v="7"/>
    <s v="Yes"/>
    <s v="Online"/>
    <n v="2599.4"/>
  </r>
  <r>
    <x v="626"/>
    <x v="1"/>
    <n v="20"/>
    <s v="Seattle"/>
    <s v="Married"/>
    <s v="High"/>
    <x v="6"/>
    <s v="PROD0092"/>
    <n v="856"/>
    <n v="2"/>
    <d v="2024-08-02T00:00:00"/>
    <x v="3"/>
    <n v="9"/>
    <s v="No"/>
    <s v="Online"/>
    <n v="1712"/>
  </r>
  <r>
    <x v="627"/>
    <x v="1"/>
    <n v="21"/>
    <s v="Miami"/>
    <s v="Married"/>
    <s v="High"/>
    <x v="6"/>
    <s v="PROD0104"/>
    <n v="149.79"/>
    <n v="1"/>
    <d v="2023-10-30T00:00:00"/>
    <x v="1"/>
    <n v="3"/>
    <s v="No"/>
    <s v="In-store"/>
    <n v="149.79"/>
  </r>
  <r>
    <x v="628"/>
    <x v="1"/>
    <n v="22"/>
    <s v="Chicago"/>
    <s v="Married"/>
    <s v="Medium"/>
    <x v="6"/>
    <s v="PROD0060"/>
    <n v="10.220000000000001"/>
    <n v="5"/>
    <d v="2024-08-29T00:00:00"/>
    <x v="0"/>
    <n v="4"/>
    <s v="Yes"/>
    <s v="Online"/>
    <n v="51.1"/>
  </r>
  <r>
    <x v="629"/>
    <x v="1"/>
    <n v="22"/>
    <s v="Chicago"/>
    <s v="Married"/>
    <s v="Medium"/>
    <x v="6"/>
    <s v="PROD0142"/>
    <n v="798.48"/>
    <n v="2"/>
    <d v="2023-05-05T00:00:00"/>
    <x v="3"/>
    <n v="7"/>
    <s v="Yes"/>
    <s v="Online"/>
    <n v="1596.96"/>
  </r>
  <r>
    <x v="630"/>
    <x v="1"/>
    <n v="23"/>
    <s v="Houston"/>
    <s v="Single"/>
    <s v="Low"/>
    <x v="6"/>
    <s v="PROD0019"/>
    <n v="417"/>
    <n v="4"/>
    <d v="2024-06-13T00:00:00"/>
    <x v="1"/>
    <n v="7"/>
    <s v="No"/>
    <s v="In-store"/>
    <n v="1668"/>
  </r>
  <r>
    <x v="631"/>
    <x v="1"/>
    <n v="24"/>
    <s v="Seattle"/>
    <s v="Divorced"/>
    <s v="Medium"/>
    <x v="6"/>
    <s v="PROD0113"/>
    <n v="48.02"/>
    <n v="1"/>
    <d v="2024-09-01T00:00:00"/>
    <x v="1"/>
    <n v="7"/>
    <s v="No"/>
    <s v="In-store"/>
    <n v="48.02"/>
  </r>
  <r>
    <x v="632"/>
    <x v="1"/>
    <n v="24"/>
    <s v="New York"/>
    <s v="Single"/>
    <s v="Medium"/>
    <x v="6"/>
    <s v="PROD0181"/>
    <n v="524.12"/>
    <n v="1"/>
    <d v="2024-04-26T00:00:00"/>
    <x v="1"/>
    <n v="10"/>
    <s v="Yes"/>
    <s v="Online"/>
    <n v="524.12"/>
  </r>
  <r>
    <x v="633"/>
    <x v="1"/>
    <n v="24"/>
    <s v="Chicago"/>
    <s v="Single"/>
    <s v="Medium"/>
    <x v="6"/>
    <s v="PROD0179"/>
    <n v="849.99"/>
    <n v="5"/>
    <d v="2024-05-26T00:00:00"/>
    <x v="0"/>
    <n v="10"/>
    <s v="No"/>
    <s v="Online"/>
    <n v="4249.95"/>
  </r>
  <r>
    <x v="634"/>
    <x v="1"/>
    <n v="24"/>
    <s v="Seattle"/>
    <s v="Married"/>
    <s v="Low"/>
    <x v="6"/>
    <s v="PROD0175"/>
    <n v="967.6"/>
    <n v="2"/>
    <d v="2024-07-24T00:00:00"/>
    <x v="1"/>
    <n v="9"/>
    <s v="No"/>
    <s v="Online"/>
    <n v="1935.2"/>
  </r>
  <r>
    <x v="635"/>
    <x v="1"/>
    <n v="28"/>
    <s v="Boston"/>
    <s v="Single"/>
    <s v="Medium"/>
    <x v="6"/>
    <s v="PROD0133"/>
    <n v="679.43"/>
    <n v="3"/>
    <d v="2024-06-13T00:00:00"/>
    <x v="3"/>
    <n v="4"/>
    <s v="No"/>
    <s v="In-store"/>
    <n v="2038.29"/>
  </r>
  <r>
    <x v="636"/>
    <x v="1"/>
    <n v="29"/>
    <s v="New York"/>
    <s v="Divorced"/>
    <s v="Low"/>
    <x v="6"/>
    <s v="PROD0143"/>
    <n v="451.86"/>
    <n v="2"/>
    <d v="2024-06-15T00:00:00"/>
    <x v="0"/>
    <n v="6"/>
    <s v="Yes"/>
    <s v="In-store"/>
    <n v="903.72"/>
  </r>
  <r>
    <x v="637"/>
    <x v="1"/>
    <n v="31"/>
    <s v="Chicago"/>
    <s v="Married"/>
    <s v="Low"/>
    <x v="6"/>
    <s v="PROD0020"/>
    <n v="762.43"/>
    <n v="1"/>
    <d v="2023-08-25T00:00:00"/>
    <x v="0"/>
    <n v="1"/>
    <s v="Yes"/>
    <s v="In-store"/>
    <n v="762.43"/>
  </r>
  <r>
    <x v="638"/>
    <x v="1"/>
    <n v="32"/>
    <s v="New York"/>
    <s v="Single"/>
    <s v="Low"/>
    <x v="6"/>
    <s v="PROD0041"/>
    <n v="530.83000000000004"/>
    <n v="2"/>
    <d v="2023-01-17T00:00:00"/>
    <x v="2"/>
    <n v="4"/>
    <s v="No"/>
    <s v="In-store"/>
    <n v="1061.6600000000001"/>
  </r>
  <r>
    <x v="639"/>
    <x v="1"/>
    <n v="32"/>
    <s v="Seattle"/>
    <s v="Single"/>
    <s v="Low"/>
    <x v="6"/>
    <s v="PROD0119"/>
    <n v="629.79"/>
    <n v="5"/>
    <d v="2023-06-27T00:00:00"/>
    <x v="2"/>
    <n v="5"/>
    <s v="No"/>
    <s v="In-store"/>
    <n v="3148.95"/>
  </r>
  <r>
    <x v="640"/>
    <x v="1"/>
    <n v="36"/>
    <s v="Chicago"/>
    <s v="Single"/>
    <s v="Medium"/>
    <x v="6"/>
    <s v="PROD0173"/>
    <n v="464.75"/>
    <n v="3"/>
    <d v="2024-03-02T00:00:00"/>
    <x v="0"/>
    <n v="1"/>
    <s v="Yes"/>
    <s v="Online"/>
    <n v="1394.25"/>
  </r>
  <r>
    <x v="641"/>
    <x v="1"/>
    <n v="36"/>
    <s v="Houston"/>
    <s v="Single"/>
    <s v="Medium"/>
    <x v="6"/>
    <s v="PROD0153"/>
    <n v="710.21"/>
    <n v="2"/>
    <d v="2024-07-06T00:00:00"/>
    <x v="1"/>
    <n v="10"/>
    <s v="Yes"/>
    <s v="Online"/>
    <n v="1420.42"/>
  </r>
  <r>
    <x v="642"/>
    <x v="1"/>
    <n v="39"/>
    <s v="Phoenix"/>
    <s v="Single"/>
    <s v="Medium"/>
    <x v="6"/>
    <s v="PROD0056"/>
    <n v="194.72"/>
    <n v="3"/>
    <d v="2024-01-18T00:00:00"/>
    <x v="1"/>
    <n v="2"/>
    <s v="No"/>
    <s v="Online"/>
    <n v="584.16"/>
  </r>
  <r>
    <x v="643"/>
    <x v="1"/>
    <n v="39"/>
    <s v="New York"/>
    <s v="Divorced"/>
    <s v="High"/>
    <x v="6"/>
    <s v="PROD0048"/>
    <n v="860.01"/>
    <n v="4"/>
    <d v="2024-07-06T00:00:00"/>
    <x v="2"/>
    <n v="9"/>
    <s v="No"/>
    <s v="In-store"/>
    <n v="3440.04"/>
  </r>
  <r>
    <x v="644"/>
    <x v="1"/>
    <n v="40"/>
    <s v="Phoenix"/>
    <s v="Married"/>
    <s v="Medium"/>
    <x v="6"/>
    <s v="PROD0099"/>
    <n v="264.89999999999998"/>
    <n v="4"/>
    <d v="2024-02-07T00:00:00"/>
    <x v="1"/>
    <n v="6"/>
    <s v="No"/>
    <s v="In-store"/>
    <n v="1059.5999999999999"/>
  </r>
  <r>
    <x v="645"/>
    <x v="1"/>
    <n v="40"/>
    <s v="Boston"/>
    <s v="Single"/>
    <s v="Low"/>
    <x v="6"/>
    <s v="PROD0195"/>
    <n v="306.93"/>
    <n v="4"/>
    <d v="2023-12-12T00:00:00"/>
    <x v="3"/>
    <n v="4"/>
    <s v="No"/>
    <s v="In-store"/>
    <n v="1227.72"/>
  </r>
  <r>
    <x v="646"/>
    <x v="1"/>
    <n v="40"/>
    <s v="Miami"/>
    <s v="Single"/>
    <s v="Low"/>
    <x v="6"/>
    <s v="PROD0188"/>
    <n v="846.42"/>
    <n v="5"/>
    <d v="2024-09-26T00:00:00"/>
    <x v="2"/>
    <n v="8"/>
    <s v="No"/>
    <s v="Online"/>
    <n v="4232.0999999999995"/>
  </r>
  <r>
    <x v="647"/>
    <x v="1"/>
    <n v="41"/>
    <s v="Houston"/>
    <s v="Divorced"/>
    <s v="Low"/>
    <x v="6"/>
    <s v="PROD0091"/>
    <n v="651.80999999999995"/>
    <n v="5"/>
    <d v="2024-06-10T00:00:00"/>
    <x v="1"/>
    <n v="8"/>
    <s v="No"/>
    <s v="Online"/>
    <n v="3259.0499999999997"/>
  </r>
  <r>
    <x v="648"/>
    <x v="1"/>
    <n v="42"/>
    <s v="Seattle"/>
    <s v="Divorced"/>
    <s v="Medium"/>
    <x v="6"/>
    <s v="PROD0039"/>
    <n v="439.36"/>
    <n v="4"/>
    <d v="2024-08-11T00:00:00"/>
    <x v="0"/>
    <n v="6"/>
    <s v="No"/>
    <s v="Online"/>
    <n v="1757.44"/>
  </r>
  <r>
    <x v="649"/>
    <x v="1"/>
    <n v="43"/>
    <s v="Chicago"/>
    <s v="Married"/>
    <s v="Medium"/>
    <x v="6"/>
    <s v="PROD0129"/>
    <n v="306.89999999999998"/>
    <n v="5"/>
    <d v="2024-06-01T00:00:00"/>
    <x v="2"/>
    <n v="6"/>
    <s v="No"/>
    <s v="Online"/>
    <n v="1534.5"/>
  </r>
  <r>
    <x v="650"/>
    <x v="1"/>
    <n v="44"/>
    <s v="Phoenix"/>
    <s v="Single"/>
    <s v="Low"/>
    <x v="6"/>
    <s v="PROD0097"/>
    <n v="387.8"/>
    <n v="5"/>
    <d v="2024-01-05T00:00:00"/>
    <x v="2"/>
    <n v="5"/>
    <s v="No"/>
    <s v="Online"/>
    <n v="1939"/>
  </r>
  <r>
    <x v="651"/>
    <x v="1"/>
    <n v="44"/>
    <s v="Seattle"/>
    <s v="Divorced"/>
    <s v="Medium"/>
    <x v="6"/>
    <s v="PROD0096"/>
    <n v="802.14"/>
    <n v="5"/>
    <d v="2024-06-06T00:00:00"/>
    <x v="3"/>
    <n v="6"/>
    <s v="Yes"/>
    <s v="In-store"/>
    <n v="4010.7"/>
  </r>
  <r>
    <x v="652"/>
    <x v="1"/>
    <n v="46"/>
    <s v="Chicago"/>
    <s v="Married"/>
    <s v="Medium"/>
    <x v="6"/>
    <s v="PROD0196"/>
    <n v="909.74"/>
    <n v="1"/>
    <d v="2023-02-15T00:00:00"/>
    <x v="2"/>
    <n v="7"/>
    <s v="Yes"/>
    <s v="Online"/>
    <n v="909.74"/>
  </r>
  <r>
    <x v="653"/>
    <x v="1"/>
    <n v="47"/>
    <s v="New York"/>
    <s v="Single"/>
    <s v="Medium"/>
    <x v="6"/>
    <s v="PROD0141"/>
    <n v="554.22"/>
    <n v="4"/>
    <d v="2024-02-08T00:00:00"/>
    <x v="3"/>
    <n v="1"/>
    <s v="No"/>
    <s v="Online"/>
    <n v="2216.88"/>
  </r>
  <r>
    <x v="654"/>
    <x v="1"/>
    <n v="48"/>
    <s v="Phoenix"/>
    <s v="Divorced"/>
    <s v="Medium"/>
    <x v="6"/>
    <s v="PROD0190"/>
    <n v="78.069999999999993"/>
    <n v="5"/>
    <d v="2023-07-13T00:00:00"/>
    <x v="3"/>
    <n v="2"/>
    <s v="No"/>
    <s v="Online"/>
    <n v="390.34999999999997"/>
  </r>
  <r>
    <x v="655"/>
    <x v="1"/>
    <n v="48"/>
    <s v="Miami"/>
    <s v="Divorced"/>
    <s v="Low"/>
    <x v="6"/>
    <s v="PROD0031"/>
    <n v="777.48"/>
    <n v="3"/>
    <d v="2024-06-23T00:00:00"/>
    <x v="1"/>
    <n v="8"/>
    <s v="No"/>
    <s v="Online"/>
    <n v="2332.44"/>
  </r>
  <r>
    <x v="656"/>
    <x v="1"/>
    <n v="50"/>
    <s v="Miami"/>
    <s v="Single"/>
    <s v="Medium"/>
    <x v="6"/>
    <s v="PROD0146"/>
    <n v="246.36"/>
    <n v="1"/>
    <d v="2024-10-04T00:00:00"/>
    <x v="1"/>
    <n v="6"/>
    <s v="Yes"/>
    <s v="Online"/>
    <n v="246.36"/>
  </r>
  <r>
    <x v="657"/>
    <x v="1"/>
    <n v="51"/>
    <s v="Miami"/>
    <s v="Divorced"/>
    <s v="Medium"/>
    <x v="6"/>
    <s v="PROD0076"/>
    <n v="473.04"/>
    <n v="4"/>
    <d v="2023-05-28T00:00:00"/>
    <x v="2"/>
    <n v="9"/>
    <s v="No"/>
    <s v="Online"/>
    <n v="1892.16"/>
  </r>
  <r>
    <x v="658"/>
    <x v="1"/>
    <n v="52"/>
    <s v="Chicago"/>
    <s v="Married"/>
    <s v="Medium"/>
    <x v="6"/>
    <s v="PROD0135"/>
    <n v="232.14"/>
    <n v="5"/>
    <d v="2024-06-03T00:00:00"/>
    <x v="1"/>
    <n v="1"/>
    <s v="No"/>
    <s v="Online"/>
    <n v="1160.6999999999998"/>
  </r>
  <r>
    <x v="659"/>
    <x v="1"/>
    <n v="52"/>
    <s v="Seattle"/>
    <s v="Single"/>
    <s v="Low"/>
    <x v="6"/>
    <s v="PROD0168"/>
    <n v="867.38"/>
    <n v="2"/>
    <d v="2023-07-25T00:00:00"/>
    <x v="1"/>
    <n v="10"/>
    <s v="No"/>
    <s v="In-store"/>
    <n v="1734.76"/>
  </r>
  <r>
    <x v="660"/>
    <x v="1"/>
    <n v="53"/>
    <s v="Los Angeles"/>
    <s v="Single"/>
    <s v="Medium"/>
    <x v="6"/>
    <s v="PROD0060"/>
    <n v="961.8"/>
    <n v="5"/>
    <d v="2023-02-12T00:00:00"/>
    <x v="2"/>
    <n v="9"/>
    <s v="No"/>
    <s v="In-store"/>
    <n v="4809"/>
  </r>
  <r>
    <x v="661"/>
    <x v="1"/>
    <n v="54"/>
    <s v="Houston"/>
    <s v="Divorced"/>
    <s v="Low"/>
    <x v="6"/>
    <s v="PROD0094"/>
    <n v="925.4"/>
    <n v="5"/>
    <d v="2024-08-25T00:00:00"/>
    <x v="2"/>
    <n v="10"/>
    <s v="Yes"/>
    <s v="Online"/>
    <n v="4627"/>
  </r>
  <r>
    <x v="662"/>
    <x v="1"/>
    <n v="55"/>
    <s v="Phoenix"/>
    <s v="Married"/>
    <s v="High"/>
    <x v="6"/>
    <s v="PROD0043"/>
    <n v="920.02"/>
    <n v="5"/>
    <d v="2023-03-14T00:00:00"/>
    <x v="1"/>
    <n v="4"/>
    <s v="No"/>
    <s v="Online"/>
    <n v="4600.1000000000004"/>
  </r>
  <r>
    <x v="663"/>
    <x v="1"/>
    <n v="56"/>
    <s v="Houston"/>
    <s v="Single"/>
    <s v="Medium"/>
    <x v="6"/>
    <s v="PROD0127"/>
    <n v="233.53"/>
    <n v="5"/>
    <d v="2023-09-08T00:00:00"/>
    <x v="3"/>
    <n v="1"/>
    <s v="Yes"/>
    <s v="In-store"/>
    <n v="1167.6500000000001"/>
  </r>
  <r>
    <x v="664"/>
    <x v="1"/>
    <n v="57"/>
    <s v="Houston"/>
    <s v="Divorced"/>
    <s v="Low"/>
    <x v="6"/>
    <s v="PROD0029"/>
    <n v="320.57"/>
    <n v="4"/>
    <d v="2023-02-24T00:00:00"/>
    <x v="1"/>
    <n v="1"/>
    <s v="No"/>
    <s v="Online"/>
    <n v="1282.28"/>
  </r>
  <r>
    <x v="665"/>
    <x v="1"/>
    <n v="57"/>
    <s v="Miami"/>
    <s v="Single"/>
    <s v="Low"/>
    <x v="6"/>
    <s v="PROD0002"/>
    <n v="572.59"/>
    <n v="5"/>
    <d v="2023-10-24T00:00:00"/>
    <x v="1"/>
    <n v="3"/>
    <s v="Yes"/>
    <s v="Online"/>
    <n v="2862.9500000000003"/>
  </r>
  <r>
    <x v="666"/>
    <x v="1"/>
    <n v="58"/>
    <s v="New York"/>
    <s v="Divorced"/>
    <s v="Low"/>
    <x v="6"/>
    <s v="PROD0111"/>
    <n v="282.35000000000002"/>
    <n v="4"/>
    <d v="2023-10-30T00:00:00"/>
    <x v="0"/>
    <n v="4"/>
    <s v="No"/>
    <s v="In-store"/>
    <n v="1129.4000000000001"/>
  </r>
  <r>
    <x v="667"/>
    <x v="1"/>
    <n v="60"/>
    <s v="New York"/>
    <s v="Divorced"/>
    <s v="Medium"/>
    <x v="6"/>
    <s v="PROD0046"/>
    <n v="476.91"/>
    <n v="4"/>
    <d v="2023-10-19T00:00:00"/>
    <x v="0"/>
    <n v="9"/>
    <s v="No"/>
    <s v="Online"/>
    <n v="1907.64"/>
  </r>
  <r>
    <x v="668"/>
    <x v="1"/>
    <n v="61"/>
    <s v="Houston"/>
    <s v="Single"/>
    <s v="Low"/>
    <x v="6"/>
    <s v="PROD0035"/>
    <n v="73.16"/>
    <n v="5"/>
    <d v="2023-09-07T00:00:00"/>
    <x v="0"/>
    <n v="1"/>
    <s v="No"/>
    <s v="In-store"/>
    <n v="365.79999999999995"/>
  </r>
  <r>
    <x v="669"/>
    <x v="1"/>
    <n v="61"/>
    <s v="Miami"/>
    <s v="Married"/>
    <s v="Low"/>
    <x v="6"/>
    <s v="PROD0155"/>
    <n v="311.85000000000002"/>
    <n v="2"/>
    <d v="2023-06-30T00:00:00"/>
    <x v="1"/>
    <n v="9"/>
    <s v="Yes"/>
    <s v="In-store"/>
    <n v="623.70000000000005"/>
  </r>
  <r>
    <x v="670"/>
    <x v="1"/>
    <n v="61"/>
    <s v="Seattle"/>
    <s v="Single"/>
    <s v="High"/>
    <x v="6"/>
    <s v="PROD0136"/>
    <n v="803.82"/>
    <n v="4"/>
    <d v="2023-04-18T00:00:00"/>
    <x v="3"/>
    <n v="8"/>
    <s v="Yes"/>
    <s v="Online"/>
    <n v="3215.28"/>
  </r>
  <r>
    <x v="671"/>
    <x v="1"/>
    <n v="63"/>
    <s v="Los Angeles"/>
    <s v="Single"/>
    <s v="Low"/>
    <x v="6"/>
    <s v="PROD0111"/>
    <n v="849.07"/>
    <n v="3"/>
    <d v="2023-11-20T00:00:00"/>
    <x v="0"/>
    <n v="10"/>
    <s v="No"/>
    <s v="Online"/>
    <n v="2547.21"/>
  </r>
  <r>
    <x v="672"/>
    <x v="1"/>
    <n v="63"/>
    <s v="Los Angeles"/>
    <s v="Married"/>
    <s v="Medium"/>
    <x v="6"/>
    <s v="PROD0080"/>
    <n v="966.89"/>
    <n v="2"/>
    <d v="2024-09-25T00:00:00"/>
    <x v="3"/>
    <n v="9"/>
    <s v="Yes"/>
    <s v="Online"/>
    <n v="1933.78"/>
  </r>
  <r>
    <x v="673"/>
    <x v="1"/>
    <n v="64"/>
    <s v="Chicago"/>
    <s v="Divorced"/>
    <s v="Medium"/>
    <x v="6"/>
    <s v="PROD0179"/>
    <n v="142.08000000000001"/>
    <n v="5"/>
    <d v="2023-11-16T00:00:00"/>
    <x v="1"/>
    <n v="8"/>
    <s v="No"/>
    <s v="Online"/>
    <n v="710.40000000000009"/>
  </r>
  <r>
    <x v="674"/>
    <x v="1"/>
    <n v="64"/>
    <s v="Miami"/>
    <s v="Married"/>
    <s v="Medium"/>
    <x v="6"/>
    <s v="PROD0031"/>
    <n v="148.06"/>
    <n v="1"/>
    <d v="2023-10-06T00:00:00"/>
    <x v="0"/>
    <n v="1"/>
    <s v="Yes"/>
    <s v="In-store"/>
    <n v="148.06"/>
  </r>
  <r>
    <x v="675"/>
    <x v="1"/>
    <n v="64"/>
    <s v="New York"/>
    <s v="Single"/>
    <s v="High"/>
    <x v="6"/>
    <s v="PROD0184"/>
    <n v="962.44"/>
    <n v="4"/>
    <d v="2023-02-20T00:00:00"/>
    <x v="0"/>
    <n v="8"/>
    <s v="No"/>
    <s v="Online"/>
    <n v="3849.76"/>
  </r>
  <r>
    <x v="676"/>
    <x v="1"/>
    <n v="65"/>
    <s v="New York"/>
    <s v="Single"/>
    <s v="Medium"/>
    <x v="6"/>
    <s v="PROD0171"/>
    <n v="392.19"/>
    <n v="1"/>
    <d v="2024-10-23T00:00:00"/>
    <x v="1"/>
    <n v="1"/>
    <s v="Yes"/>
    <s v="Online"/>
    <n v="392.19"/>
  </r>
  <r>
    <x v="677"/>
    <x v="1"/>
    <n v="66"/>
    <s v="Boston"/>
    <s v="Divorced"/>
    <s v="High"/>
    <x v="6"/>
    <s v="PROD0181"/>
    <n v="613.71"/>
    <n v="2"/>
    <d v="2023-05-09T00:00:00"/>
    <x v="3"/>
    <n v="8"/>
    <s v="Yes"/>
    <s v="In-store"/>
    <n v="1227.42"/>
  </r>
  <r>
    <x v="678"/>
    <x v="1"/>
    <n v="66"/>
    <s v="Phoenix"/>
    <s v="Married"/>
    <s v="High"/>
    <x v="6"/>
    <s v="PROD0042"/>
    <n v="744.21"/>
    <n v="5"/>
    <d v="2023-04-09T00:00:00"/>
    <x v="1"/>
    <n v="6"/>
    <s v="No"/>
    <s v="Online"/>
    <n v="3721.05"/>
  </r>
  <r>
    <x v="679"/>
    <x v="1"/>
    <n v="68"/>
    <s v="Houston"/>
    <s v="Divorced"/>
    <s v="Low"/>
    <x v="6"/>
    <s v="PROD0194"/>
    <n v="155.69"/>
    <n v="1"/>
    <d v="2023-08-18T00:00:00"/>
    <x v="2"/>
    <n v="4"/>
    <s v="Yes"/>
    <s v="Online"/>
    <n v="155.69"/>
  </r>
  <r>
    <x v="680"/>
    <x v="1"/>
    <n v="68"/>
    <s v="Phoenix"/>
    <s v="Married"/>
    <s v="Low"/>
    <x v="6"/>
    <s v="PROD0068"/>
    <n v="316.58999999999997"/>
    <n v="1"/>
    <d v="2024-08-01T00:00:00"/>
    <x v="0"/>
    <n v="10"/>
    <s v="No"/>
    <s v="Online"/>
    <n v="316.58999999999997"/>
  </r>
  <r>
    <x v="681"/>
    <x v="2"/>
    <n v="20"/>
    <s v="Los Angeles"/>
    <s v="Single"/>
    <s v="High"/>
    <x v="0"/>
    <s v="PROD0054"/>
    <n v="250.75"/>
    <n v="4"/>
    <d v="2024-01-13T00:00:00"/>
    <x v="1"/>
    <n v="8"/>
    <s v="No"/>
    <s v="Online"/>
    <n v="1003"/>
  </r>
  <r>
    <x v="682"/>
    <x v="2"/>
    <n v="21"/>
    <s v="Houston"/>
    <s v="Divorced"/>
    <s v="Medium"/>
    <x v="0"/>
    <s v="PROD0107"/>
    <n v="399.19"/>
    <n v="2"/>
    <d v="2023-07-31T00:00:00"/>
    <x v="1"/>
    <n v="2"/>
    <s v="No"/>
    <s v="In-store"/>
    <n v="798.38"/>
  </r>
  <r>
    <x v="683"/>
    <x v="2"/>
    <n v="21"/>
    <s v="Chicago"/>
    <s v="Divorced"/>
    <s v="Medium"/>
    <x v="0"/>
    <s v="PROD0199"/>
    <n v="599.41"/>
    <n v="5"/>
    <d v="2024-01-18T00:00:00"/>
    <x v="2"/>
    <n v="3"/>
    <s v="No"/>
    <s v="Online"/>
    <n v="2997.0499999999997"/>
  </r>
  <r>
    <x v="684"/>
    <x v="2"/>
    <n v="23"/>
    <s v="Los Angeles"/>
    <s v="Divorced"/>
    <s v="Medium"/>
    <x v="0"/>
    <s v="PROD0042"/>
    <n v="207.1"/>
    <n v="1"/>
    <d v="2023-07-13T00:00:00"/>
    <x v="3"/>
    <n v="1"/>
    <s v="No"/>
    <s v="Online"/>
    <n v="207.1"/>
  </r>
  <r>
    <x v="685"/>
    <x v="2"/>
    <n v="23"/>
    <s v="New York"/>
    <s v="Divorced"/>
    <s v="Medium"/>
    <x v="0"/>
    <s v="PROD0144"/>
    <n v="277.85000000000002"/>
    <n v="1"/>
    <d v="2023-06-06T00:00:00"/>
    <x v="2"/>
    <n v="4"/>
    <s v="No"/>
    <s v="Online"/>
    <n v="277.85000000000002"/>
  </r>
  <r>
    <x v="686"/>
    <x v="2"/>
    <n v="26"/>
    <s v="New York"/>
    <s v="Married"/>
    <s v="Low"/>
    <x v="0"/>
    <s v="PROD0141"/>
    <n v="345.44"/>
    <n v="3"/>
    <d v="2024-01-20T00:00:00"/>
    <x v="0"/>
    <n v="8"/>
    <s v="Yes"/>
    <s v="In-store"/>
    <n v="1036.32"/>
  </r>
  <r>
    <x v="687"/>
    <x v="2"/>
    <n v="26"/>
    <s v="Seattle"/>
    <s v="Divorced"/>
    <s v="Medium"/>
    <x v="0"/>
    <s v="PROD0016"/>
    <n v="522.83000000000004"/>
    <n v="3"/>
    <d v="2024-02-04T00:00:00"/>
    <x v="1"/>
    <n v="1"/>
    <s v="No"/>
    <s v="Online"/>
    <n v="1568.4900000000002"/>
  </r>
  <r>
    <x v="688"/>
    <x v="2"/>
    <n v="26"/>
    <s v="Chicago"/>
    <s v="Divorced"/>
    <s v="Medium"/>
    <x v="0"/>
    <s v="PROD0089"/>
    <n v="678.83"/>
    <n v="2"/>
    <d v="2024-09-21T00:00:00"/>
    <x v="3"/>
    <n v="4"/>
    <s v="Yes"/>
    <s v="Online"/>
    <n v="1357.66"/>
  </r>
  <r>
    <x v="689"/>
    <x v="2"/>
    <n v="26"/>
    <s v="New York"/>
    <s v="Single"/>
    <s v="Low"/>
    <x v="0"/>
    <s v="PROD0171"/>
    <n v="762.23"/>
    <n v="1"/>
    <d v="2024-08-06T00:00:00"/>
    <x v="1"/>
    <n v="10"/>
    <s v="No"/>
    <s v="Online"/>
    <n v="762.23"/>
  </r>
  <r>
    <x v="690"/>
    <x v="2"/>
    <n v="26"/>
    <s v="Chicago"/>
    <s v="Married"/>
    <s v="High"/>
    <x v="0"/>
    <s v="PROD0197"/>
    <n v="914.1"/>
    <n v="5"/>
    <d v="2024-06-13T00:00:00"/>
    <x v="3"/>
    <n v="8"/>
    <s v="Yes"/>
    <s v="Online"/>
    <n v="4570.5"/>
  </r>
  <r>
    <x v="691"/>
    <x v="2"/>
    <n v="27"/>
    <s v="Los Angeles"/>
    <s v="Divorced"/>
    <s v="Low"/>
    <x v="0"/>
    <s v="PROD0096"/>
    <n v="548.35"/>
    <n v="2"/>
    <d v="2024-07-15T00:00:00"/>
    <x v="2"/>
    <n v="10"/>
    <s v="No"/>
    <s v="In-store"/>
    <n v="1096.7"/>
  </r>
  <r>
    <x v="692"/>
    <x v="2"/>
    <n v="27"/>
    <s v="Seattle"/>
    <s v="Single"/>
    <s v="Low"/>
    <x v="0"/>
    <s v="PROD0030"/>
    <n v="845.44"/>
    <n v="4"/>
    <d v="2023-11-27T00:00:00"/>
    <x v="3"/>
    <n v="3"/>
    <s v="No"/>
    <s v="In-store"/>
    <n v="3381.76"/>
  </r>
  <r>
    <x v="693"/>
    <x v="2"/>
    <n v="28"/>
    <s v="Boston"/>
    <s v="Single"/>
    <s v="Medium"/>
    <x v="0"/>
    <s v="PROD0112"/>
    <n v="132.01"/>
    <n v="2"/>
    <d v="2024-05-02T00:00:00"/>
    <x v="1"/>
    <n v="3"/>
    <s v="No"/>
    <s v="In-store"/>
    <n v="264.02"/>
  </r>
  <r>
    <x v="694"/>
    <x v="2"/>
    <n v="29"/>
    <s v="Miami"/>
    <s v="Single"/>
    <s v="High"/>
    <x v="0"/>
    <s v="PROD0019"/>
    <n v="652.26"/>
    <n v="2"/>
    <d v="2024-05-26T00:00:00"/>
    <x v="1"/>
    <n v="2"/>
    <s v="No"/>
    <s v="Online"/>
    <n v="1304.52"/>
  </r>
  <r>
    <x v="695"/>
    <x v="2"/>
    <n v="31"/>
    <s v="Chicago"/>
    <s v="Married"/>
    <s v="Low"/>
    <x v="0"/>
    <s v="PROD0066"/>
    <n v="992.21"/>
    <n v="1"/>
    <d v="2024-07-04T00:00:00"/>
    <x v="2"/>
    <n v="9"/>
    <s v="No"/>
    <s v="Online"/>
    <n v="992.21"/>
  </r>
  <r>
    <x v="696"/>
    <x v="2"/>
    <n v="32"/>
    <s v="Seattle"/>
    <s v="Married"/>
    <s v="High"/>
    <x v="0"/>
    <s v="PROD0028"/>
    <n v="891.92"/>
    <n v="4"/>
    <d v="2024-04-15T00:00:00"/>
    <x v="3"/>
    <n v="10"/>
    <s v="Yes"/>
    <s v="Online"/>
    <n v="3567.68"/>
  </r>
  <r>
    <x v="697"/>
    <x v="2"/>
    <n v="32"/>
    <s v="Los Angeles"/>
    <s v="Single"/>
    <s v="Medium"/>
    <x v="0"/>
    <s v="PROD0176"/>
    <n v="988.24"/>
    <n v="3"/>
    <d v="2024-02-19T00:00:00"/>
    <x v="0"/>
    <n v="3"/>
    <s v="No"/>
    <s v="In-store"/>
    <n v="2964.7200000000003"/>
  </r>
  <r>
    <x v="698"/>
    <x v="2"/>
    <n v="34"/>
    <s v="Seattle"/>
    <s v="Married"/>
    <s v="Medium"/>
    <x v="0"/>
    <s v="PROD0127"/>
    <n v="49.4"/>
    <n v="2"/>
    <d v="2024-09-13T00:00:00"/>
    <x v="0"/>
    <n v="5"/>
    <s v="No"/>
    <s v="Online"/>
    <n v="98.8"/>
  </r>
  <r>
    <x v="699"/>
    <x v="2"/>
    <n v="35"/>
    <s v="Los Angeles"/>
    <s v="Single"/>
    <s v="Low"/>
    <x v="0"/>
    <s v="PROD0154"/>
    <n v="515.36"/>
    <n v="3"/>
    <d v="2024-01-04T00:00:00"/>
    <x v="2"/>
    <n v="4"/>
    <s v="No"/>
    <s v="Online"/>
    <n v="1546.08"/>
  </r>
  <r>
    <x v="700"/>
    <x v="2"/>
    <n v="36"/>
    <s v="Phoenix"/>
    <s v="Married"/>
    <s v="High"/>
    <x v="0"/>
    <s v="PROD0145"/>
    <n v="94.12"/>
    <n v="5"/>
    <d v="2024-09-07T00:00:00"/>
    <x v="1"/>
    <n v="5"/>
    <s v="Yes"/>
    <s v="Online"/>
    <n v="470.6"/>
  </r>
  <r>
    <x v="701"/>
    <x v="2"/>
    <n v="39"/>
    <s v="Chicago"/>
    <s v="Married"/>
    <s v="High"/>
    <x v="0"/>
    <s v="PROD0055"/>
    <n v="984.81"/>
    <n v="5"/>
    <d v="2024-09-05T00:00:00"/>
    <x v="2"/>
    <n v="10"/>
    <s v="Yes"/>
    <s v="Online"/>
    <n v="4924.0499999999993"/>
  </r>
  <r>
    <x v="702"/>
    <x v="2"/>
    <n v="40"/>
    <s v="Houston"/>
    <s v="Single"/>
    <s v="Medium"/>
    <x v="0"/>
    <s v="PROD0078"/>
    <n v="336.85"/>
    <n v="5"/>
    <d v="2023-05-11T00:00:00"/>
    <x v="0"/>
    <n v="9"/>
    <s v="No"/>
    <s v="In-store"/>
    <n v="1684.25"/>
  </r>
  <r>
    <x v="703"/>
    <x v="2"/>
    <n v="40"/>
    <s v="Houston"/>
    <s v="Single"/>
    <s v="Medium"/>
    <x v="0"/>
    <s v="PROD0162"/>
    <n v="807.12"/>
    <n v="1"/>
    <d v="2023-03-09T00:00:00"/>
    <x v="1"/>
    <n v="2"/>
    <s v="No"/>
    <s v="In-store"/>
    <n v="807.12"/>
  </r>
  <r>
    <x v="704"/>
    <x v="2"/>
    <n v="41"/>
    <s v="Phoenix"/>
    <s v="Single"/>
    <s v="High"/>
    <x v="0"/>
    <s v="PROD0021"/>
    <n v="878.35"/>
    <n v="3"/>
    <d v="2024-03-17T00:00:00"/>
    <x v="3"/>
    <n v="1"/>
    <s v="No"/>
    <s v="Online"/>
    <n v="2635.05"/>
  </r>
  <r>
    <x v="705"/>
    <x v="2"/>
    <n v="44"/>
    <s v="Houston"/>
    <s v="Single"/>
    <s v="Medium"/>
    <x v="0"/>
    <s v="PROD0020"/>
    <n v="613.59"/>
    <n v="1"/>
    <d v="2024-09-22T00:00:00"/>
    <x v="0"/>
    <n v="8"/>
    <s v="Yes"/>
    <s v="Online"/>
    <n v="613.59"/>
  </r>
  <r>
    <x v="706"/>
    <x v="2"/>
    <n v="44"/>
    <s v="Miami"/>
    <s v="Married"/>
    <s v="Low"/>
    <x v="0"/>
    <s v="PROD0007"/>
    <n v="823.62"/>
    <n v="5"/>
    <d v="2024-10-01T00:00:00"/>
    <x v="0"/>
    <n v="3"/>
    <s v="Yes"/>
    <s v="Online"/>
    <n v="4118.1000000000004"/>
  </r>
  <r>
    <x v="707"/>
    <x v="2"/>
    <n v="44"/>
    <s v="Seattle"/>
    <s v="Divorced"/>
    <s v="Low"/>
    <x v="0"/>
    <s v="PROD0123"/>
    <n v="889.31"/>
    <n v="1"/>
    <d v="2024-02-23T00:00:00"/>
    <x v="1"/>
    <n v="8"/>
    <s v="No"/>
    <s v="Online"/>
    <n v="889.31"/>
  </r>
  <r>
    <x v="708"/>
    <x v="2"/>
    <n v="45"/>
    <s v="Los Angeles"/>
    <s v="Single"/>
    <s v="Low"/>
    <x v="0"/>
    <s v="PROD0111"/>
    <n v="248.4"/>
    <n v="1"/>
    <d v="2023-12-11T00:00:00"/>
    <x v="0"/>
    <n v="6"/>
    <s v="No"/>
    <s v="In-store"/>
    <n v="248.4"/>
  </r>
  <r>
    <x v="709"/>
    <x v="2"/>
    <n v="45"/>
    <s v="Los Angeles"/>
    <s v="Single"/>
    <s v="Medium"/>
    <x v="0"/>
    <s v="PROD0183"/>
    <n v="296.83"/>
    <n v="4"/>
    <d v="2023-06-14T00:00:00"/>
    <x v="0"/>
    <n v="1"/>
    <s v="No"/>
    <s v="Online"/>
    <n v="1187.32"/>
  </r>
  <r>
    <x v="710"/>
    <x v="2"/>
    <n v="47"/>
    <s v="Phoenix"/>
    <s v="Married"/>
    <s v="Medium"/>
    <x v="0"/>
    <s v="PROD0033"/>
    <n v="286.22000000000003"/>
    <n v="2"/>
    <d v="2023-11-24T00:00:00"/>
    <x v="3"/>
    <n v="2"/>
    <s v="No"/>
    <s v="In-store"/>
    <n v="572.44000000000005"/>
  </r>
  <r>
    <x v="711"/>
    <x v="2"/>
    <n v="49"/>
    <s v="Miami"/>
    <s v="Married"/>
    <s v="High"/>
    <x v="0"/>
    <s v="PROD0052"/>
    <n v="987.49"/>
    <n v="1"/>
    <d v="2023-06-22T00:00:00"/>
    <x v="0"/>
    <n v="1"/>
    <s v="Yes"/>
    <s v="Online"/>
    <n v="987.49"/>
  </r>
  <r>
    <x v="712"/>
    <x v="2"/>
    <n v="50"/>
    <s v="Chicago"/>
    <s v="Divorced"/>
    <s v="Low"/>
    <x v="0"/>
    <s v="PROD0082"/>
    <n v="105.73"/>
    <n v="2"/>
    <d v="2024-10-01T00:00:00"/>
    <x v="1"/>
    <n v="7"/>
    <s v="No"/>
    <s v="In-store"/>
    <n v="211.46"/>
  </r>
  <r>
    <x v="713"/>
    <x v="2"/>
    <n v="50"/>
    <s v="Boston"/>
    <s v="Divorced"/>
    <s v="Medium"/>
    <x v="0"/>
    <s v="PROD0167"/>
    <n v="825.76"/>
    <n v="2"/>
    <d v="2023-04-25T00:00:00"/>
    <x v="0"/>
    <n v="9"/>
    <s v="Yes"/>
    <s v="Online"/>
    <n v="1651.52"/>
  </r>
  <r>
    <x v="714"/>
    <x v="2"/>
    <n v="53"/>
    <s v="Miami"/>
    <s v="Single"/>
    <s v="Medium"/>
    <x v="0"/>
    <s v="PROD0109"/>
    <n v="696.44"/>
    <n v="3"/>
    <d v="2023-04-03T00:00:00"/>
    <x v="2"/>
    <n v="6"/>
    <s v="No"/>
    <s v="In-store"/>
    <n v="2089.3200000000002"/>
  </r>
  <r>
    <x v="715"/>
    <x v="2"/>
    <n v="53"/>
    <s v="Phoenix"/>
    <s v="Married"/>
    <s v="Medium"/>
    <x v="0"/>
    <s v="PROD0037"/>
    <n v="809.88"/>
    <n v="1"/>
    <d v="2023-10-25T00:00:00"/>
    <x v="2"/>
    <n v="10"/>
    <s v="Yes"/>
    <s v="In-store"/>
    <n v="809.88"/>
  </r>
  <r>
    <x v="716"/>
    <x v="2"/>
    <n v="53"/>
    <s v="Houston"/>
    <s v="Single"/>
    <s v="Medium"/>
    <x v="0"/>
    <s v="PROD0109"/>
    <n v="885.63"/>
    <n v="3"/>
    <d v="2024-06-27T00:00:00"/>
    <x v="3"/>
    <n v="10"/>
    <s v="Yes"/>
    <s v="In-store"/>
    <n v="2656.89"/>
  </r>
  <r>
    <x v="717"/>
    <x v="2"/>
    <n v="53"/>
    <s v="Boston"/>
    <s v="Divorced"/>
    <s v="High"/>
    <x v="0"/>
    <s v="PROD0195"/>
    <n v="995.78"/>
    <n v="2"/>
    <d v="2023-04-26T00:00:00"/>
    <x v="0"/>
    <n v="5"/>
    <s v="No"/>
    <s v="In-store"/>
    <n v="1991.56"/>
  </r>
  <r>
    <x v="718"/>
    <x v="2"/>
    <n v="54"/>
    <s v="Chicago"/>
    <s v="Divorced"/>
    <s v="Low"/>
    <x v="0"/>
    <s v="PROD0099"/>
    <n v="266.2"/>
    <n v="4"/>
    <d v="2023-09-21T00:00:00"/>
    <x v="2"/>
    <n v="4"/>
    <s v="No"/>
    <s v="In-store"/>
    <n v="1064.8"/>
  </r>
  <r>
    <x v="719"/>
    <x v="2"/>
    <n v="54"/>
    <s v="Los Angeles"/>
    <s v="Married"/>
    <s v="Low"/>
    <x v="0"/>
    <s v="PROD0067"/>
    <n v="383.43"/>
    <n v="2"/>
    <d v="2023-08-30T00:00:00"/>
    <x v="0"/>
    <n v="10"/>
    <s v="Yes"/>
    <s v="Online"/>
    <n v="766.86"/>
  </r>
  <r>
    <x v="720"/>
    <x v="2"/>
    <n v="56"/>
    <s v="Houston"/>
    <s v="Divorced"/>
    <s v="Low"/>
    <x v="0"/>
    <s v="PROD0188"/>
    <n v="64.06"/>
    <n v="3"/>
    <d v="2023-04-12T00:00:00"/>
    <x v="2"/>
    <n v="7"/>
    <s v="No"/>
    <s v="Online"/>
    <n v="192.18"/>
  </r>
  <r>
    <x v="721"/>
    <x v="2"/>
    <n v="56"/>
    <s v="Los Angeles"/>
    <s v="Single"/>
    <s v="Low"/>
    <x v="0"/>
    <s v="PROD0109"/>
    <n v="821.43"/>
    <n v="1"/>
    <d v="2023-04-03T00:00:00"/>
    <x v="1"/>
    <n v="8"/>
    <s v="No"/>
    <s v="Online"/>
    <n v="821.43"/>
  </r>
  <r>
    <x v="722"/>
    <x v="2"/>
    <n v="57"/>
    <s v="Seattle"/>
    <s v="Divorced"/>
    <s v="Low"/>
    <x v="0"/>
    <s v="PROD0004"/>
    <n v="174.57"/>
    <n v="1"/>
    <d v="2024-08-08T00:00:00"/>
    <x v="3"/>
    <n v="9"/>
    <s v="Yes"/>
    <s v="Online"/>
    <n v="174.57"/>
  </r>
  <r>
    <x v="723"/>
    <x v="2"/>
    <n v="57"/>
    <s v="Seattle"/>
    <s v="Divorced"/>
    <s v="Medium"/>
    <x v="0"/>
    <s v="PROD0074"/>
    <n v="753.91"/>
    <n v="1"/>
    <d v="2023-02-09T00:00:00"/>
    <x v="3"/>
    <n v="2"/>
    <s v="Yes"/>
    <s v="Online"/>
    <n v="753.91"/>
  </r>
  <r>
    <x v="724"/>
    <x v="2"/>
    <n v="58"/>
    <s v="Phoenix"/>
    <s v="Married"/>
    <s v="Medium"/>
    <x v="0"/>
    <s v="PROD0008"/>
    <n v="15.99"/>
    <n v="2"/>
    <d v="2024-09-11T00:00:00"/>
    <x v="1"/>
    <n v="6"/>
    <s v="No"/>
    <s v="In-store"/>
    <n v="31.98"/>
  </r>
  <r>
    <x v="725"/>
    <x v="2"/>
    <n v="58"/>
    <s v="Chicago"/>
    <s v="Married"/>
    <s v="Medium"/>
    <x v="0"/>
    <s v="PROD0146"/>
    <n v="164.8"/>
    <n v="4"/>
    <d v="2023-02-24T00:00:00"/>
    <x v="1"/>
    <n v="5"/>
    <s v="Yes"/>
    <s v="Online"/>
    <n v="659.2"/>
  </r>
  <r>
    <x v="726"/>
    <x v="2"/>
    <n v="59"/>
    <s v="Houston"/>
    <s v="Divorced"/>
    <s v="Medium"/>
    <x v="0"/>
    <s v="PROD0170"/>
    <n v="245.91"/>
    <n v="1"/>
    <d v="2023-11-25T00:00:00"/>
    <x v="1"/>
    <n v="6"/>
    <s v="Yes"/>
    <s v="Online"/>
    <n v="245.91"/>
  </r>
  <r>
    <x v="727"/>
    <x v="2"/>
    <n v="61"/>
    <s v="Seattle"/>
    <s v="Divorced"/>
    <s v="Medium"/>
    <x v="0"/>
    <s v="PROD0065"/>
    <n v="982.91"/>
    <n v="2"/>
    <d v="2023-11-11T00:00:00"/>
    <x v="1"/>
    <n v="6"/>
    <s v="No"/>
    <s v="In-store"/>
    <n v="1965.82"/>
  </r>
  <r>
    <x v="728"/>
    <x v="2"/>
    <n v="62"/>
    <s v="Chicago"/>
    <s v="Single"/>
    <s v="Low"/>
    <x v="0"/>
    <s v="PROD0194"/>
    <n v="10.59"/>
    <n v="4"/>
    <d v="2024-06-07T00:00:00"/>
    <x v="1"/>
    <n v="5"/>
    <s v="No"/>
    <s v="In-store"/>
    <n v="42.36"/>
  </r>
  <r>
    <x v="729"/>
    <x v="2"/>
    <n v="63"/>
    <s v="Chicago"/>
    <s v="Single"/>
    <s v="Medium"/>
    <x v="0"/>
    <s v="PROD0090"/>
    <n v="339.1"/>
    <n v="2"/>
    <d v="2023-11-10T00:00:00"/>
    <x v="2"/>
    <n v="8"/>
    <s v="No"/>
    <s v="Online"/>
    <n v="678.2"/>
  </r>
  <r>
    <x v="730"/>
    <x v="2"/>
    <n v="63"/>
    <s v="New York"/>
    <s v="Single"/>
    <s v="Low"/>
    <x v="0"/>
    <s v="PROD0075"/>
    <n v="464.71"/>
    <n v="1"/>
    <d v="2024-01-28T00:00:00"/>
    <x v="1"/>
    <n v="7"/>
    <s v="No"/>
    <s v="In-store"/>
    <n v="464.71"/>
  </r>
  <r>
    <x v="731"/>
    <x v="2"/>
    <n v="66"/>
    <s v="Houston"/>
    <s v="Single"/>
    <s v="Low"/>
    <x v="0"/>
    <s v="PROD0147"/>
    <n v="410.92"/>
    <n v="2"/>
    <d v="2023-10-10T00:00:00"/>
    <x v="3"/>
    <n v="8"/>
    <s v="No"/>
    <s v="In-store"/>
    <n v="821.84"/>
  </r>
  <r>
    <x v="732"/>
    <x v="2"/>
    <n v="68"/>
    <s v="Seattle"/>
    <s v="Single"/>
    <s v="Low"/>
    <x v="0"/>
    <s v="PROD0075"/>
    <n v="128.19"/>
    <n v="3"/>
    <d v="2024-08-20T00:00:00"/>
    <x v="2"/>
    <n v="1"/>
    <s v="Yes"/>
    <s v="Online"/>
    <n v="384.57"/>
  </r>
  <r>
    <x v="733"/>
    <x v="2"/>
    <n v="68"/>
    <s v="New York"/>
    <s v="Divorced"/>
    <s v="Low"/>
    <x v="0"/>
    <s v="PROD0184"/>
    <n v="955.89"/>
    <n v="5"/>
    <d v="2024-10-10T00:00:00"/>
    <x v="2"/>
    <n v="4"/>
    <s v="Yes"/>
    <s v="Online"/>
    <n v="4779.45"/>
  </r>
  <r>
    <x v="734"/>
    <x v="2"/>
    <n v="19"/>
    <s v="Phoenix"/>
    <s v="Single"/>
    <s v="Low"/>
    <x v="1"/>
    <s v="PROD0016"/>
    <n v="256.3"/>
    <n v="3"/>
    <d v="2024-02-21T00:00:00"/>
    <x v="1"/>
    <n v="6"/>
    <s v="Yes"/>
    <s v="In-store"/>
    <n v="768.90000000000009"/>
  </r>
  <r>
    <x v="735"/>
    <x v="2"/>
    <n v="22"/>
    <s v="Los Angeles"/>
    <s v="Single"/>
    <s v="Medium"/>
    <x v="1"/>
    <s v="PROD0039"/>
    <n v="323.74"/>
    <n v="2"/>
    <d v="2024-07-31T00:00:00"/>
    <x v="1"/>
    <n v="10"/>
    <s v="Yes"/>
    <s v="Online"/>
    <n v="647.48"/>
  </r>
  <r>
    <x v="736"/>
    <x v="2"/>
    <n v="24"/>
    <s v="Los Angeles"/>
    <s v="Single"/>
    <s v="Medium"/>
    <x v="1"/>
    <s v="PROD0100"/>
    <n v="87.08"/>
    <n v="1"/>
    <d v="2023-03-25T00:00:00"/>
    <x v="3"/>
    <n v="1"/>
    <s v="No"/>
    <s v="Online"/>
    <n v="87.08"/>
  </r>
  <r>
    <x v="737"/>
    <x v="2"/>
    <n v="25"/>
    <s v="Houston"/>
    <s v="Married"/>
    <s v="High"/>
    <x v="1"/>
    <s v="PROD0027"/>
    <n v="58.51"/>
    <n v="3"/>
    <d v="2024-05-12T00:00:00"/>
    <x v="0"/>
    <n v="8"/>
    <s v="No"/>
    <s v="Online"/>
    <n v="175.53"/>
  </r>
  <r>
    <x v="738"/>
    <x v="2"/>
    <n v="26"/>
    <s v="Houston"/>
    <s v="Married"/>
    <s v="Low"/>
    <x v="1"/>
    <s v="PROD0053"/>
    <n v="142.36000000000001"/>
    <n v="2"/>
    <d v="2023-11-11T00:00:00"/>
    <x v="1"/>
    <n v="7"/>
    <s v="Yes"/>
    <s v="In-store"/>
    <n v="284.72000000000003"/>
  </r>
  <r>
    <x v="739"/>
    <x v="2"/>
    <n v="27"/>
    <s v="Los Angeles"/>
    <s v="Single"/>
    <s v="Medium"/>
    <x v="1"/>
    <s v="PROD0023"/>
    <n v="97.25"/>
    <n v="4"/>
    <d v="2023-02-18T00:00:00"/>
    <x v="1"/>
    <n v="6"/>
    <s v="Yes"/>
    <s v="Online"/>
    <n v="389"/>
  </r>
  <r>
    <x v="740"/>
    <x v="2"/>
    <n v="28"/>
    <s v="Seattle"/>
    <s v="Married"/>
    <s v="Medium"/>
    <x v="1"/>
    <s v="PROD0013"/>
    <n v="115.64"/>
    <n v="2"/>
    <d v="2023-10-22T00:00:00"/>
    <x v="0"/>
    <n v="9"/>
    <s v="No"/>
    <s v="In-store"/>
    <n v="231.28"/>
  </r>
  <r>
    <x v="741"/>
    <x v="2"/>
    <n v="29"/>
    <s v="Los Angeles"/>
    <s v="Single"/>
    <s v="Medium"/>
    <x v="1"/>
    <s v="PROD0123"/>
    <n v="765.88"/>
    <n v="3"/>
    <d v="2024-02-21T00:00:00"/>
    <x v="2"/>
    <n v="2"/>
    <s v="No"/>
    <s v="Online"/>
    <n v="2297.64"/>
  </r>
  <r>
    <x v="742"/>
    <x v="2"/>
    <n v="31"/>
    <s v="Phoenix"/>
    <s v="Married"/>
    <s v="Medium"/>
    <x v="1"/>
    <s v="PROD0130"/>
    <n v="242.41"/>
    <n v="3"/>
    <d v="2023-11-10T00:00:00"/>
    <x v="2"/>
    <n v="1"/>
    <s v="Yes"/>
    <s v="In-store"/>
    <n v="727.23"/>
  </r>
  <r>
    <x v="743"/>
    <x v="2"/>
    <n v="31"/>
    <s v="Phoenix"/>
    <s v="Single"/>
    <s v="Low"/>
    <x v="1"/>
    <s v="PROD0180"/>
    <n v="582.76"/>
    <n v="1"/>
    <d v="2024-08-18T00:00:00"/>
    <x v="0"/>
    <n v="1"/>
    <s v="No"/>
    <s v="In-store"/>
    <n v="582.76"/>
  </r>
  <r>
    <x v="744"/>
    <x v="2"/>
    <n v="31"/>
    <s v="Boston"/>
    <s v="Married"/>
    <s v="Medium"/>
    <x v="1"/>
    <s v="PROD0171"/>
    <n v="754.59"/>
    <n v="3"/>
    <d v="2024-01-29T00:00:00"/>
    <x v="2"/>
    <n v="7"/>
    <s v="Yes"/>
    <s v="Online"/>
    <n v="2263.77"/>
  </r>
  <r>
    <x v="745"/>
    <x v="2"/>
    <n v="33"/>
    <s v="Chicago"/>
    <s v="Single"/>
    <s v="Low"/>
    <x v="1"/>
    <s v="PROD0119"/>
    <n v="618.91999999999996"/>
    <n v="5"/>
    <d v="2024-10-17T00:00:00"/>
    <x v="0"/>
    <n v="2"/>
    <s v="No"/>
    <s v="Online"/>
    <n v="3094.6"/>
  </r>
  <r>
    <x v="746"/>
    <x v="2"/>
    <n v="34"/>
    <s v="Boston"/>
    <s v="Single"/>
    <s v="Medium"/>
    <x v="1"/>
    <s v="PROD0007"/>
    <n v="27.32"/>
    <n v="5"/>
    <d v="2023-08-07T00:00:00"/>
    <x v="3"/>
    <n v="8"/>
    <s v="No"/>
    <s v="In-store"/>
    <n v="136.6"/>
  </r>
  <r>
    <x v="747"/>
    <x v="2"/>
    <n v="34"/>
    <s v="Seattle"/>
    <s v="Single"/>
    <s v="Medium"/>
    <x v="1"/>
    <s v="PROD0162"/>
    <n v="304.67"/>
    <n v="2"/>
    <d v="2023-10-04T00:00:00"/>
    <x v="1"/>
    <n v="3"/>
    <s v="Yes"/>
    <s v="Online"/>
    <n v="609.34"/>
  </r>
  <r>
    <x v="748"/>
    <x v="2"/>
    <n v="34"/>
    <s v="Miami"/>
    <s v="Married"/>
    <s v="High"/>
    <x v="1"/>
    <s v="PROD0066"/>
    <n v="835.82"/>
    <n v="2"/>
    <d v="2023-07-18T00:00:00"/>
    <x v="1"/>
    <n v="9"/>
    <s v="No"/>
    <s v="In-store"/>
    <n v="1671.64"/>
  </r>
  <r>
    <x v="749"/>
    <x v="2"/>
    <n v="35"/>
    <s v="Chicago"/>
    <s v="Single"/>
    <s v="Medium"/>
    <x v="1"/>
    <s v="PROD0152"/>
    <n v="975.16"/>
    <n v="3"/>
    <d v="2023-10-04T00:00:00"/>
    <x v="1"/>
    <n v="1"/>
    <s v="No"/>
    <s v="Online"/>
    <n v="2925.48"/>
  </r>
  <r>
    <x v="750"/>
    <x v="2"/>
    <n v="37"/>
    <s v="Houston"/>
    <s v="Divorced"/>
    <s v="Medium"/>
    <x v="1"/>
    <s v="PROD0141"/>
    <n v="115.15"/>
    <n v="1"/>
    <d v="2024-01-02T00:00:00"/>
    <x v="2"/>
    <n v="7"/>
    <s v="No"/>
    <s v="Online"/>
    <n v="115.15"/>
  </r>
  <r>
    <x v="751"/>
    <x v="2"/>
    <n v="37"/>
    <s v="Boston"/>
    <s v="Single"/>
    <s v="Low"/>
    <x v="1"/>
    <s v="PROD0141"/>
    <n v="810.19"/>
    <n v="1"/>
    <d v="2023-11-11T00:00:00"/>
    <x v="3"/>
    <n v="3"/>
    <s v="No"/>
    <s v="In-store"/>
    <n v="810.19"/>
  </r>
  <r>
    <x v="752"/>
    <x v="2"/>
    <n v="40"/>
    <s v="New York"/>
    <s v="Married"/>
    <s v="Medium"/>
    <x v="1"/>
    <s v="PROD0020"/>
    <n v="558.45000000000005"/>
    <n v="5"/>
    <d v="2024-04-14T00:00:00"/>
    <x v="3"/>
    <n v="2"/>
    <s v="No"/>
    <s v="Online"/>
    <n v="2792.25"/>
  </r>
  <r>
    <x v="753"/>
    <x v="2"/>
    <n v="40"/>
    <s v="Houston"/>
    <s v="Single"/>
    <s v="Medium"/>
    <x v="1"/>
    <s v="PROD0172"/>
    <n v="783.96"/>
    <n v="4"/>
    <d v="2023-10-05T00:00:00"/>
    <x v="3"/>
    <n v="9"/>
    <s v="Yes"/>
    <s v="In-store"/>
    <n v="3135.84"/>
  </r>
  <r>
    <x v="754"/>
    <x v="2"/>
    <n v="42"/>
    <s v="Phoenix"/>
    <s v="Single"/>
    <s v="Medium"/>
    <x v="1"/>
    <s v="PROD0076"/>
    <n v="285.91000000000003"/>
    <n v="1"/>
    <d v="2024-04-22T00:00:00"/>
    <x v="2"/>
    <n v="3"/>
    <s v="No"/>
    <s v="Online"/>
    <n v="285.91000000000003"/>
  </r>
  <r>
    <x v="755"/>
    <x v="2"/>
    <n v="42"/>
    <s v="Phoenix"/>
    <s v="Single"/>
    <s v="Low"/>
    <x v="1"/>
    <s v="PROD0021"/>
    <n v="573.51"/>
    <n v="4"/>
    <d v="2024-03-04T00:00:00"/>
    <x v="1"/>
    <n v="2"/>
    <s v="Yes"/>
    <s v="Online"/>
    <n v="2294.04"/>
  </r>
  <r>
    <x v="756"/>
    <x v="2"/>
    <n v="42"/>
    <s v="Los Angeles"/>
    <s v="Divorced"/>
    <s v="High"/>
    <x v="1"/>
    <s v="PROD0026"/>
    <n v="658.95"/>
    <n v="4"/>
    <d v="2024-07-29T00:00:00"/>
    <x v="2"/>
    <n v="9"/>
    <s v="Yes"/>
    <s v="Online"/>
    <n v="2635.8"/>
  </r>
  <r>
    <x v="757"/>
    <x v="2"/>
    <n v="42"/>
    <s v="Phoenix"/>
    <s v="Married"/>
    <s v="Medium"/>
    <x v="1"/>
    <s v="PROD0063"/>
    <n v="678.48"/>
    <n v="2"/>
    <d v="2024-03-01T00:00:00"/>
    <x v="3"/>
    <n v="10"/>
    <s v="Yes"/>
    <s v="In-store"/>
    <n v="1356.96"/>
  </r>
  <r>
    <x v="758"/>
    <x v="2"/>
    <n v="42"/>
    <s v="Los Angeles"/>
    <s v="Divorced"/>
    <s v="Medium"/>
    <x v="1"/>
    <s v="PROD0111"/>
    <n v="703.8"/>
    <n v="2"/>
    <d v="2023-02-19T00:00:00"/>
    <x v="3"/>
    <n v="1"/>
    <s v="No"/>
    <s v="In-store"/>
    <n v="1407.6"/>
  </r>
  <r>
    <x v="759"/>
    <x v="2"/>
    <n v="42"/>
    <s v="Seattle"/>
    <s v="Divorced"/>
    <s v="Medium"/>
    <x v="1"/>
    <s v="PROD0025"/>
    <n v="712.57"/>
    <n v="5"/>
    <d v="2024-05-07T00:00:00"/>
    <x v="0"/>
    <n v="1"/>
    <s v="Yes"/>
    <s v="Online"/>
    <n v="3562.8500000000004"/>
  </r>
  <r>
    <x v="760"/>
    <x v="2"/>
    <n v="43"/>
    <s v="Miami"/>
    <s v="Married"/>
    <s v="Low"/>
    <x v="1"/>
    <s v="PROD0123"/>
    <n v="209.78"/>
    <n v="5"/>
    <d v="2024-05-30T00:00:00"/>
    <x v="3"/>
    <n v="6"/>
    <s v="No"/>
    <s v="Online"/>
    <n v="1048.9000000000001"/>
  </r>
  <r>
    <x v="761"/>
    <x v="2"/>
    <n v="45"/>
    <s v="Houston"/>
    <s v="Married"/>
    <s v="Low"/>
    <x v="1"/>
    <s v="PROD0125"/>
    <n v="249.19"/>
    <n v="2"/>
    <d v="2023-10-01T00:00:00"/>
    <x v="2"/>
    <n v="6"/>
    <s v="No"/>
    <s v="Online"/>
    <n v="498.38"/>
  </r>
  <r>
    <x v="762"/>
    <x v="2"/>
    <n v="46"/>
    <s v="Phoenix"/>
    <s v="Divorced"/>
    <s v="Low"/>
    <x v="1"/>
    <s v="PROD0153"/>
    <n v="472.59"/>
    <n v="2"/>
    <d v="2023-09-11T00:00:00"/>
    <x v="2"/>
    <n v="5"/>
    <s v="No"/>
    <s v="Online"/>
    <n v="945.18"/>
  </r>
  <r>
    <x v="763"/>
    <x v="2"/>
    <n v="46"/>
    <s v="Los Angeles"/>
    <s v="Divorced"/>
    <s v="High"/>
    <x v="1"/>
    <s v="PROD0115"/>
    <n v="601.71"/>
    <n v="4"/>
    <d v="2024-09-24T00:00:00"/>
    <x v="2"/>
    <n v="7"/>
    <s v="No"/>
    <s v="Online"/>
    <n v="2406.84"/>
  </r>
  <r>
    <x v="764"/>
    <x v="2"/>
    <n v="46"/>
    <s v="New York"/>
    <s v="Single"/>
    <s v="Medium"/>
    <x v="1"/>
    <s v="PROD0155"/>
    <n v="807.05"/>
    <n v="4"/>
    <d v="2023-05-07T00:00:00"/>
    <x v="1"/>
    <n v="1"/>
    <s v="No"/>
    <s v="Online"/>
    <n v="3228.2"/>
  </r>
  <r>
    <x v="765"/>
    <x v="2"/>
    <n v="47"/>
    <s v="Houston"/>
    <s v="Divorced"/>
    <s v="Medium"/>
    <x v="1"/>
    <s v="PROD0051"/>
    <n v="977.51"/>
    <n v="5"/>
    <d v="2023-06-16T00:00:00"/>
    <x v="1"/>
    <n v="6"/>
    <s v="Yes"/>
    <s v="In-store"/>
    <n v="4887.55"/>
  </r>
  <r>
    <x v="766"/>
    <x v="2"/>
    <n v="50"/>
    <s v="Chicago"/>
    <s v="Divorced"/>
    <s v="Medium"/>
    <x v="1"/>
    <s v="PROD0024"/>
    <n v="787.21"/>
    <n v="2"/>
    <d v="2024-05-02T00:00:00"/>
    <x v="0"/>
    <n v="4"/>
    <s v="Yes"/>
    <s v="In-store"/>
    <n v="1574.42"/>
  </r>
  <r>
    <x v="767"/>
    <x v="2"/>
    <n v="51"/>
    <s v="Los Angeles"/>
    <s v="Divorced"/>
    <s v="Low"/>
    <x v="1"/>
    <s v="PROD0044"/>
    <n v="768.93"/>
    <n v="3"/>
    <d v="2023-12-11T00:00:00"/>
    <x v="1"/>
    <n v="8"/>
    <s v="No"/>
    <s v="Online"/>
    <n v="2306.79"/>
  </r>
  <r>
    <x v="768"/>
    <x v="2"/>
    <n v="52"/>
    <s v="Miami"/>
    <s v="Married"/>
    <s v="Medium"/>
    <x v="1"/>
    <s v="PROD0006"/>
    <n v="530.07000000000005"/>
    <n v="2"/>
    <d v="2023-07-09T00:00:00"/>
    <x v="0"/>
    <n v="1"/>
    <s v="No"/>
    <s v="In-store"/>
    <n v="1060.1400000000001"/>
  </r>
  <r>
    <x v="769"/>
    <x v="2"/>
    <n v="54"/>
    <s v="Miami"/>
    <s v="Married"/>
    <s v="Medium"/>
    <x v="1"/>
    <s v="PROD0146"/>
    <n v="450.27"/>
    <n v="5"/>
    <d v="2023-06-24T00:00:00"/>
    <x v="1"/>
    <n v="8"/>
    <s v="Yes"/>
    <s v="Online"/>
    <n v="2251.35"/>
  </r>
  <r>
    <x v="770"/>
    <x v="2"/>
    <n v="55"/>
    <s v="Miami"/>
    <s v="Divorced"/>
    <s v="High"/>
    <x v="1"/>
    <s v="PROD0047"/>
    <n v="45.23"/>
    <n v="4"/>
    <d v="2024-02-29T00:00:00"/>
    <x v="0"/>
    <n v="4"/>
    <s v="Yes"/>
    <s v="Online"/>
    <n v="180.92"/>
  </r>
  <r>
    <x v="771"/>
    <x v="2"/>
    <n v="55"/>
    <s v="Boston"/>
    <s v="Divorced"/>
    <s v="Medium"/>
    <x v="1"/>
    <s v="PROD0046"/>
    <n v="164.22"/>
    <n v="5"/>
    <d v="2023-02-10T00:00:00"/>
    <x v="1"/>
    <n v="8"/>
    <s v="Yes"/>
    <s v="Online"/>
    <n v="821.1"/>
  </r>
  <r>
    <x v="772"/>
    <x v="2"/>
    <n v="59"/>
    <s v="Chicago"/>
    <s v="Married"/>
    <s v="Low"/>
    <x v="1"/>
    <s v="PROD0029"/>
    <n v="314.74"/>
    <n v="2"/>
    <d v="2023-08-26T00:00:00"/>
    <x v="2"/>
    <n v="9"/>
    <s v="No"/>
    <s v="In-store"/>
    <n v="629.48"/>
  </r>
  <r>
    <x v="773"/>
    <x v="2"/>
    <n v="60"/>
    <s v="New York"/>
    <s v="Divorced"/>
    <s v="High"/>
    <x v="1"/>
    <s v="PROD0011"/>
    <n v="846.59"/>
    <n v="1"/>
    <d v="2023-04-20T00:00:00"/>
    <x v="2"/>
    <n v="7"/>
    <s v="No"/>
    <s v="Online"/>
    <n v="846.59"/>
  </r>
  <r>
    <x v="774"/>
    <x v="2"/>
    <n v="60"/>
    <s v="Phoenix"/>
    <s v="Single"/>
    <s v="Medium"/>
    <x v="1"/>
    <s v="PROD0190"/>
    <n v="918.47"/>
    <n v="2"/>
    <d v="2023-06-08T00:00:00"/>
    <x v="3"/>
    <n v="8"/>
    <s v="Yes"/>
    <s v="Online"/>
    <n v="1836.94"/>
  </r>
  <r>
    <x v="775"/>
    <x v="2"/>
    <n v="61"/>
    <s v="Houston"/>
    <s v="Divorced"/>
    <s v="Medium"/>
    <x v="1"/>
    <s v="PROD0047"/>
    <n v="244.24"/>
    <n v="2"/>
    <d v="2024-10-18T00:00:00"/>
    <x v="3"/>
    <n v="10"/>
    <s v="No"/>
    <s v="Online"/>
    <n v="488.48"/>
  </r>
  <r>
    <x v="776"/>
    <x v="2"/>
    <n v="62"/>
    <s v="Phoenix"/>
    <s v="Married"/>
    <s v="High"/>
    <x v="1"/>
    <s v="PROD0160"/>
    <n v="200.75"/>
    <n v="3"/>
    <d v="2024-07-28T00:00:00"/>
    <x v="0"/>
    <n v="10"/>
    <s v="No"/>
    <s v="Online"/>
    <n v="602.25"/>
  </r>
  <r>
    <x v="777"/>
    <x v="2"/>
    <n v="63"/>
    <s v="Boston"/>
    <s v="Single"/>
    <s v="High"/>
    <x v="1"/>
    <s v="PROD0007"/>
    <n v="621.02"/>
    <n v="2"/>
    <d v="2023-03-01T00:00:00"/>
    <x v="1"/>
    <n v="6"/>
    <s v="No"/>
    <s v="Online"/>
    <n v="1242.04"/>
  </r>
  <r>
    <x v="778"/>
    <x v="2"/>
    <n v="64"/>
    <s v="Los Angeles"/>
    <s v="Single"/>
    <s v="Low"/>
    <x v="1"/>
    <s v="PROD0148"/>
    <n v="23.1"/>
    <n v="5"/>
    <d v="2023-02-21T00:00:00"/>
    <x v="2"/>
    <n v="7"/>
    <s v="Yes"/>
    <s v="In-store"/>
    <n v="115.5"/>
  </r>
  <r>
    <x v="779"/>
    <x v="2"/>
    <n v="64"/>
    <s v="New York"/>
    <s v="Single"/>
    <s v="Medium"/>
    <x v="1"/>
    <s v="PROD0158"/>
    <n v="953.59"/>
    <n v="5"/>
    <d v="2024-04-05T00:00:00"/>
    <x v="1"/>
    <n v="9"/>
    <s v="No"/>
    <s v="Online"/>
    <n v="4767.95"/>
  </r>
  <r>
    <x v="780"/>
    <x v="2"/>
    <n v="65"/>
    <s v="Phoenix"/>
    <s v="Single"/>
    <s v="High"/>
    <x v="1"/>
    <s v="PROD0074"/>
    <n v="573.61"/>
    <n v="2"/>
    <d v="2023-09-10T00:00:00"/>
    <x v="3"/>
    <n v="8"/>
    <s v="No"/>
    <s v="Online"/>
    <n v="1147.22"/>
  </r>
  <r>
    <x v="781"/>
    <x v="2"/>
    <n v="66"/>
    <s v="Chicago"/>
    <s v="Divorced"/>
    <s v="Medium"/>
    <x v="1"/>
    <s v="PROD0079"/>
    <n v="915.95"/>
    <n v="1"/>
    <d v="2023-10-12T00:00:00"/>
    <x v="1"/>
    <n v="8"/>
    <s v="Yes"/>
    <s v="Online"/>
    <n v="915.95"/>
  </r>
  <r>
    <x v="782"/>
    <x v="2"/>
    <n v="68"/>
    <s v="Phoenix"/>
    <s v="Divorced"/>
    <s v="Low"/>
    <x v="1"/>
    <s v="PROD0020"/>
    <n v="813.69"/>
    <n v="5"/>
    <d v="2023-12-31T00:00:00"/>
    <x v="3"/>
    <n v="9"/>
    <s v="No"/>
    <s v="Online"/>
    <n v="4068.4500000000003"/>
  </r>
  <r>
    <x v="783"/>
    <x v="2"/>
    <n v="68"/>
    <s v="Miami"/>
    <s v="Married"/>
    <s v="High"/>
    <x v="1"/>
    <s v="PROD0022"/>
    <n v="910.34"/>
    <n v="4"/>
    <d v="2024-03-15T00:00:00"/>
    <x v="1"/>
    <n v="7"/>
    <s v="No"/>
    <s v="Online"/>
    <n v="3641.36"/>
  </r>
  <r>
    <x v="784"/>
    <x v="2"/>
    <n v="69"/>
    <s v="Houston"/>
    <s v="Single"/>
    <s v="Medium"/>
    <x v="1"/>
    <s v="PROD0188"/>
    <n v="740.55"/>
    <n v="3"/>
    <d v="2023-04-05T00:00:00"/>
    <x v="2"/>
    <n v="3"/>
    <s v="No"/>
    <s v="Online"/>
    <n v="2221.6499999999996"/>
  </r>
  <r>
    <x v="785"/>
    <x v="2"/>
    <n v="19"/>
    <s v="Boston"/>
    <s v="Married"/>
    <s v="Medium"/>
    <x v="2"/>
    <s v="PROD0076"/>
    <n v="172.64"/>
    <n v="5"/>
    <d v="2024-09-24T00:00:00"/>
    <x v="3"/>
    <n v="2"/>
    <s v="No"/>
    <s v="Online"/>
    <n v="863.19999999999993"/>
  </r>
  <r>
    <x v="786"/>
    <x v="2"/>
    <n v="19"/>
    <s v="Phoenix"/>
    <s v="Divorced"/>
    <s v="Low"/>
    <x v="2"/>
    <s v="PROD0081"/>
    <n v="317.20999999999998"/>
    <n v="2"/>
    <d v="2024-04-27T00:00:00"/>
    <x v="3"/>
    <n v="2"/>
    <s v="No"/>
    <s v="In-store"/>
    <n v="634.41999999999996"/>
  </r>
  <r>
    <x v="787"/>
    <x v="2"/>
    <n v="19"/>
    <s v="New York"/>
    <s v="Divorced"/>
    <s v="Medium"/>
    <x v="2"/>
    <s v="PROD0137"/>
    <n v="768.58"/>
    <n v="1"/>
    <d v="2023-09-14T00:00:00"/>
    <x v="3"/>
    <n v="9"/>
    <s v="Yes"/>
    <s v="Online"/>
    <n v="768.58"/>
  </r>
  <r>
    <x v="788"/>
    <x v="2"/>
    <n v="21"/>
    <s v="Los Angeles"/>
    <s v="Married"/>
    <s v="Medium"/>
    <x v="2"/>
    <s v="PROD0173"/>
    <n v="187.37"/>
    <n v="4"/>
    <d v="2024-06-24T00:00:00"/>
    <x v="0"/>
    <n v="6"/>
    <s v="Yes"/>
    <s v="Online"/>
    <n v="749.48"/>
  </r>
  <r>
    <x v="789"/>
    <x v="2"/>
    <n v="21"/>
    <s v="Miami"/>
    <s v="Single"/>
    <s v="Medium"/>
    <x v="2"/>
    <s v="PROD0040"/>
    <n v="587.27"/>
    <n v="3"/>
    <d v="2024-05-18T00:00:00"/>
    <x v="0"/>
    <n v="4"/>
    <s v="No"/>
    <s v="Online"/>
    <n v="1761.81"/>
  </r>
  <r>
    <x v="790"/>
    <x v="2"/>
    <n v="25"/>
    <s v="Phoenix"/>
    <s v="Married"/>
    <s v="Low"/>
    <x v="2"/>
    <s v="PROD0106"/>
    <n v="130.09"/>
    <n v="4"/>
    <d v="2023-02-15T00:00:00"/>
    <x v="0"/>
    <n v="8"/>
    <s v="No"/>
    <s v="In-store"/>
    <n v="520.36"/>
  </r>
  <r>
    <x v="791"/>
    <x v="2"/>
    <n v="31"/>
    <s v="Boston"/>
    <s v="Married"/>
    <s v="Low"/>
    <x v="2"/>
    <s v="PROD0135"/>
    <n v="670.02"/>
    <n v="1"/>
    <d v="2024-05-05T00:00:00"/>
    <x v="0"/>
    <n v="10"/>
    <s v="No"/>
    <s v="Online"/>
    <n v="670.02"/>
  </r>
  <r>
    <x v="792"/>
    <x v="2"/>
    <n v="33"/>
    <s v="Miami"/>
    <s v="Divorced"/>
    <s v="High"/>
    <x v="2"/>
    <s v="PROD0080"/>
    <n v="549.35"/>
    <n v="4"/>
    <d v="2024-05-05T00:00:00"/>
    <x v="3"/>
    <n v="2"/>
    <s v="Yes"/>
    <s v="Online"/>
    <n v="2197.4"/>
  </r>
  <r>
    <x v="793"/>
    <x v="2"/>
    <n v="33"/>
    <s v="Seattle"/>
    <s v="Married"/>
    <s v="Low"/>
    <x v="2"/>
    <s v="PROD0111"/>
    <n v="723.25"/>
    <n v="2"/>
    <d v="2023-06-20T00:00:00"/>
    <x v="1"/>
    <n v="3"/>
    <s v="Yes"/>
    <s v="In-store"/>
    <n v="1446.5"/>
  </r>
  <r>
    <x v="794"/>
    <x v="2"/>
    <n v="34"/>
    <s v="Boston"/>
    <s v="Married"/>
    <s v="Medium"/>
    <x v="2"/>
    <s v="PROD0116"/>
    <n v="638.4"/>
    <n v="5"/>
    <d v="2023-04-26T00:00:00"/>
    <x v="2"/>
    <n v="6"/>
    <s v="Yes"/>
    <s v="Online"/>
    <n v="3192"/>
  </r>
  <r>
    <x v="795"/>
    <x v="2"/>
    <n v="34"/>
    <s v="Houston"/>
    <s v="Single"/>
    <s v="Medium"/>
    <x v="2"/>
    <s v="PROD0059"/>
    <n v="845.29"/>
    <n v="4"/>
    <d v="2024-03-05T00:00:00"/>
    <x v="0"/>
    <n v="3"/>
    <s v="No"/>
    <s v="In-store"/>
    <n v="3381.16"/>
  </r>
  <r>
    <x v="796"/>
    <x v="2"/>
    <n v="35"/>
    <s v="Houston"/>
    <s v="Married"/>
    <s v="Medium"/>
    <x v="2"/>
    <s v="PROD0053"/>
    <n v="555.15"/>
    <n v="5"/>
    <d v="2023-06-16T00:00:00"/>
    <x v="3"/>
    <n v="5"/>
    <s v="No"/>
    <s v="Online"/>
    <n v="2775.75"/>
  </r>
  <r>
    <x v="797"/>
    <x v="2"/>
    <n v="35"/>
    <s v="Chicago"/>
    <s v="Single"/>
    <s v="Low"/>
    <x v="2"/>
    <s v="PROD0071"/>
    <n v="562.59"/>
    <n v="4"/>
    <d v="2024-07-05T00:00:00"/>
    <x v="0"/>
    <n v="9"/>
    <s v="Yes"/>
    <s v="In-store"/>
    <n v="2250.36"/>
  </r>
  <r>
    <x v="798"/>
    <x v="2"/>
    <n v="36"/>
    <s v="Los Angeles"/>
    <s v="Divorced"/>
    <s v="Low"/>
    <x v="2"/>
    <s v="PROD0179"/>
    <n v="569.76"/>
    <n v="1"/>
    <d v="2023-11-01T00:00:00"/>
    <x v="1"/>
    <n v="8"/>
    <s v="Yes"/>
    <s v="In-store"/>
    <n v="569.76"/>
  </r>
  <r>
    <x v="799"/>
    <x v="2"/>
    <n v="37"/>
    <s v="Los Angeles"/>
    <s v="Single"/>
    <s v="Medium"/>
    <x v="2"/>
    <s v="PROD0099"/>
    <n v="212.02"/>
    <n v="1"/>
    <d v="2024-08-30T00:00:00"/>
    <x v="3"/>
    <n v="10"/>
    <s v="No"/>
    <s v="Online"/>
    <n v="212.02"/>
  </r>
  <r>
    <x v="800"/>
    <x v="2"/>
    <n v="37"/>
    <s v="New York"/>
    <s v="Married"/>
    <s v="Low"/>
    <x v="2"/>
    <s v="PROD0152"/>
    <n v="334.61"/>
    <n v="2"/>
    <d v="2024-08-16T00:00:00"/>
    <x v="0"/>
    <n v="9"/>
    <s v="No"/>
    <s v="Online"/>
    <n v="669.22"/>
  </r>
  <r>
    <x v="801"/>
    <x v="2"/>
    <n v="38"/>
    <s v="Houston"/>
    <s v="Married"/>
    <s v="Low"/>
    <x v="2"/>
    <s v="PROD0192"/>
    <n v="455.85"/>
    <n v="2"/>
    <d v="2023-07-25T00:00:00"/>
    <x v="0"/>
    <n v="5"/>
    <s v="No"/>
    <s v="Online"/>
    <n v="911.7"/>
  </r>
  <r>
    <x v="802"/>
    <x v="2"/>
    <n v="38"/>
    <s v="Seattle"/>
    <s v="Divorced"/>
    <s v="Medium"/>
    <x v="2"/>
    <s v="PROD0165"/>
    <n v="585.9"/>
    <n v="1"/>
    <d v="2023-07-20T00:00:00"/>
    <x v="2"/>
    <n v="4"/>
    <s v="Yes"/>
    <s v="Online"/>
    <n v="585.9"/>
  </r>
  <r>
    <x v="803"/>
    <x v="2"/>
    <n v="41"/>
    <s v="Miami"/>
    <s v="Single"/>
    <s v="Low"/>
    <x v="2"/>
    <s v="PROD0035"/>
    <n v="192.41"/>
    <n v="5"/>
    <d v="2024-02-14T00:00:00"/>
    <x v="2"/>
    <n v="5"/>
    <s v="Yes"/>
    <s v="Online"/>
    <n v="962.05"/>
  </r>
  <r>
    <x v="804"/>
    <x v="2"/>
    <n v="43"/>
    <s v="Chicago"/>
    <s v="Divorced"/>
    <s v="Medium"/>
    <x v="2"/>
    <s v="PROD0022"/>
    <n v="668.09"/>
    <n v="5"/>
    <d v="2024-03-09T00:00:00"/>
    <x v="3"/>
    <n v="3"/>
    <s v="No"/>
    <s v="Online"/>
    <n v="3340.4500000000003"/>
  </r>
  <r>
    <x v="805"/>
    <x v="2"/>
    <n v="44"/>
    <s v="Seattle"/>
    <s v="Divorced"/>
    <s v="Medium"/>
    <x v="2"/>
    <s v="PROD0016"/>
    <n v="225.41"/>
    <n v="2"/>
    <d v="2024-05-04T00:00:00"/>
    <x v="3"/>
    <n v="6"/>
    <s v="Yes"/>
    <s v="Online"/>
    <n v="450.82"/>
  </r>
  <r>
    <x v="806"/>
    <x v="2"/>
    <n v="44"/>
    <s v="Seattle"/>
    <s v="Single"/>
    <s v="Medium"/>
    <x v="2"/>
    <s v="PROD0043"/>
    <n v="358.13"/>
    <n v="3"/>
    <d v="2024-08-15T00:00:00"/>
    <x v="3"/>
    <n v="9"/>
    <s v="No"/>
    <s v="Online"/>
    <n v="1074.3899999999999"/>
  </r>
  <r>
    <x v="807"/>
    <x v="2"/>
    <n v="45"/>
    <s v="New York"/>
    <s v="Single"/>
    <s v="High"/>
    <x v="2"/>
    <s v="PROD0167"/>
    <n v="305.29000000000002"/>
    <n v="4"/>
    <d v="2024-09-25T00:00:00"/>
    <x v="2"/>
    <n v="9"/>
    <s v="No"/>
    <s v="Online"/>
    <n v="1221.1600000000001"/>
  </r>
  <r>
    <x v="808"/>
    <x v="2"/>
    <n v="47"/>
    <s v="Boston"/>
    <s v="Divorced"/>
    <s v="Medium"/>
    <x v="2"/>
    <s v="PROD0099"/>
    <n v="469.35"/>
    <n v="3"/>
    <d v="2023-04-30T00:00:00"/>
    <x v="1"/>
    <n v="5"/>
    <s v="No"/>
    <s v="Online"/>
    <n v="1408.0500000000002"/>
  </r>
  <r>
    <x v="809"/>
    <x v="2"/>
    <n v="48"/>
    <s v="Phoenix"/>
    <s v="Single"/>
    <s v="Low"/>
    <x v="2"/>
    <s v="PROD0125"/>
    <n v="627.15"/>
    <n v="1"/>
    <d v="2023-03-02T00:00:00"/>
    <x v="1"/>
    <n v="5"/>
    <s v="No"/>
    <s v="In-store"/>
    <n v="627.15"/>
  </r>
  <r>
    <x v="810"/>
    <x v="2"/>
    <n v="49"/>
    <s v="Seattle"/>
    <s v="Divorced"/>
    <s v="Low"/>
    <x v="2"/>
    <s v="PROD0024"/>
    <n v="383.1"/>
    <n v="4"/>
    <d v="2023-07-30T00:00:00"/>
    <x v="3"/>
    <n v="2"/>
    <s v="Yes"/>
    <s v="Online"/>
    <n v="1532.4"/>
  </r>
  <r>
    <x v="811"/>
    <x v="2"/>
    <n v="52"/>
    <s v="New York"/>
    <s v="Married"/>
    <s v="Low"/>
    <x v="2"/>
    <s v="PROD0056"/>
    <n v="859.28"/>
    <n v="5"/>
    <d v="2024-06-30T00:00:00"/>
    <x v="1"/>
    <n v="10"/>
    <s v="Yes"/>
    <s v="Online"/>
    <n v="4296.3999999999996"/>
  </r>
  <r>
    <x v="812"/>
    <x v="2"/>
    <n v="57"/>
    <s v="Los Angeles"/>
    <s v="Divorced"/>
    <s v="Medium"/>
    <x v="2"/>
    <s v="PROD0067"/>
    <n v="235.21"/>
    <n v="4"/>
    <d v="2023-12-28T00:00:00"/>
    <x v="1"/>
    <n v="7"/>
    <s v="No"/>
    <s v="In-store"/>
    <n v="940.84"/>
  </r>
  <r>
    <x v="813"/>
    <x v="2"/>
    <n v="60"/>
    <s v="Seattle"/>
    <s v="Married"/>
    <s v="Low"/>
    <x v="2"/>
    <s v="PROD0199"/>
    <n v="938.8"/>
    <n v="3"/>
    <d v="2023-10-29T00:00:00"/>
    <x v="1"/>
    <n v="7"/>
    <s v="Yes"/>
    <s v="In-store"/>
    <n v="2816.3999999999996"/>
  </r>
  <r>
    <x v="814"/>
    <x v="2"/>
    <n v="64"/>
    <s v="Phoenix"/>
    <s v="Divorced"/>
    <s v="Low"/>
    <x v="2"/>
    <s v="PROD0173"/>
    <n v="378.36"/>
    <n v="4"/>
    <d v="2024-02-12T00:00:00"/>
    <x v="0"/>
    <n v="6"/>
    <s v="No"/>
    <s v="In-store"/>
    <n v="1513.44"/>
  </r>
  <r>
    <x v="815"/>
    <x v="2"/>
    <n v="64"/>
    <s v="Miami"/>
    <s v="Married"/>
    <s v="Medium"/>
    <x v="2"/>
    <s v="PROD0087"/>
    <n v="948.3"/>
    <n v="2"/>
    <d v="2024-01-20T00:00:00"/>
    <x v="3"/>
    <n v="7"/>
    <s v="Yes"/>
    <s v="In-store"/>
    <n v="1896.6"/>
  </r>
  <r>
    <x v="816"/>
    <x v="2"/>
    <n v="66"/>
    <s v="New York"/>
    <s v="Married"/>
    <s v="High"/>
    <x v="2"/>
    <s v="PROD0108"/>
    <n v="822.05"/>
    <n v="2"/>
    <d v="2024-02-29T00:00:00"/>
    <x v="0"/>
    <n v="9"/>
    <s v="No"/>
    <s v="Online"/>
    <n v="1644.1"/>
  </r>
  <r>
    <x v="817"/>
    <x v="2"/>
    <n v="20"/>
    <s v="Boston"/>
    <s v="Divorced"/>
    <s v="High"/>
    <x v="3"/>
    <s v="PROD0187"/>
    <n v="728.12"/>
    <n v="1"/>
    <d v="2023-04-23T00:00:00"/>
    <x v="1"/>
    <n v="7"/>
    <s v="No"/>
    <s v="Online"/>
    <n v="728.12"/>
  </r>
  <r>
    <x v="818"/>
    <x v="2"/>
    <n v="20"/>
    <s v="Houston"/>
    <s v="Married"/>
    <s v="Low"/>
    <x v="3"/>
    <s v="PROD0057"/>
    <n v="774.43"/>
    <n v="2"/>
    <d v="2023-07-22T00:00:00"/>
    <x v="3"/>
    <n v="3"/>
    <s v="No"/>
    <s v="Online"/>
    <n v="1548.86"/>
  </r>
  <r>
    <x v="819"/>
    <x v="2"/>
    <n v="21"/>
    <s v="Seattle"/>
    <s v="Single"/>
    <s v="Low"/>
    <x v="3"/>
    <s v="PROD0073"/>
    <n v="122.83"/>
    <n v="4"/>
    <d v="2023-05-28T00:00:00"/>
    <x v="3"/>
    <n v="9"/>
    <s v="No"/>
    <s v="Online"/>
    <n v="491.32"/>
  </r>
  <r>
    <x v="820"/>
    <x v="2"/>
    <n v="21"/>
    <s v="New York"/>
    <s v="Single"/>
    <s v="Medium"/>
    <x v="3"/>
    <s v="PROD0169"/>
    <n v="923.38"/>
    <n v="2"/>
    <d v="2023-01-08T00:00:00"/>
    <x v="1"/>
    <n v="6"/>
    <s v="No"/>
    <s v="In-store"/>
    <n v="1846.76"/>
  </r>
  <r>
    <x v="821"/>
    <x v="2"/>
    <n v="22"/>
    <s v="Los Angeles"/>
    <s v="Married"/>
    <s v="Low"/>
    <x v="3"/>
    <s v="PROD0027"/>
    <n v="187.3"/>
    <n v="5"/>
    <d v="2024-04-09T00:00:00"/>
    <x v="2"/>
    <n v="7"/>
    <s v="No"/>
    <s v="In-store"/>
    <n v="936.5"/>
  </r>
  <r>
    <x v="822"/>
    <x v="2"/>
    <n v="22"/>
    <s v="Houston"/>
    <s v="Married"/>
    <s v="Medium"/>
    <x v="3"/>
    <s v="PROD0047"/>
    <n v="257.47000000000003"/>
    <n v="3"/>
    <d v="2023-07-18T00:00:00"/>
    <x v="3"/>
    <n v="4"/>
    <s v="No"/>
    <s v="Online"/>
    <n v="772.41000000000008"/>
  </r>
  <r>
    <x v="823"/>
    <x v="2"/>
    <n v="22"/>
    <s v="Miami"/>
    <s v="Single"/>
    <s v="High"/>
    <x v="3"/>
    <s v="PROD0121"/>
    <n v="743.26"/>
    <n v="5"/>
    <d v="2023-12-31T00:00:00"/>
    <x v="1"/>
    <n v="6"/>
    <s v="Yes"/>
    <s v="Online"/>
    <n v="3716.3"/>
  </r>
  <r>
    <x v="824"/>
    <x v="2"/>
    <n v="23"/>
    <s v="Seattle"/>
    <s v="Single"/>
    <s v="Medium"/>
    <x v="3"/>
    <s v="PROD0103"/>
    <n v="869.32"/>
    <n v="1"/>
    <d v="2023-10-27T00:00:00"/>
    <x v="0"/>
    <n v="7"/>
    <s v="No"/>
    <s v="In-store"/>
    <n v="869.32"/>
  </r>
  <r>
    <x v="825"/>
    <x v="2"/>
    <n v="24"/>
    <s v="Seattle"/>
    <s v="Divorced"/>
    <s v="High"/>
    <x v="3"/>
    <s v="PROD0018"/>
    <n v="88.92"/>
    <n v="5"/>
    <d v="2023-05-17T00:00:00"/>
    <x v="1"/>
    <n v="5"/>
    <s v="Yes"/>
    <s v="Online"/>
    <n v="444.6"/>
  </r>
  <r>
    <x v="826"/>
    <x v="2"/>
    <n v="25"/>
    <s v="New York"/>
    <s v="Single"/>
    <s v="Low"/>
    <x v="3"/>
    <s v="PROD0195"/>
    <n v="441.04"/>
    <n v="5"/>
    <d v="2023-12-12T00:00:00"/>
    <x v="2"/>
    <n v="4"/>
    <s v="Yes"/>
    <s v="In-store"/>
    <n v="2205.2000000000003"/>
  </r>
  <r>
    <x v="827"/>
    <x v="2"/>
    <n v="27"/>
    <s v="Los Angeles"/>
    <s v="Divorced"/>
    <s v="High"/>
    <x v="3"/>
    <s v="PROD0125"/>
    <n v="690.36"/>
    <n v="2"/>
    <d v="2024-04-25T00:00:00"/>
    <x v="3"/>
    <n v="2"/>
    <s v="No"/>
    <s v="In-store"/>
    <n v="1380.72"/>
  </r>
  <r>
    <x v="828"/>
    <x v="2"/>
    <n v="29"/>
    <s v="Los Angeles"/>
    <s v="Single"/>
    <s v="High"/>
    <x v="3"/>
    <s v="PROD0016"/>
    <n v="948.89"/>
    <n v="3"/>
    <d v="2023-02-28T00:00:00"/>
    <x v="1"/>
    <n v="4"/>
    <s v="No"/>
    <s v="Online"/>
    <n v="2846.67"/>
  </r>
  <r>
    <x v="829"/>
    <x v="2"/>
    <n v="29"/>
    <s v="Phoenix"/>
    <s v="Married"/>
    <s v="Medium"/>
    <x v="3"/>
    <s v="PROD0194"/>
    <n v="966.96"/>
    <n v="2"/>
    <d v="2023-12-15T00:00:00"/>
    <x v="3"/>
    <n v="2"/>
    <s v="No"/>
    <s v="In-store"/>
    <n v="1933.92"/>
  </r>
  <r>
    <x v="830"/>
    <x v="2"/>
    <n v="34"/>
    <s v="Miami"/>
    <s v="Single"/>
    <s v="Medium"/>
    <x v="3"/>
    <s v="PROD0190"/>
    <n v="611.25"/>
    <n v="5"/>
    <d v="2024-06-24T00:00:00"/>
    <x v="2"/>
    <n v="3"/>
    <s v="Yes"/>
    <s v="Online"/>
    <n v="3056.25"/>
  </r>
  <r>
    <x v="831"/>
    <x v="2"/>
    <n v="35"/>
    <s v="Seattle"/>
    <s v="Single"/>
    <s v="Low"/>
    <x v="3"/>
    <s v="PROD0096"/>
    <n v="699.12"/>
    <n v="2"/>
    <d v="2024-03-27T00:00:00"/>
    <x v="2"/>
    <n v="6"/>
    <s v="Yes"/>
    <s v="In-store"/>
    <n v="1398.24"/>
  </r>
  <r>
    <x v="832"/>
    <x v="2"/>
    <n v="36"/>
    <s v="Phoenix"/>
    <s v="Married"/>
    <s v="Medium"/>
    <x v="3"/>
    <s v="PROD0147"/>
    <n v="976.85"/>
    <n v="3"/>
    <d v="2023-04-30T00:00:00"/>
    <x v="0"/>
    <n v="3"/>
    <s v="No"/>
    <s v="Online"/>
    <n v="2930.55"/>
  </r>
  <r>
    <x v="833"/>
    <x v="2"/>
    <n v="39"/>
    <s v="Miami"/>
    <s v="Divorced"/>
    <s v="Medium"/>
    <x v="3"/>
    <s v="PROD0029"/>
    <n v="257.25"/>
    <n v="5"/>
    <d v="2024-01-30T00:00:00"/>
    <x v="0"/>
    <n v="4"/>
    <s v="No"/>
    <s v="Online"/>
    <n v="1286.25"/>
  </r>
  <r>
    <x v="834"/>
    <x v="2"/>
    <n v="40"/>
    <s v="New York"/>
    <s v="Single"/>
    <s v="High"/>
    <x v="3"/>
    <s v="PROD0022"/>
    <n v="600.5"/>
    <n v="5"/>
    <d v="2023-06-23T00:00:00"/>
    <x v="1"/>
    <n v="2"/>
    <s v="Yes"/>
    <s v="In-store"/>
    <n v="3002.5"/>
  </r>
  <r>
    <x v="835"/>
    <x v="2"/>
    <n v="41"/>
    <s v="Houston"/>
    <s v="Married"/>
    <s v="Medium"/>
    <x v="3"/>
    <s v="PROD0195"/>
    <n v="399.82"/>
    <n v="1"/>
    <d v="2024-09-26T00:00:00"/>
    <x v="0"/>
    <n v="1"/>
    <s v="No"/>
    <s v="In-store"/>
    <n v="399.82"/>
  </r>
  <r>
    <x v="836"/>
    <x v="2"/>
    <n v="43"/>
    <s v="Houston"/>
    <s v="Married"/>
    <s v="Medium"/>
    <x v="3"/>
    <s v="PROD0166"/>
    <n v="134.85"/>
    <n v="4"/>
    <d v="2023-01-17T00:00:00"/>
    <x v="0"/>
    <n v="3"/>
    <s v="No"/>
    <s v="In-store"/>
    <n v="539.4"/>
  </r>
  <r>
    <x v="837"/>
    <x v="2"/>
    <n v="43"/>
    <s v="Boston"/>
    <s v="Single"/>
    <s v="Medium"/>
    <x v="3"/>
    <s v="PROD0185"/>
    <n v="601.45000000000005"/>
    <n v="3"/>
    <d v="2023-01-25T00:00:00"/>
    <x v="2"/>
    <n v="5"/>
    <s v="Yes"/>
    <s v="In-store"/>
    <n v="1804.3500000000001"/>
  </r>
  <r>
    <x v="838"/>
    <x v="2"/>
    <n v="43"/>
    <s v="Boston"/>
    <s v="Single"/>
    <s v="Low"/>
    <x v="3"/>
    <s v="PROD0159"/>
    <n v="820.68"/>
    <n v="2"/>
    <d v="2024-07-05T00:00:00"/>
    <x v="2"/>
    <n v="9"/>
    <s v="No"/>
    <s v="Online"/>
    <n v="1641.36"/>
  </r>
  <r>
    <x v="839"/>
    <x v="2"/>
    <n v="44"/>
    <s v="Seattle"/>
    <s v="Married"/>
    <s v="Medium"/>
    <x v="3"/>
    <s v="PROD0032"/>
    <n v="888.59"/>
    <n v="3"/>
    <d v="2024-10-04T00:00:00"/>
    <x v="1"/>
    <n v="6"/>
    <s v="No"/>
    <s v="In-store"/>
    <n v="2665.77"/>
  </r>
  <r>
    <x v="840"/>
    <x v="2"/>
    <n v="47"/>
    <s v="Phoenix"/>
    <s v="Married"/>
    <s v="Medium"/>
    <x v="3"/>
    <s v="PROD0157"/>
    <n v="972.74"/>
    <n v="3"/>
    <d v="2024-05-23T00:00:00"/>
    <x v="3"/>
    <n v="9"/>
    <s v="Yes"/>
    <s v="Online"/>
    <n v="2918.2200000000003"/>
  </r>
  <r>
    <x v="841"/>
    <x v="2"/>
    <n v="50"/>
    <s v="Boston"/>
    <s v="Divorced"/>
    <s v="Medium"/>
    <x v="3"/>
    <s v="PROD0122"/>
    <n v="653.05999999999995"/>
    <n v="1"/>
    <d v="2024-02-28T00:00:00"/>
    <x v="0"/>
    <n v="7"/>
    <s v="No"/>
    <s v="Online"/>
    <n v="653.05999999999995"/>
  </r>
  <r>
    <x v="842"/>
    <x v="2"/>
    <n v="53"/>
    <s v="Houston"/>
    <s v="Divorced"/>
    <s v="Medium"/>
    <x v="3"/>
    <s v="PROD0004"/>
    <n v="443.34"/>
    <n v="3"/>
    <d v="2023-04-21T00:00:00"/>
    <x v="3"/>
    <n v="1"/>
    <s v="Yes"/>
    <s v="In-store"/>
    <n v="1330.02"/>
  </r>
  <r>
    <x v="843"/>
    <x v="2"/>
    <n v="54"/>
    <s v="New York"/>
    <s v="Single"/>
    <s v="High"/>
    <x v="3"/>
    <s v="PROD0163"/>
    <n v="169.83"/>
    <n v="2"/>
    <d v="2024-02-11T00:00:00"/>
    <x v="2"/>
    <n v="6"/>
    <s v="Yes"/>
    <s v="In-store"/>
    <n v="339.66"/>
  </r>
  <r>
    <x v="844"/>
    <x v="2"/>
    <n v="54"/>
    <s v="New York"/>
    <s v="Single"/>
    <s v="Medium"/>
    <x v="3"/>
    <s v="PROD0138"/>
    <n v="595.79999999999995"/>
    <n v="3"/>
    <d v="2024-03-21T00:00:00"/>
    <x v="0"/>
    <n v="2"/>
    <s v="Yes"/>
    <s v="Online"/>
    <n v="1787.3999999999999"/>
  </r>
  <r>
    <x v="845"/>
    <x v="2"/>
    <n v="55"/>
    <s v="New York"/>
    <s v="Married"/>
    <s v="High"/>
    <x v="3"/>
    <s v="PROD0075"/>
    <n v="517.75"/>
    <n v="3"/>
    <d v="2024-06-07T00:00:00"/>
    <x v="0"/>
    <n v="1"/>
    <s v="No"/>
    <s v="Online"/>
    <n v="1553.25"/>
  </r>
  <r>
    <x v="846"/>
    <x v="2"/>
    <n v="56"/>
    <s v="Phoenix"/>
    <s v="Divorced"/>
    <s v="High"/>
    <x v="3"/>
    <s v="PROD0084"/>
    <n v="559.99"/>
    <n v="5"/>
    <d v="2024-10-15T00:00:00"/>
    <x v="3"/>
    <n v="6"/>
    <s v="Yes"/>
    <s v="Online"/>
    <n v="2799.95"/>
  </r>
  <r>
    <x v="847"/>
    <x v="2"/>
    <n v="57"/>
    <s v="Houston"/>
    <s v="Divorced"/>
    <s v="Medium"/>
    <x v="3"/>
    <s v="PROD0025"/>
    <n v="76.930000000000007"/>
    <n v="3"/>
    <d v="2024-01-04T00:00:00"/>
    <x v="3"/>
    <n v="7"/>
    <s v="No"/>
    <s v="Online"/>
    <n v="230.79000000000002"/>
  </r>
  <r>
    <x v="848"/>
    <x v="2"/>
    <n v="57"/>
    <s v="Phoenix"/>
    <s v="Married"/>
    <s v="Medium"/>
    <x v="3"/>
    <s v="PROD0052"/>
    <n v="487.78"/>
    <n v="2"/>
    <d v="2023-02-02T00:00:00"/>
    <x v="3"/>
    <n v="6"/>
    <s v="No"/>
    <s v="In-store"/>
    <n v="975.56"/>
  </r>
  <r>
    <x v="849"/>
    <x v="2"/>
    <n v="57"/>
    <s v="New York"/>
    <s v="Married"/>
    <s v="Medium"/>
    <x v="3"/>
    <s v="PROD0070"/>
    <n v="911.72"/>
    <n v="3"/>
    <d v="2023-10-30T00:00:00"/>
    <x v="3"/>
    <n v="5"/>
    <s v="No"/>
    <s v="Online"/>
    <n v="2735.16"/>
  </r>
  <r>
    <x v="850"/>
    <x v="2"/>
    <n v="58"/>
    <s v="Houston"/>
    <s v="Married"/>
    <s v="Medium"/>
    <x v="3"/>
    <s v="PROD0086"/>
    <n v="882.09"/>
    <n v="3"/>
    <d v="2024-02-19T00:00:00"/>
    <x v="2"/>
    <n v="10"/>
    <s v="No"/>
    <s v="In-store"/>
    <n v="2646.27"/>
  </r>
  <r>
    <x v="851"/>
    <x v="2"/>
    <n v="60"/>
    <s v="New York"/>
    <s v="Married"/>
    <s v="Medium"/>
    <x v="3"/>
    <s v="PROD0186"/>
    <n v="575.20000000000005"/>
    <n v="1"/>
    <d v="2023-01-14T00:00:00"/>
    <x v="2"/>
    <n v="6"/>
    <s v="No"/>
    <s v="In-store"/>
    <n v="575.20000000000005"/>
  </r>
  <r>
    <x v="852"/>
    <x v="2"/>
    <n v="61"/>
    <s v="Chicago"/>
    <s v="Single"/>
    <s v="Medium"/>
    <x v="3"/>
    <s v="PROD0084"/>
    <n v="744.87"/>
    <n v="5"/>
    <d v="2024-03-01T00:00:00"/>
    <x v="0"/>
    <n v="9"/>
    <s v="No"/>
    <s v="Online"/>
    <n v="3724.35"/>
  </r>
  <r>
    <x v="853"/>
    <x v="2"/>
    <n v="61"/>
    <s v="Phoenix"/>
    <s v="Married"/>
    <s v="Medium"/>
    <x v="3"/>
    <s v="PROD0176"/>
    <n v="840.45"/>
    <n v="4"/>
    <d v="2023-07-15T00:00:00"/>
    <x v="1"/>
    <n v="3"/>
    <s v="Yes"/>
    <s v="Online"/>
    <n v="3361.8"/>
  </r>
  <r>
    <x v="854"/>
    <x v="2"/>
    <n v="62"/>
    <s v="Seattle"/>
    <s v="Single"/>
    <s v="Low"/>
    <x v="3"/>
    <s v="PROD0134"/>
    <n v="373.01"/>
    <n v="1"/>
    <d v="2024-09-22T00:00:00"/>
    <x v="2"/>
    <n v="1"/>
    <s v="No"/>
    <s v="Online"/>
    <n v="373.01"/>
  </r>
  <r>
    <x v="855"/>
    <x v="2"/>
    <n v="62"/>
    <s v="Los Angeles"/>
    <s v="Divorced"/>
    <s v="Low"/>
    <x v="3"/>
    <s v="PROD0170"/>
    <n v="583.52"/>
    <n v="5"/>
    <d v="2024-05-04T00:00:00"/>
    <x v="3"/>
    <n v="6"/>
    <s v="Yes"/>
    <s v="In-store"/>
    <n v="2917.6"/>
  </r>
  <r>
    <x v="856"/>
    <x v="2"/>
    <n v="62"/>
    <s v="Chicago"/>
    <s v="Divorced"/>
    <s v="High"/>
    <x v="3"/>
    <s v="PROD0182"/>
    <n v="607.17999999999995"/>
    <n v="4"/>
    <d v="2024-10-30T00:00:00"/>
    <x v="3"/>
    <n v="6"/>
    <s v="Yes"/>
    <s v="Online"/>
    <n v="2428.7199999999998"/>
  </r>
  <r>
    <x v="857"/>
    <x v="2"/>
    <n v="62"/>
    <s v="Houston"/>
    <s v="Divorced"/>
    <s v="Medium"/>
    <x v="3"/>
    <s v="PROD0113"/>
    <n v="704.09"/>
    <n v="1"/>
    <d v="2023-09-19T00:00:00"/>
    <x v="2"/>
    <n v="4"/>
    <s v="No"/>
    <s v="In-store"/>
    <n v="704.09"/>
  </r>
  <r>
    <x v="858"/>
    <x v="2"/>
    <n v="63"/>
    <s v="Miami"/>
    <s v="Single"/>
    <s v="Medium"/>
    <x v="3"/>
    <s v="PROD0072"/>
    <n v="265.06"/>
    <n v="1"/>
    <d v="2024-05-12T00:00:00"/>
    <x v="2"/>
    <n v="8"/>
    <s v="No"/>
    <s v="Online"/>
    <n v="265.06"/>
  </r>
  <r>
    <x v="859"/>
    <x v="2"/>
    <n v="63"/>
    <s v="Houston"/>
    <s v="Single"/>
    <s v="Medium"/>
    <x v="3"/>
    <s v="PROD0161"/>
    <n v="412.35"/>
    <n v="2"/>
    <d v="2023-03-10T00:00:00"/>
    <x v="1"/>
    <n v="10"/>
    <s v="Yes"/>
    <s v="Online"/>
    <n v="824.7"/>
  </r>
  <r>
    <x v="860"/>
    <x v="2"/>
    <n v="63"/>
    <s v="Phoenix"/>
    <s v="Divorced"/>
    <s v="Medium"/>
    <x v="3"/>
    <s v="PROD0116"/>
    <n v="582.97"/>
    <n v="3"/>
    <d v="2023-10-02T00:00:00"/>
    <x v="2"/>
    <n v="2"/>
    <s v="Yes"/>
    <s v="Online"/>
    <n v="1748.91"/>
  </r>
  <r>
    <x v="861"/>
    <x v="2"/>
    <n v="63"/>
    <s v="Phoenix"/>
    <s v="Divorced"/>
    <s v="Medium"/>
    <x v="3"/>
    <s v="PROD0041"/>
    <n v="600.38"/>
    <n v="2"/>
    <d v="2024-09-10T00:00:00"/>
    <x v="3"/>
    <n v="3"/>
    <s v="Yes"/>
    <s v="In-store"/>
    <n v="1200.76"/>
  </r>
  <r>
    <x v="862"/>
    <x v="2"/>
    <n v="66"/>
    <s v="Seattle"/>
    <s v="Single"/>
    <s v="Low"/>
    <x v="3"/>
    <s v="PROD0179"/>
    <n v="811.88"/>
    <n v="2"/>
    <d v="2023-11-13T00:00:00"/>
    <x v="0"/>
    <n v="9"/>
    <s v="Yes"/>
    <s v="Online"/>
    <n v="1623.76"/>
  </r>
  <r>
    <x v="863"/>
    <x v="2"/>
    <n v="67"/>
    <s v="Boston"/>
    <s v="Married"/>
    <s v="Medium"/>
    <x v="3"/>
    <s v="PROD0050"/>
    <n v="509.46"/>
    <n v="2"/>
    <d v="2023-02-25T00:00:00"/>
    <x v="2"/>
    <n v="5"/>
    <s v="No"/>
    <s v="Online"/>
    <n v="1018.92"/>
  </r>
  <r>
    <x v="864"/>
    <x v="2"/>
    <n v="67"/>
    <s v="Houston"/>
    <s v="Divorced"/>
    <s v="Medium"/>
    <x v="3"/>
    <s v="PROD0092"/>
    <n v="800.02"/>
    <n v="2"/>
    <d v="2024-07-09T00:00:00"/>
    <x v="1"/>
    <n v="9"/>
    <s v="No"/>
    <s v="In-store"/>
    <n v="1600.04"/>
  </r>
  <r>
    <x v="865"/>
    <x v="2"/>
    <n v="18"/>
    <s v="Seattle"/>
    <s v="Married"/>
    <s v="High"/>
    <x v="4"/>
    <s v="PROD0040"/>
    <n v="463.45"/>
    <n v="2"/>
    <d v="2023-11-16T00:00:00"/>
    <x v="0"/>
    <n v="10"/>
    <s v="Yes"/>
    <s v="In-store"/>
    <n v="926.9"/>
  </r>
  <r>
    <x v="866"/>
    <x v="2"/>
    <n v="20"/>
    <s v="Phoenix"/>
    <s v="Divorced"/>
    <s v="Low"/>
    <x v="4"/>
    <s v="PROD0144"/>
    <n v="843.21"/>
    <n v="3"/>
    <d v="2024-02-17T00:00:00"/>
    <x v="1"/>
    <n v="4"/>
    <s v="Yes"/>
    <s v="In-store"/>
    <n v="2529.63"/>
  </r>
  <r>
    <x v="867"/>
    <x v="2"/>
    <n v="21"/>
    <s v="Boston"/>
    <s v="Single"/>
    <s v="Low"/>
    <x v="4"/>
    <s v="PROD0057"/>
    <n v="343.96"/>
    <n v="2"/>
    <d v="2024-05-29T00:00:00"/>
    <x v="3"/>
    <n v="8"/>
    <s v="No"/>
    <s v="Online"/>
    <n v="687.92"/>
  </r>
  <r>
    <x v="868"/>
    <x v="2"/>
    <n v="23"/>
    <s v="New York"/>
    <s v="Divorced"/>
    <s v="Low"/>
    <x v="4"/>
    <s v="PROD0181"/>
    <n v="82.63"/>
    <n v="4"/>
    <d v="2023-11-09T00:00:00"/>
    <x v="2"/>
    <n v="1"/>
    <s v="Yes"/>
    <s v="Online"/>
    <n v="330.52"/>
  </r>
  <r>
    <x v="869"/>
    <x v="2"/>
    <n v="23"/>
    <s v="Seattle"/>
    <s v="Single"/>
    <s v="Medium"/>
    <x v="4"/>
    <s v="PROD0153"/>
    <n v="362.4"/>
    <n v="1"/>
    <d v="2023-02-03T00:00:00"/>
    <x v="0"/>
    <n v="1"/>
    <s v="No"/>
    <s v="In-store"/>
    <n v="362.4"/>
  </r>
  <r>
    <x v="870"/>
    <x v="2"/>
    <n v="24"/>
    <s v="New York"/>
    <s v="Divorced"/>
    <s v="High"/>
    <x v="4"/>
    <s v="PROD0164"/>
    <n v="204.52"/>
    <n v="4"/>
    <d v="2023-09-19T00:00:00"/>
    <x v="1"/>
    <n v="8"/>
    <s v="Yes"/>
    <s v="Online"/>
    <n v="818.08"/>
  </r>
  <r>
    <x v="871"/>
    <x v="2"/>
    <n v="27"/>
    <s v="Houston"/>
    <s v="Divorced"/>
    <s v="Medium"/>
    <x v="4"/>
    <s v="PROD0110"/>
    <n v="694.8"/>
    <n v="5"/>
    <d v="2023-06-13T00:00:00"/>
    <x v="3"/>
    <n v="10"/>
    <s v="Yes"/>
    <s v="Online"/>
    <n v="3474"/>
  </r>
  <r>
    <x v="872"/>
    <x v="2"/>
    <n v="28"/>
    <s v="Phoenix"/>
    <s v="Divorced"/>
    <s v="Low"/>
    <x v="4"/>
    <s v="PROD0019"/>
    <n v="866.42"/>
    <n v="3"/>
    <d v="2023-05-21T00:00:00"/>
    <x v="0"/>
    <n v="1"/>
    <s v="No"/>
    <s v="Online"/>
    <n v="2599.2599999999998"/>
  </r>
  <r>
    <x v="873"/>
    <x v="2"/>
    <n v="29"/>
    <s v="Los Angeles"/>
    <s v="Single"/>
    <s v="Medium"/>
    <x v="4"/>
    <s v="PROD0089"/>
    <n v="797.06"/>
    <n v="1"/>
    <d v="2023-12-04T00:00:00"/>
    <x v="0"/>
    <n v="5"/>
    <s v="Yes"/>
    <s v="Online"/>
    <n v="797.06"/>
  </r>
  <r>
    <x v="874"/>
    <x v="2"/>
    <n v="35"/>
    <s v="Miami"/>
    <s v="Divorced"/>
    <s v="High"/>
    <x v="4"/>
    <s v="PROD0126"/>
    <n v="361.73"/>
    <n v="2"/>
    <d v="2023-07-17T00:00:00"/>
    <x v="1"/>
    <n v="4"/>
    <s v="No"/>
    <s v="Online"/>
    <n v="723.46"/>
  </r>
  <r>
    <x v="875"/>
    <x v="2"/>
    <n v="35"/>
    <s v="Los Angeles"/>
    <s v="Divorced"/>
    <s v="Low"/>
    <x v="4"/>
    <s v="PROD0146"/>
    <n v="703.86"/>
    <n v="5"/>
    <d v="2024-07-28T00:00:00"/>
    <x v="2"/>
    <n v="3"/>
    <s v="No"/>
    <s v="In-store"/>
    <n v="3519.3"/>
  </r>
  <r>
    <x v="876"/>
    <x v="2"/>
    <n v="36"/>
    <s v="Miami"/>
    <s v="Married"/>
    <s v="Medium"/>
    <x v="4"/>
    <s v="PROD0028"/>
    <n v="779.03"/>
    <n v="5"/>
    <d v="2024-03-29T00:00:00"/>
    <x v="0"/>
    <n v="7"/>
    <s v="Yes"/>
    <s v="In-store"/>
    <n v="3895.1499999999996"/>
  </r>
  <r>
    <x v="877"/>
    <x v="2"/>
    <n v="37"/>
    <s v="Miami"/>
    <s v="Married"/>
    <s v="Low"/>
    <x v="4"/>
    <s v="PROD0078"/>
    <n v="557.29"/>
    <n v="1"/>
    <d v="2023-09-06T00:00:00"/>
    <x v="0"/>
    <n v="8"/>
    <s v="No"/>
    <s v="Online"/>
    <n v="557.29"/>
  </r>
  <r>
    <x v="878"/>
    <x v="2"/>
    <n v="39"/>
    <s v="Miami"/>
    <s v="Married"/>
    <s v="Medium"/>
    <x v="4"/>
    <s v="PROD0127"/>
    <n v="581.84"/>
    <n v="2"/>
    <d v="2024-03-12T00:00:00"/>
    <x v="2"/>
    <n v="4"/>
    <s v="Yes"/>
    <s v="Online"/>
    <n v="1163.68"/>
  </r>
  <r>
    <x v="879"/>
    <x v="2"/>
    <n v="41"/>
    <s v="Houston"/>
    <s v="Divorced"/>
    <s v="Medium"/>
    <x v="4"/>
    <s v="PROD0166"/>
    <n v="604.58000000000004"/>
    <n v="2"/>
    <d v="2023-04-12T00:00:00"/>
    <x v="2"/>
    <n v="6"/>
    <s v="Yes"/>
    <s v="Online"/>
    <n v="1209.1600000000001"/>
  </r>
  <r>
    <x v="880"/>
    <x v="2"/>
    <n v="41"/>
    <s v="New York"/>
    <s v="Divorced"/>
    <s v="Low"/>
    <x v="4"/>
    <s v="PROD0017"/>
    <n v="682.37"/>
    <n v="4"/>
    <d v="2024-02-18T00:00:00"/>
    <x v="0"/>
    <n v="6"/>
    <s v="No"/>
    <s v="Online"/>
    <n v="2729.48"/>
  </r>
  <r>
    <x v="881"/>
    <x v="2"/>
    <n v="44"/>
    <s v="Chicago"/>
    <s v="Single"/>
    <s v="Medium"/>
    <x v="4"/>
    <s v="PROD0104"/>
    <n v="549.11"/>
    <n v="2"/>
    <d v="2023-09-04T00:00:00"/>
    <x v="1"/>
    <n v="1"/>
    <s v="No"/>
    <s v="In-store"/>
    <n v="1098.22"/>
  </r>
  <r>
    <x v="882"/>
    <x v="2"/>
    <n v="45"/>
    <s v="Houston"/>
    <s v="Single"/>
    <s v="Low"/>
    <x v="4"/>
    <s v="PROD0171"/>
    <n v="407.86"/>
    <n v="3"/>
    <d v="2024-07-03T00:00:00"/>
    <x v="0"/>
    <n v="4"/>
    <s v="No"/>
    <s v="Online"/>
    <n v="1223.58"/>
  </r>
  <r>
    <x v="883"/>
    <x v="2"/>
    <n v="46"/>
    <s v="Chicago"/>
    <s v="Single"/>
    <s v="Medium"/>
    <x v="4"/>
    <s v="PROD0192"/>
    <n v="614.27"/>
    <n v="2"/>
    <d v="2024-04-28T00:00:00"/>
    <x v="2"/>
    <n v="10"/>
    <s v="No"/>
    <s v="In-store"/>
    <n v="1228.54"/>
  </r>
  <r>
    <x v="884"/>
    <x v="2"/>
    <n v="46"/>
    <s v="Seattle"/>
    <s v="Divorced"/>
    <s v="Medium"/>
    <x v="4"/>
    <s v="PROD0087"/>
    <n v="854.78"/>
    <n v="2"/>
    <d v="2023-04-26T00:00:00"/>
    <x v="1"/>
    <n v="10"/>
    <s v="No"/>
    <s v="Online"/>
    <n v="1709.56"/>
  </r>
  <r>
    <x v="885"/>
    <x v="2"/>
    <n v="47"/>
    <s v="Boston"/>
    <s v="Single"/>
    <s v="High"/>
    <x v="4"/>
    <s v="PROD0126"/>
    <n v="91.75"/>
    <n v="1"/>
    <d v="2023-01-03T00:00:00"/>
    <x v="2"/>
    <n v="5"/>
    <s v="Yes"/>
    <s v="Online"/>
    <n v="91.75"/>
  </r>
  <r>
    <x v="886"/>
    <x v="2"/>
    <n v="47"/>
    <s v="New York"/>
    <s v="Married"/>
    <s v="Low"/>
    <x v="4"/>
    <s v="PROD0179"/>
    <n v="822.3"/>
    <n v="2"/>
    <d v="2023-11-18T00:00:00"/>
    <x v="0"/>
    <n v="7"/>
    <s v="Yes"/>
    <s v="Online"/>
    <n v="1644.6"/>
  </r>
  <r>
    <x v="887"/>
    <x v="2"/>
    <n v="49"/>
    <s v="Chicago"/>
    <s v="Single"/>
    <s v="Low"/>
    <x v="4"/>
    <s v="PROD0010"/>
    <n v="17.28"/>
    <n v="3"/>
    <d v="2024-01-02T00:00:00"/>
    <x v="3"/>
    <n v="10"/>
    <s v="No"/>
    <s v="In-store"/>
    <n v="51.84"/>
  </r>
  <r>
    <x v="888"/>
    <x v="2"/>
    <n v="50"/>
    <s v="Chicago"/>
    <s v="Divorced"/>
    <s v="Medium"/>
    <x v="4"/>
    <s v="PROD0198"/>
    <n v="168.28"/>
    <n v="5"/>
    <d v="2023-12-21T00:00:00"/>
    <x v="2"/>
    <n v="1"/>
    <s v="No"/>
    <s v="In-store"/>
    <n v="841.4"/>
  </r>
  <r>
    <x v="889"/>
    <x v="2"/>
    <n v="51"/>
    <s v="Phoenix"/>
    <s v="Divorced"/>
    <s v="Medium"/>
    <x v="4"/>
    <s v="PROD0012"/>
    <n v="289.10000000000002"/>
    <n v="3"/>
    <d v="2023-10-03T00:00:00"/>
    <x v="1"/>
    <n v="5"/>
    <s v="No"/>
    <s v="Online"/>
    <n v="867.30000000000007"/>
  </r>
  <r>
    <x v="890"/>
    <x v="2"/>
    <n v="51"/>
    <s v="Miami"/>
    <s v="Divorced"/>
    <s v="Medium"/>
    <x v="4"/>
    <s v="PROD0084"/>
    <n v="943.55"/>
    <n v="5"/>
    <d v="2024-08-22T00:00:00"/>
    <x v="1"/>
    <n v="2"/>
    <s v="Yes"/>
    <s v="Online"/>
    <n v="4717.75"/>
  </r>
  <r>
    <x v="891"/>
    <x v="2"/>
    <n v="52"/>
    <s v="Seattle"/>
    <s v="Divorced"/>
    <s v="Medium"/>
    <x v="4"/>
    <s v="PROD0052"/>
    <n v="59.11"/>
    <n v="2"/>
    <d v="2024-04-11T00:00:00"/>
    <x v="3"/>
    <n v="3"/>
    <s v="Yes"/>
    <s v="Online"/>
    <n v="118.22"/>
  </r>
  <r>
    <x v="892"/>
    <x v="2"/>
    <n v="52"/>
    <s v="Phoenix"/>
    <s v="Divorced"/>
    <s v="Low"/>
    <x v="4"/>
    <s v="PROD0028"/>
    <n v="211.95"/>
    <n v="3"/>
    <d v="2024-04-21T00:00:00"/>
    <x v="0"/>
    <n v="7"/>
    <s v="No"/>
    <s v="Online"/>
    <n v="635.84999999999991"/>
  </r>
  <r>
    <x v="893"/>
    <x v="2"/>
    <n v="52"/>
    <s v="Boston"/>
    <s v="Divorced"/>
    <s v="Medium"/>
    <x v="4"/>
    <s v="PROD0109"/>
    <n v="890.11"/>
    <n v="5"/>
    <d v="2024-03-29T00:00:00"/>
    <x v="3"/>
    <n v="2"/>
    <s v="Yes"/>
    <s v="Online"/>
    <n v="4450.55"/>
  </r>
  <r>
    <x v="894"/>
    <x v="2"/>
    <n v="53"/>
    <s v="New York"/>
    <s v="Divorced"/>
    <s v="Medium"/>
    <x v="4"/>
    <s v="PROD0031"/>
    <n v="171.72"/>
    <n v="2"/>
    <d v="2024-06-30T00:00:00"/>
    <x v="1"/>
    <n v="6"/>
    <s v="Yes"/>
    <s v="Online"/>
    <n v="343.44"/>
  </r>
  <r>
    <x v="895"/>
    <x v="2"/>
    <n v="54"/>
    <s v="Chicago"/>
    <s v="Married"/>
    <s v="Low"/>
    <x v="4"/>
    <s v="PROD0193"/>
    <n v="693.15"/>
    <n v="5"/>
    <d v="2023-08-27T00:00:00"/>
    <x v="0"/>
    <n v="2"/>
    <s v="No"/>
    <s v="Online"/>
    <n v="3465.75"/>
  </r>
  <r>
    <x v="896"/>
    <x v="2"/>
    <n v="55"/>
    <s v="Chicago"/>
    <s v="Divorced"/>
    <s v="High"/>
    <x v="4"/>
    <s v="PROD0066"/>
    <n v="322.48"/>
    <n v="3"/>
    <d v="2024-03-16T00:00:00"/>
    <x v="3"/>
    <n v="10"/>
    <s v="No"/>
    <s v="In-store"/>
    <n v="967.44"/>
  </r>
  <r>
    <x v="897"/>
    <x v="2"/>
    <n v="55"/>
    <s v="Seattle"/>
    <s v="Divorced"/>
    <s v="Low"/>
    <x v="4"/>
    <s v="PROD0034"/>
    <n v="929.27"/>
    <n v="4"/>
    <d v="2024-02-13T00:00:00"/>
    <x v="3"/>
    <n v="4"/>
    <s v="No"/>
    <s v="Online"/>
    <n v="3717.08"/>
  </r>
  <r>
    <x v="898"/>
    <x v="2"/>
    <n v="56"/>
    <s v="Seattle"/>
    <s v="Married"/>
    <s v="Medium"/>
    <x v="4"/>
    <s v="PROD0011"/>
    <n v="478.7"/>
    <n v="3"/>
    <d v="2024-01-12T00:00:00"/>
    <x v="3"/>
    <n v="10"/>
    <s v="Yes"/>
    <s v="Online"/>
    <n v="1436.1"/>
  </r>
  <r>
    <x v="899"/>
    <x v="2"/>
    <n v="57"/>
    <s v="Phoenix"/>
    <s v="Married"/>
    <s v="Medium"/>
    <x v="4"/>
    <s v="PROD0090"/>
    <n v="466.13"/>
    <n v="4"/>
    <d v="2023-09-29T00:00:00"/>
    <x v="0"/>
    <n v="9"/>
    <s v="Yes"/>
    <s v="Online"/>
    <n v="1864.52"/>
  </r>
  <r>
    <x v="900"/>
    <x v="2"/>
    <n v="57"/>
    <s v="Houston"/>
    <s v="Divorced"/>
    <s v="Medium"/>
    <x v="4"/>
    <s v="PROD0130"/>
    <n v="887.52"/>
    <n v="3"/>
    <d v="2024-03-25T00:00:00"/>
    <x v="0"/>
    <n v="6"/>
    <s v="No"/>
    <s v="Online"/>
    <n v="2662.56"/>
  </r>
  <r>
    <x v="901"/>
    <x v="2"/>
    <n v="62"/>
    <s v="Miami"/>
    <s v="Married"/>
    <s v="Medium"/>
    <x v="4"/>
    <s v="PROD0090"/>
    <n v="269.77999999999997"/>
    <n v="5"/>
    <d v="2023-11-15T00:00:00"/>
    <x v="1"/>
    <n v="5"/>
    <s v="Yes"/>
    <s v="Online"/>
    <n v="1348.8999999999999"/>
  </r>
  <r>
    <x v="902"/>
    <x v="2"/>
    <n v="63"/>
    <s v="Phoenix"/>
    <s v="Divorced"/>
    <s v="High"/>
    <x v="4"/>
    <s v="PROD0075"/>
    <n v="134"/>
    <n v="1"/>
    <d v="2024-06-16T00:00:00"/>
    <x v="1"/>
    <n v="3"/>
    <s v="Yes"/>
    <s v="In-store"/>
    <n v="134"/>
  </r>
  <r>
    <x v="903"/>
    <x v="2"/>
    <n v="63"/>
    <s v="Phoenix"/>
    <s v="Single"/>
    <s v="Low"/>
    <x v="4"/>
    <s v="PROD0103"/>
    <n v="200.57"/>
    <n v="2"/>
    <d v="2024-01-03T00:00:00"/>
    <x v="3"/>
    <n v="2"/>
    <s v="No"/>
    <s v="Online"/>
    <n v="401.14"/>
  </r>
  <r>
    <x v="904"/>
    <x v="2"/>
    <n v="64"/>
    <s v="Phoenix"/>
    <s v="Divorced"/>
    <s v="Medium"/>
    <x v="4"/>
    <s v="PROD0058"/>
    <n v="327.2"/>
    <n v="1"/>
    <d v="2023-05-17T00:00:00"/>
    <x v="3"/>
    <n v="2"/>
    <s v="No"/>
    <s v="Online"/>
    <n v="327.2"/>
  </r>
  <r>
    <x v="905"/>
    <x v="2"/>
    <n v="64"/>
    <s v="Miami"/>
    <s v="Married"/>
    <s v="Low"/>
    <x v="4"/>
    <s v="PROD0080"/>
    <n v="444.74"/>
    <n v="5"/>
    <d v="2024-04-30T00:00:00"/>
    <x v="0"/>
    <n v="10"/>
    <s v="No"/>
    <s v="In-store"/>
    <n v="2223.6999999999998"/>
  </r>
  <r>
    <x v="906"/>
    <x v="2"/>
    <n v="64"/>
    <s v="Chicago"/>
    <s v="Married"/>
    <s v="Low"/>
    <x v="4"/>
    <s v="PROD0194"/>
    <n v="816.24"/>
    <n v="1"/>
    <d v="2023-11-09T00:00:00"/>
    <x v="0"/>
    <n v="2"/>
    <s v="No"/>
    <s v="In-store"/>
    <n v="816.24"/>
  </r>
  <r>
    <x v="907"/>
    <x v="2"/>
    <n v="68"/>
    <s v="Houston"/>
    <s v="Divorced"/>
    <s v="Medium"/>
    <x v="4"/>
    <s v="PROD0173"/>
    <n v="132.61000000000001"/>
    <n v="1"/>
    <d v="2023-06-19T00:00:00"/>
    <x v="2"/>
    <n v="1"/>
    <s v="No"/>
    <s v="Online"/>
    <n v="132.61000000000001"/>
  </r>
  <r>
    <x v="908"/>
    <x v="2"/>
    <n v="69"/>
    <s v="Miami"/>
    <s v="Married"/>
    <s v="Medium"/>
    <x v="4"/>
    <s v="PROD0020"/>
    <n v="154.06"/>
    <n v="3"/>
    <d v="2024-08-04T00:00:00"/>
    <x v="3"/>
    <n v="1"/>
    <s v="No"/>
    <s v="In-store"/>
    <n v="462.18"/>
  </r>
  <r>
    <x v="909"/>
    <x v="2"/>
    <n v="69"/>
    <s v="Miami"/>
    <s v="Divorced"/>
    <s v="Medium"/>
    <x v="4"/>
    <s v="PROD0043"/>
    <n v="422.99"/>
    <n v="3"/>
    <d v="2023-06-22T00:00:00"/>
    <x v="3"/>
    <n v="6"/>
    <s v="No"/>
    <s v="Online"/>
    <n v="1268.97"/>
  </r>
  <r>
    <x v="910"/>
    <x v="2"/>
    <n v="18"/>
    <s v="Houston"/>
    <s v="Divorced"/>
    <s v="Medium"/>
    <x v="5"/>
    <s v="PROD0161"/>
    <n v="926.8"/>
    <n v="4"/>
    <d v="2023-05-06T00:00:00"/>
    <x v="1"/>
    <n v="4"/>
    <s v="Yes"/>
    <s v="Online"/>
    <n v="3707.2"/>
  </r>
  <r>
    <x v="911"/>
    <x v="2"/>
    <n v="19"/>
    <s v="Houston"/>
    <s v="Divorced"/>
    <s v="Low"/>
    <x v="5"/>
    <s v="PROD0042"/>
    <n v="429.53"/>
    <n v="4"/>
    <d v="2024-05-19T00:00:00"/>
    <x v="0"/>
    <n v="10"/>
    <s v="No"/>
    <s v="Online"/>
    <n v="1718.12"/>
  </r>
  <r>
    <x v="912"/>
    <x v="2"/>
    <n v="24"/>
    <s v="Los Angeles"/>
    <s v="Divorced"/>
    <s v="Low"/>
    <x v="5"/>
    <s v="PROD0112"/>
    <n v="720.09"/>
    <n v="3"/>
    <d v="2024-08-06T00:00:00"/>
    <x v="0"/>
    <n v="1"/>
    <s v="Yes"/>
    <s v="Online"/>
    <n v="2160.27"/>
  </r>
  <r>
    <x v="913"/>
    <x v="2"/>
    <n v="25"/>
    <s v="Los Angeles"/>
    <s v="Single"/>
    <s v="High"/>
    <x v="5"/>
    <s v="PROD0136"/>
    <n v="450.13"/>
    <n v="4"/>
    <d v="2024-04-30T00:00:00"/>
    <x v="0"/>
    <n v="3"/>
    <s v="No"/>
    <s v="Online"/>
    <n v="1800.52"/>
  </r>
  <r>
    <x v="914"/>
    <x v="2"/>
    <n v="25"/>
    <s v="Boston"/>
    <s v="Married"/>
    <s v="High"/>
    <x v="5"/>
    <s v="PROD0126"/>
    <n v="871"/>
    <n v="4"/>
    <d v="2023-10-19T00:00:00"/>
    <x v="3"/>
    <n v="6"/>
    <s v="No"/>
    <s v="Online"/>
    <n v="3484"/>
  </r>
  <r>
    <x v="915"/>
    <x v="2"/>
    <n v="26"/>
    <s v="Houston"/>
    <s v="Single"/>
    <s v="High"/>
    <x v="5"/>
    <s v="PROD0058"/>
    <n v="327.79"/>
    <n v="3"/>
    <d v="2024-08-31T00:00:00"/>
    <x v="2"/>
    <n v="8"/>
    <s v="No"/>
    <s v="In-store"/>
    <n v="983.37000000000012"/>
  </r>
  <r>
    <x v="916"/>
    <x v="2"/>
    <n v="26"/>
    <s v="Houston"/>
    <s v="Single"/>
    <s v="High"/>
    <x v="5"/>
    <s v="PROD0092"/>
    <n v="958.56"/>
    <n v="5"/>
    <d v="2024-06-06T00:00:00"/>
    <x v="0"/>
    <n v="4"/>
    <s v="Yes"/>
    <s v="Online"/>
    <n v="4792.7999999999993"/>
  </r>
  <r>
    <x v="917"/>
    <x v="2"/>
    <n v="30"/>
    <s v="Boston"/>
    <s v="Married"/>
    <s v="Medium"/>
    <x v="5"/>
    <s v="PROD0028"/>
    <n v="129.16"/>
    <n v="4"/>
    <d v="2024-07-25T00:00:00"/>
    <x v="2"/>
    <n v="9"/>
    <s v="No"/>
    <s v="In-store"/>
    <n v="516.64"/>
  </r>
  <r>
    <x v="918"/>
    <x v="2"/>
    <n v="30"/>
    <s v="New York"/>
    <s v="Married"/>
    <s v="High"/>
    <x v="5"/>
    <s v="PROD0148"/>
    <n v="983.87"/>
    <n v="3"/>
    <d v="2024-08-15T00:00:00"/>
    <x v="2"/>
    <n v="6"/>
    <s v="Yes"/>
    <s v="Online"/>
    <n v="2951.61"/>
  </r>
  <r>
    <x v="919"/>
    <x v="2"/>
    <n v="31"/>
    <s v="New York"/>
    <s v="Single"/>
    <s v="Medium"/>
    <x v="5"/>
    <s v="PROD0162"/>
    <n v="347.83"/>
    <n v="5"/>
    <d v="2023-10-21T00:00:00"/>
    <x v="0"/>
    <n v="1"/>
    <s v="No"/>
    <s v="Online"/>
    <n v="1739.1499999999999"/>
  </r>
  <r>
    <x v="920"/>
    <x v="2"/>
    <n v="32"/>
    <s v="New York"/>
    <s v="Married"/>
    <s v="Medium"/>
    <x v="5"/>
    <s v="PROD0101"/>
    <n v="115.73"/>
    <n v="1"/>
    <d v="2023-09-01T00:00:00"/>
    <x v="0"/>
    <n v="10"/>
    <s v="No"/>
    <s v="Online"/>
    <n v="115.73"/>
  </r>
  <r>
    <x v="921"/>
    <x v="2"/>
    <n v="32"/>
    <s v="Los Angeles"/>
    <s v="Divorced"/>
    <s v="High"/>
    <x v="5"/>
    <s v="PROD0191"/>
    <n v="783.65"/>
    <n v="3"/>
    <d v="2024-06-17T00:00:00"/>
    <x v="2"/>
    <n v="2"/>
    <s v="No"/>
    <s v="In-store"/>
    <n v="2350.9499999999998"/>
  </r>
  <r>
    <x v="922"/>
    <x v="2"/>
    <n v="37"/>
    <s v="Chicago"/>
    <s v="Single"/>
    <s v="Medium"/>
    <x v="5"/>
    <s v="PROD0017"/>
    <n v="828.13"/>
    <n v="1"/>
    <d v="2023-10-06T00:00:00"/>
    <x v="0"/>
    <n v="3"/>
    <s v="No"/>
    <s v="Online"/>
    <n v="828.13"/>
  </r>
  <r>
    <x v="923"/>
    <x v="2"/>
    <n v="39"/>
    <s v="Seattle"/>
    <s v="Married"/>
    <s v="Medium"/>
    <x v="5"/>
    <s v="PROD0004"/>
    <n v="84.15"/>
    <n v="3"/>
    <d v="2024-10-17T00:00:00"/>
    <x v="0"/>
    <n v="3"/>
    <s v="No"/>
    <s v="In-store"/>
    <n v="252.45000000000002"/>
  </r>
  <r>
    <x v="924"/>
    <x v="2"/>
    <n v="40"/>
    <s v="Los Angeles"/>
    <s v="Single"/>
    <s v="Low"/>
    <x v="5"/>
    <s v="PROD0171"/>
    <n v="92.39"/>
    <n v="4"/>
    <d v="2023-03-22T00:00:00"/>
    <x v="2"/>
    <n v="10"/>
    <s v="No"/>
    <s v="In-store"/>
    <n v="369.56"/>
  </r>
  <r>
    <x v="925"/>
    <x v="2"/>
    <n v="40"/>
    <s v="New York"/>
    <s v="Married"/>
    <s v="Medium"/>
    <x v="5"/>
    <s v="PROD0012"/>
    <n v="979.24"/>
    <n v="2"/>
    <d v="2023-08-15T00:00:00"/>
    <x v="0"/>
    <n v="1"/>
    <s v="No"/>
    <s v="Online"/>
    <n v="1958.48"/>
  </r>
  <r>
    <x v="926"/>
    <x v="2"/>
    <n v="45"/>
    <s v="Phoenix"/>
    <s v="Divorced"/>
    <s v="Medium"/>
    <x v="5"/>
    <s v="PROD0179"/>
    <n v="62.3"/>
    <n v="5"/>
    <d v="2023-04-12T00:00:00"/>
    <x v="2"/>
    <n v="1"/>
    <s v="No"/>
    <s v="Online"/>
    <n v="311.5"/>
  </r>
  <r>
    <x v="927"/>
    <x v="2"/>
    <n v="49"/>
    <s v="Boston"/>
    <s v="Single"/>
    <s v="Low"/>
    <x v="5"/>
    <s v="PROD0073"/>
    <n v="319.70999999999998"/>
    <n v="1"/>
    <d v="2024-03-24T00:00:00"/>
    <x v="1"/>
    <n v="2"/>
    <s v="Yes"/>
    <s v="In-store"/>
    <n v="319.70999999999998"/>
  </r>
  <r>
    <x v="928"/>
    <x v="2"/>
    <n v="50"/>
    <s v="New York"/>
    <s v="Single"/>
    <s v="Medium"/>
    <x v="5"/>
    <s v="PROD0165"/>
    <n v="213.82"/>
    <n v="1"/>
    <d v="2024-05-08T00:00:00"/>
    <x v="3"/>
    <n v="1"/>
    <s v="No"/>
    <s v="Online"/>
    <n v="213.82"/>
  </r>
  <r>
    <x v="929"/>
    <x v="2"/>
    <n v="50"/>
    <s v="Boston"/>
    <s v="Single"/>
    <s v="Medium"/>
    <x v="5"/>
    <s v="PROD0017"/>
    <n v="852.34"/>
    <n v="3"/>
    <d v="2023-02-18T00:00:00"/>
    <x v="1"/>
    <n v="7"/>
    <s v="Yes"/>
    <s v="In-store"/>
    <n v="2557.02"/>
  </r>
  <r>
    <x v="930"/>
    <x v="2"/>
    <n v="51"/>
    <s v="New York"/>
    <s v="Married"/>
    <s v="High"/>
    <x v="5"/>
    <s v="PROD0173"/>
    <n v="58.8"/>
    <n v="4"/>
    <d v="2023-05-17T00:00:00"/>
    <x v="2"/>
    <n v="1"/>
    <s v="Yes"/>
    <s v="Online"/>
    <n v="235.2"/>
  </r>
  <r>
    <x v="931"/>
    <x v="2"/>
    <n v="51"/>
    <s v="Phoenix"/>
    <s v="Single"/>
    <s v="Medium"/>
    <x v="5"/>
    <s v="PROD0153"/>
    <n v="318.54000000000002"/>
    <n v="4"/>
    <d v="2023-11-02T00:00:00"/>
    <x v="0"/>
    <n v="4"/>
    <s v="Yes"/>
    <s v="Online"/>
    <n v="1274.1600000000001"/>
  </r>
  <r>
    <x v="932"/>
    <x v="2"/>
    <n v="51"/>
    <s v="Houston"/>
    <s v="Divorced"/>
    <s v="Low"/>
    <x v="5"/>
    <s v="PROD0009"/>
    <n v="509.09"/>
    <n v="1"/>
    <d v="2024-01-04T00:00:00"/>
    <x v="2"/>
    <n v="8"/>
    <s v="Yes"/>
    <s v="In-store"/>
    <n v="509.09"/>
  </r>
  <r>
    <x v="933"/>
    <x v="2"/>
    <n v="51"/>
    <s v="Houston"/>
    <s v="Married"/>
    <s v="High"/>
    <x v="5"/>
    <s v="PROD0077"/>
    <n v="646.35"/>
    <n v="5"/>
    <d v="2023-10-11T00:00:00"/>
    <x v="1"/>
    <n v="4"/>
    <s v="No"/>
    <s v="In-store"/>
    <n v="3231.75"/>
  </r>
  <r>
    <x v="934"/>
    <x v="2"/>
    <n v="52"/>
    <s v="Los Angeles"/>
    <s v="Single"/>
    <s v="Medium"/>
    <x v="5"/>
    <s v="PROD0178"/>
    <n v="113.27"/>
    <n v="5"/>
    <d v="2023-06-13T00:00:00"/>
    <x v="1"/>
    <n v="8"/>
    <s v="No"/>
    <s v="In-store"/>
    <n v="566.35"/>
  </r>
  <r>
    <x v="935"/>
    <x v="2"/>
    <n v="53"/>
    <s v="Los Angeles"/>
    <s v="Married"/>
    <s v="Medium"/>
    <x v="5"/>
    <s v="PROD0144"/>
    <n v="207.23"/>
    <n v="4"/>
    <d v="2024-01-27T00:00:00"/>
    <x v="3"/>
    <n v="6"/>
    <s v="No"/>
    <s v="In-store"/>
    <n v="828.92"/>
  </r>
  <r>
    <x v="936"/>
    <x v="2"/>
    <n v="54"/>
    <s v="Phoenix"/>
    <s v="Single"/>
    <s v="Low"/>
    <x v="5"/>
    <s v="PROD0042"/>
    <n v="368.67"/>
    <n v="2"/>
    <d v="2024-06-17T00:00:00"/>
    <x v="3"/>
    <n v="3"/>
    <s v="Yes"/>
    <s v="Online"/>
    <n v="737.34"/>
  </r>
  <r>
    <x v="937"/>
    <x v="2"/>
    <n v="54"/>
    <s v="Los Angeles"/>
    <s v="Divorced"/>
    <s v="Medium"/>
    <x v="5"/>
    <s v="PROD0009"/>
    <n v="479.57"/>
    <n v="5"/>
    <d v="2024-09-04T00:00:00"/>
    <x v="0"/>
    <n v="3"/>
    <s v="No"/>
    <s v="In-store"/>
    <n v="2397.85"/>
  </r>
  <r>
    <x v="938"/>
    <x v="2"/>
    <n v="54"/>
    <s v="Miami"/>
    <s v="Married"/>
    <s v="Medium"/>
    <x v="5"/>
    <s v="PROD0068"/>
    <n v="782.25"/>
    <n v="2"/>
    <d v="2024-04-09T00:00:00"/>
    <x v="2"/>
    <n v="8"/>
    <s v="No"/>
    <s v="In-store"/>
    <n v="1564.5"/>
  </r>
  <r>
    <x v="939"/>
    <x v="2"/>
    <n v="55"/>
    <s v="Phoenix"/>
    <s v="Single"/>
    <s v="High"/>
    <x v="5"/>
    <s v="PROD0004"/>
    <n v="898.42"/>
    <n v="3"/>
    <d v="2024-03-05T00:00:00"/>
    <x v="2"/>
    <n v="4"/>
    <s v="Yes"/>
    <s v="Online"/>
    <n v="2695.2599999999998"/>
  </r>
  <r>
    <x v="940"/>
    <x v="2"/>
    <n v="57"/>
    <s v="Phoenix"/>
    <s v="Divorced"/>
    <s v="Medium"/>
    <x v="5"/>
    <s v="PROD0198"/>
    <n v="131.27000000000001"/>
    <n v="2"/>
    <d v="2023-07-02T00:00:00"/>
    <x v="3"/>
    <n v="3"/>
    <s v="Yes"/>
    <s v="Online"/>
    <n v="262.54000000000002"/>
  </r>
  <r>
    <x v="941"/>
    <x v="2"/>
    <n v="57"/>
    <s v="Boston"/>
    <s v="Married"/>
    <s v="Medium"/>
    <x v="5"/>
    <s v="PROD0157"/>
    <n v="282.81"/>
    <n v="3"/>
    <d v="2023-10-24T00:00:00"/>
    <x v="1"/>
    <n v="5"/>
    <s v="No"/>
    <s v="In-store"/>
    <n v="848.43000000000006"/>
  </r>
  <r>
    <x v="942"/>
    <x v="2"/>
    <n v="59"/>
    <s v="Houston"/>
    <s v="Divorced"/>
    <s v="Medium"/>
    <x v="5"/>
    <s v="PROD0066"/>
    <n v="192.46"/>
    <n v="3"/>
    <d v="2023-08-30T00:00:00"/>
    <x v="3"/>
    <n v="7"/>
    <s v="No"/>
    <s v="Online"/>
    <n v="577.38"/>
  </r>
  <r>
    <x v="943"/>
    <x v="2"/>
    <n v="60"/>
    <s v="Phoenix"/>
    <s v="Single"/>
    <s v="High"/>
    <x v="5"/>
    <s v="PROD0009"/>
    <n v="451.37"/>
    <n v="2"/>
    <d v="2023-01-16T00:00:00"/>
    <x v="0"/>
    <n v="3"/>
    <s v="No"/>
    <s v="In-store"/>
    <n v="902.74"/>
  </r>
  <r>
    <x v="944"/>
    <x v="2"/>
    <n v="61"/>
    <s v="Seattle"/>
    <s v="Married"/>
    <s v="Low"/>
    <x v="5"/>
    <s v="PROD0016"/>
    <n v="118.76"/>
    <n v="3"/>
    <d v="2024-05-31T00:00:00"/>
    <x v="3"/>
    <n v="3"/>
    <s v="Yes"/>
    <s v="In-store"/>
    <n v="356.28000000000003"/>
  </r>
  <r>
    <x v="945"/>
    <x v="2"/>
    <n v="61"/>
    <s v="Los Angeles"/>
    <s v="Married"/>
    <s v="Low"/>
    <x v="5"/>
    <s v="PROD0137"/>
    <n v="764.55"/>
    <n v="4"/>
    <d v="2024-05-20T00:00:00"/>
    <x v="3"/>
    <n v="9"/>
    <s v="Yes"/>
    <s v="Online"/>
    <n v="3058.2"/>
  </r>
  <r>
    <x v="946"/>
    <x v="2"/>
    <n v="64"/>
    <s v="Boston"/>
    <s v="Single"/>
    <s v="Low"/>
    <x v="5"/>
    <s v="PROD0045"/>
    <n v="437.49"/>
    <n v="3"/>
    <d v="2024-03-08T00:00:00"/>
    <x v="1"/>
    <n v="8"/>
    <s v="Yes"/>
    <s v="In-store"/>
    <n v="1312.47"/>
  </r>
  <r>
    <x v="947"/>
    <x v="2"/>
    <n v="66"/>
    <s v="Phoenix"/>
    <s v="Single"/>
    <s v="Medium"/>
    <x v="5"/>
    <s v="PROD0152"/>
    <n v="75.39"/>
    <n v="5"/>
    <d v="2023-09-28T00:00:00"/>
    <x v="3"/>
    <n v="5"/>
    <s v="No"/>
    <s v="Online"/>
    <n v="376.95"/>
  </r>
  <r>
    <x v="948"/>
    <x v="2"/>
    <n v="67"/>
    <s v="Chicago"/>
    <s v="Divorced"/>
    <s v="Low"/>
    <x v="5"/>
    <s v="PROD0158"/>
    <n v="46.1"/>
    <n v="5"/>
    <d v="2024-05-02T00:00:00"/>
    <x v="3"/>
    <n v="2"/>
    <s v="Yes"/>
    <s v="In-store"/>
    <n v="230.5"/>
  </r>
  <r>
    <x v="949"/>
    <x v="2"/>
    <n v="67"/>
    <s v="Phoenix"/>
    <s v="Divorced"/>
    <s v="Medium"/>
    <x v="5"/>
    <s v="PROD0166"/>
    <n v="86.2"/>
    <n v="2"/>
    <d v="2023-02-10T00:00:00"/>
    <x v="0"/>
    <n v="6"/>
    <s v="No"/>
    <s v="In-store"/>
    <n v="172.4"/>
  </r>
  <r>
    <x v="950"/>
    <x v="2"/>
    <n v="67"/>
    <s v="Boston"/>
    <s v="Divorced"/>
    <s v="High"/>
    <x v="5"/>
    <s v="PROD0116"/>
    <n v="651.98"/>
    <n v="2"/>
    <d v="2023-06-25T00:00:00"/>
    <x v="1"/>
    <n v="9"/>
    <s v="No"/>
    <s v="In-store"/>
    <n v="1303.96"/>
  </r>
  <r>
    <x v="951"/>
    <x v="2"/>
    <n v="67"/>
    <s v="Los Angeles"/>
    <s v="Divorced"/>
    <s v="Low"/>
    <x v="5"/>
    <s v="PROD0019"/>
    <n v="677.02"/>
    <n v="2"/>
    <d v="2024-07-20T00:00:00"/>
    <x v="0"/>
    <n v="9"/>
    <s v="Yes"/>
    <s v="Online"/>
    <n v="1354.04"/>
  </r>
  <r>
    <x v="952"/>
    <x v="2"/>
    <n v="68"/>
    <s v="Seattle"/>
    <s v="Divorced"/>
    <s v="Low"/>
    <x v="5"/>
    <s v="PROD0068"/>
    <n v="529.79999999999995"/>
    <n v="5"/>
    <d v="2024-04-10T00:00:00"/>
    <x v="2"/>
    <n v="4"/>
    <s v="Yes"/>
    <s v="In-store"/>
    <n v="2649"/>
  </r>
  <r>
    <x v="953"/>
    <x v="2"/>
    <n v="20"/>
    <s v="Seattle"/>
    <s v="Single"/>
    <s v="Low"/>
    <x v="6"/>
    <s v="PROD0173"/>
    <n v="930.86"/>
    <n v="4"/>
    <d v="2024-08-03T00:00:00"/>
    <x v="0"/>
    <n v="2"/>
    <s v="No"/>
    <s v="In-store"/>
    <n v="3723.44"/>
  </r>
  <r>
    <x v="954"/>
    <x v="2"/>
    <n v="27"/>
    <s v="Phoenix"/>
    <s v="Single"/>
    <s v="Medium"/>
    <x v="6"/>
    <s v="PROD0061"/>
    <n v="742.07"/>
    <n v="1"/>
    <d v="2023-05-21T00:00:00"/>
    <x v="2"/>
    <n v="1"/>
    <s v="Yes"/>
    <s v="In-store"/>
    <n v="742.07"/>
  </r>
  <r>
    <x v="955"/>
    <x v="2"/>
    <n v="28"/>
    <s v="Chicago"/>
    <s v="Married"/>
    <s v="High"/>
    <x v="6"/>
    <s v="PROD0186"/>
    <n v="58.82"/>
    <n v="1"/>
    <d v="2023-06-18T00:00:00"/>
    <x v="2"/>
    <n v="9"/>
    <s v="Yes"/>
    <s v="Online"/>
    <n v="58.82"/>
  </r>
  <r>
    <x v="956"/>
    <x v="2"/>
    <n v="29"/>
    <s v="Boston"/>
    <s v="Married"/>
    <s v="Low"/>
    <x v="6"/>
    <s v="PROD0032"/>
    <n v="21.88"/>
    <n v="5"/>
    <d v="2023-01-27T00:00:00"/>
    <x v="2"/>
    <n v="5"/>
    <s v="No"/>
    <s v="Online"/>
    <n v="109.39999999999999"/>
  </r>
  <r>
    <x v="957"/>
    <x v="2"/>
    <n v="29"/>
    <s v="Chicago"/>
    <s v="Single"/>
    <s v="High"/>
    <x v="6"/>
    <s v="PROD0183"/>
    <n v="878.36"/>
    <n v="4"/>
    <d v="2024-09-14T00:00:00"/>
    <x v="2"/>
    <n v="1"/>
    <s v="Yes"/>
    <s v="In-store"/>
    <n v="3513.44"/>
  </r>
  <r>
    <x v="958"/>
    <x v="2"/>
    <n v="30"/>
    <s v="Boston"/>
    <s v="Divorced"/>
    <s v="Low"/>
    <x v="6"/>
    <s v="PROD0111"/>
    <n v="434.07"/>
    <n v="5"/>
    <d v="2023-12-15T00:00:00"/>
    <x v="3"/>
    <n v="4"/>
    <s v="No"/>
    <s v="In-store"/>
    <n v="2170.35"/>
  </r>
  <r>
    <x v="959"/>
    <x v="2"/>
    <n v="31"/>
    <s v="Boston"/>
    <s v="Divorced"/>
    <s v="Medium"/>
    <x v="6"/>
    <s v="PROD0185"/>
    <n v="517.49"/>
    <n v="3"/>
    <d v="2023-09-04T00:00:00"/>
    <x v="3"/>
    <n v="5"/>
    <s v="No"/>
    <s v="In-store"/>
    <n v="1552.47"/>
  </r>
  <r>
    <x v="960"/>
    <x v="2"/>
    <n v="31"/>
    <s v="Boston"/>
    <s v="Married"/>
    <s v="Medium"/>
    <x v="6"/>
    <s v="PROD0121"/>
    <n v="730.84"/>
    <n v="1"/>
    <d v="2023-03-27T00:00:00"/>
    <x v="1"/>
    <n v="1"/>
    <s v="No"/>
    <s v="In-store"/>
    <n v="730.84"/>
  </r>
  <r>
    <x v="961"/>
    <x v="2"/>
    <n v="32"/>
    <s v="Boston"/>
    <s v="Married"/>
    <s v="Low"/>
    <x v="6"/>
    <s v="PROD0011"/>
    <n v="265.52999999999997"/>
    <n v="1"/>
    <d v="2023-10-23T00:00:00"/>
    <x v="1"/>
    <n v="3"/>
    <s v="No"/>
    <s v="In-store"/>
    <n v="265.52999999999997"/>
  </r>
  <r>
    <x v="962"/>
    <x v="2"/>
    <n v="34"/>
    <s v="Seattle"/>
    <s v="Single"/>
    <s v="Medium"/>
    <x v="6"/>
    <s v="PROD0118"/>
    <n v="324.86"/>
    <n v="4"/>
    <d v="2024-01-01T00:00:00"/>
    <x v="0"/>
    <n v="5"/>
    <s v="No"/>
    <s v="In-store"/>
    <n v="1299.44"/>
  </r>
  <r>
    <x v="963"/>
    <x v="2"/>
    <n v="34"/>
    <s v="New York"/>
    <s v="Divorced"/>
    <s v="Medium"/>
    <x v="6"/>
    <s v="PROD0111"/>
    <n v="754.28"/>
    <n v="1"/>
    <d v="2023-09-10T00:00:00"/>
    <x v="0"/>
    <n v="9"/>
    <s v="No"/>
    <s v="Online"/>
    <n v="754.28"/>
  </r>
  <r>
    <x v="964"/>
    <x v="2"/>
    <n v="35"/>
    <s v="Los Angeles"/>
    <s v="Married"/>
    <s v="High"/>
    <x v="6"/>
    <s v="PROD0012"/>
    <n v="241.23"/>
    <n v="1"/>
    <d v="2023-03-13T00:00:00"/>
    <x v="2"/>
    <n v="3"/>
    <s v="Yes"/>
    <s v="Online"/>
    <n v="241.23"/>
  </r>
  <r>
    <x v="965"/>
    <x v="2"/>
    <n v="36"/>
    <s v="Los Angeles"/>
    <s v="Married"/>
    <s v="High"/>
    <x v="6"/>
    <s v="PROD0046"/>
    <n v="840.71"/>
    <n v="2"/>
    <d v="2023-07-12T00:00:00"/>
    <x v="1"/>
    <n v="4"/>
    <s v="No"/>
    <s v="Online"/>
    <n v="1681.42"/>
  </r>
  <r>
    <x v="966"/>
    <x v="2"/>
    <n v="37"/>
    <s v="Houston"/>
    <s v="Single"/>
    <s v="Medium"/>
    <x v="6"/>
    <s v="PROD0095"/>
    <n v="750.05"/>
    <n v="4"/>
    <d v="2024-07-14T00:00:00"/>
    <x v="1"/>
    <n v="9"/>
    <s v="Yes"/>
    <s v="In-store"/>
    <n v="3000.2"/>
  </r>
  <r>
    <x v="967"/>
    <x v="2"/>
    <n v="37"/>
    <s v="Miami"/>
    <s v="Divorced"/>
    <s v="High"/>
    <x v="6"/>
    <s v="PROD0046"/>
    <n v="942.64"/>
    <n v="3"/>
    <d v="2023-09-17T00:00:00"/>
    <x v="1"/>
    <n v="8"/>
    <s v="No"/>
    <s v="Online"/>
    <n v="2827.92"/>
  </r>
  <r>
    <x v="968"/>
    <x v="2"/>
    <n v="38"/>
    <s v="Chicago"/>
    <s v="Divorced"/>
    <s v="Medium"/>
    <x v="6"/>
    <s v="PROD0188"/>
    <n v="506.93"/>
    <n v="3"/>
    <d v="2023-10-18T00:00:00"/>
    <x v="2"/>
    <n v="5"/>
    <s v="Yes"/>
    <s v="In-store"/>
    <n v="1520.79"/>
  </r>
  <r>
    <x v="969"/>
    <x v="2"/>
    <n v="39"/>
    <s v="Miami"/>
    <s v="Married"/>
    <s v="Medium"/>
    <x v="6"/>
    <s v="PROD0144"/>
    <n v="175.89"/>
    <n v="2"/>
    <d v="2023-09-11T00:00:00"/>
    <x v="3"/>
    <n v="5"/>
    <s v="No"/>
    <s v="In-store"/>
    <n v="351.78"/>
  </r>
  <r>
    <x v="970"/>
    <x v="2"/>
    <n v="39"/>
    <s v="Houston"/>
    <s v="Married"/>
    <s v="Medium"/>
    <x v="6"/>
    <s v="PROD0029"/>
    <n v="489.02"/>
    <n v="2"/>
    <d v="2023-04-30T00:00:00"/>
    <x v="2"/>
    <n v="2"/>
    <s v="No"/>
    <s v="Online"/>
    <n v="978.04"/>
  </r>
  <r>
    <x v="971"/>
    <x v="2"/>
    <n v="41"/>
    <s v="Seattle"/>
    <s v="Married"/>
    <s v="High"/>
    <x v="6"/>
    <s v="PROD0054"/>
    <n v="16.12"/>
    <n v="4"/>
    <d v="2023-06-12T00:00:00"/>
    <x v="2"/>
    <n v="10"/>
    <s v="Yes"/>
    <s v="In-store"/>
    <n v="64.48"/>
  </r>
  <r>
    <x v="972"/>
    <x v="2"/>
    <n v="43"/>
    <s v="Houston"/>
    <s v="Married"/>
    <s v="Medium"/>
    <x v="6"/>
    <s v="PROD0109"/>
    <n v="234.71"/>
    <n v="2"/>
    <d v="2024-06-18T00:00:00"/>
    <x v="0"/>
    <n v="8"/>
    <s v="Yes"/>
    <s v="In-store"/>
    <n v="469.42"/>
  </r>
  <r>
    <x v="973"/>
    <x v="2"/>
    <n v="43"/>
    <s v="New York"/>
    <s v="Divorced"/>
    <s v="Medium"/>
    <x v="6"/>
    <s v="PROD0146"/>
    <n v="990.38"/>
    <n v="2"/>
    <d v="2023-10-11T00:00:00"/>
    <x v="3"/>
    <n v="3"/>
    <s v="Yes"/>
    <s v="In-store"/>
    <n v="1980.76"/>
  </r>
  <r>
    <x v="974"/>
    <x v="2"/>
    <n v="45"/>
    <s v="Boston"/>
    <s v="Divorced"/>
    <s v="Medium"/>
    <x v="6"/>
    <s v="PROD0117"/>
    <n v="329.58"/>
    <n v="1"/>
    <d v="2023-03-19T00:00:00"/>
    <x v="2"/>
    <n v="2"/>
    <s v="No"/>
    <s v="Online"/>
    <n v="329.58"/>
  </r>
  <r>
    <x v="975"/>
    <x v="2"/>
    <n v="45"/>
    <s v="Phoenix"/>
    <s v="Divorced"/>
    <s v="Medium"/>
    <x v="6"/>
    <s v="PROD0111"/>
    <n v="653.69000000000005"/>
    <n v="3"/>
    <d v="2024-01-23T00:00:00"/>
    <x v="1"/>
    <n v="6"/>
    <s v="Yes"/>
    <s v="Online"/>
    <n v="1961.0700000000002"/>
  </r>
  <r>
    <x v="976"/>
    <x v="2"/>
    <n v="46"/>
    <s v="Phoenix"/>
    <s v="Single"/>
    <s v="Medium"/>
    <x v="6"/>
    <s v="PROD0171"/>
    <n v="48.87"/>
    <n v="1"/>
    <d v="2024-01-26T00:00:00"/>
    <x v="3"/>
    <n v="8"/>
    <s v="Yes"/>
    <s v="Online"/>
    <n v="48.87"/>
  </r>
  <r>
    <x v="977"/>
    <x v="2"/>
    <n v="46"/>
    <s v="Phoenix"/>
    <s v="Married"/>
    <s v="Medium"/>
    <x v="6"/>
    <s v="PROD0018"/>
    <n v="516.66"/>
    <n v="5"/>
    <d v="2024-02-28T00:00:00"/>
    <x v="2"/>
    <n v="7"/>
    <s v="Yes"/>
    <s v="In-store"/>
    <n v="2583.2999999999997"/>
  </r>
  <r>
    <x v="978"/>
    <x v="2"/>
    <n v="46"/>
    <s v="New York"/>
    <s v="Divorced"/>
    <s v="Medium"/>
    <x v="6"/>
    <s v="PROD0025"/>
    <n v="864.33"/>
    <n v="2"/>
    <d v="2024-03-08T00:00:00"/>
    <x v="3"/>
    <n v="4"/>
    <s v="No"/>
    <s v="Online"/>
    <n v="1728.66"/>
  </r>
  <r>
    <x v="979"/>
    <x v="2"/>
    <n v="47"/>
    <s v="Chicago"/>
    <s v="Single"/>
    <s v="High"/>
    <x v="6"/>
    <s v="PROD0172"/>
    <n v="333.47"/>
    <n v="5"/>
    <d v="2023-03-11T00:00:00"/>
    <x v="0"/>
    <n v="10"/>
    <s v="No"/>
    <s v="In-store"/>
    <n v="1667.3500000000001"/>
  </r>
  <r>
    <x v="980"/>
    <x v="2"/>
    <n v="48"/>
    <s v="Los Angeles"/>
    <s v="Married"/>
    <s v="Medium"/>
    <x v="6"/>
    <s v="PROD0138"/>
    <n v="413.7"/>
    <n v="1"/>
    <d v="2023-09-02T00:00:00"/>
    <x v="3"/>
    <n v="10"/>
    <s v="No"/>
    <s v="Online"/>
    <n v="413.7"/>
  </r>
  <r>
    <x v="981"/>
    <x v="2"/>
    <n v="49"/>
    <s v="Chicago"/>
    <s v="Single"/>
    <s v="High"/>
    <x v="6"/>
    <s v="PROD0070"/>
    <n v="84.53"/>
    <n v="5"/>
    <d v="2024-05-17T00:00:00"/>
    <x v="2"/>
    <n v="5"/>
    <s v="No"/>
    <s v="In-store"/>
    <n v="422.65"/>
  </r>
  <r>
    <x v="982"/>
    <x v="2"/>
    <n v="50"/>
    <s v="Los Angeles"/>
    <s v="Married"/>
    <s v="High"/>
    <x v="6"/>
    <s v="PROD0199"/>
    <n v="649.08000000000004"/>
    <n v="1"/>
    <d v="2024-08-02T00:00:00"/>
    <x v="1"/>
    <n v="6"/>
    <s v="No"/>
    <s v="Online"/>
    <n v="649.08000000000004"/>
  </r>
  <r>
    <x v="983"/>
    <x v="2"/>
    <n v="51"/>
    <s v="New York"/>
    <s v="Single"/>
    <s v="Medium"/>
    <x v="6"/>
    <s v="PROD0151"/>
    <n v="494.16"/>
    <n v="5"/>
    <d v="2024-02-26T00:00:00"/>
    <x v="2"/>
    <n v="10"/>
    <s v="No"/>
    <s v="Online"/>
    <n v="2470.8000000000002"/>
  </r>
  <r>
    <x v="984"/>
    <x v="2"/>
    <n v="51"/>
    <s v="Miami"/>
    <s v="Single"/>
    <s v="Medium"/>
    <x v="6"/>
    <s v="PROD0077"/>
    <n v="520.02"/>
    <n v="3"/>
    <d v="2023-02-27T00:00:00"/>
    <x v="0"/>
    <n v="10"/>
    <s v="No"/>
    <s v="Online"/>
    <n v="1560.06"/>
  </r>
  <r>
    <x v="985"/>
    <x v="2"/>
    <n v="54"/>
    <s v="Los Angeles"/>
    <s v="Single"/>
    <s v="Low"/>
    <x v="6"/>
    <s v="PROD0164"/>
    <n v="352.12"/>
    <n v="4"/>
    <d v="2024-02-23T00:00:00"/>
    <x v="3"/>
    <n v="4"/>
    <s v="No"/>
    <s v="In-store"/>
    <n v="1408.48"/>
  </r>
  <r>
    <x v="986"/>
    <x v="2"/>
    <n v="54"/>
    <s v="Houston"/>
    <s v="Married"/>
    <s v="Low"/>
    <x v="6"/>
    <s v="PROD0086"/>
    <n v="970.37"/>
    <n v="1"/>
    <d v="2024-07-19T00:00:00"/>
    <x v="1"/>
    <n v="6"/>
    <s v="No"/>
    <s v="Online"/>
    <n v="970.37"/>
  </r>
  <r>
    <x v="987"/>
    <x v="2"/>
    <n v="56"/>
    <s v="Phoenix"/>
    <s v="Divorced"/>
    <s v="High"/>
    <x v="6"/>
    <s v="PROD0014"/>
    <n v="438.51"/>
    <n v="3"/>
    <d v="2024-03-11T00:00:00"/>
    <x v="0"/>
    <n v="2"/>
    <s v="Yes"/>
    <s v="Online"/>
    <n v="1315.53"/>
  </r>
  <r>
    <x v="988"/>
    <x v="2"/>
    <n v="56"/>
    <s v="New York"/>
    <s v="Divorced"/>
    <s v="Medium"/>
    <x v="6"/>
    <s v="PROD0183"/>
    <n v="959.28"/>
    <n v="3"/>
    <d v="2024-05-10T00:00:00"/>
    <x v="3"/>
    <n v="7"/>
    <s v="Yes"/>
    <s v="In-store"/>
    <n v="2877.84"/>
  </r>
  <r>
    <x v="989"/>
    <x v="2"/>
    <n v="57"/>
    <s v="Houston"/>
    <s v="Divorced"/>
    <s v="Medium"/>
    <x v="6"/>
    <s v="PROD0147"/>
    <n v="40.049999999999997"/>
    <n v="4"/>
    <d v="2024-01-28T00:00:00"/>
    <x v="2"/>
    <n v="1"/>
    <s v="Yes"/>
    <s v="Online"/>
    <n v="160.19999999999999"/>
  </r>
  <r>
    <x v="990"/>
    <x v="2"/>
    <n v="57"/>
    <s v="Miami"/>
    <s v="Divorced"/>
    <s v="High"/>
    <x v="6"/>
    <s v="PROD0134"/>
    <n v="620.46"/>
    <n v="4"/>
    <d v="2024-10-20T00:00:00"/>
    <x v="0"/>
    <n v="8"/>
    <s v="Yes"/>
    <s v="Online"/>
    <n v="2481.84"/>
  </r>
  <r>
    <x v="991"/>
    <x v="2"/>
    <n v="59"/>
    <s v="Chicago"/>
    <s v="Married"/>
    <s v="Medium"/>
    <x v="6"/>
    <s v="PROD0059"/>
    <n v="562.11"/>
    <n v="4"/>
    <d v="2023-07-10T00:00:00"/>
    <x v="3"/>
    <n v="9"/>
    <s v="Yes"/>
    <s v="Online"/>
    <n v="2248.44"/>
  </r>
  <r>
    <x v="992"/>
    <x v="2"/>
    <n v="59"/>
    <s v="Boston"/>
    <s v="Married"/>
    <s v="Low"/>
    <x v="6"/>
    <s v="PROD0161"/>
    <n v="861.05"/>
    <n v="2"/>
    <d v="2023-04-21T00:00:00"/>
    <x v="1"/>
    <n v="1"/>
    <s v="No"/>
    <s v="Online"/>
    <n v="1722.1"/>
  </r>
  <r>
    <x v="993"/>
    <x v="2"/>
    <n v="61"/>
    <s v="Miami"/>
    <s v="Married"/>
    <s v="Medium"/>
    <x v="6"/>
    <s v="PROD0006"/>
    <n v="393.35"/>
    <n v="3"/>
    <d v="2024-04-27T00:00:00"/>
    <x v="0"/>
    <n v="7"/>
    <s v="No"/>
    <s v="Online"/>
    <n v="1180.0500000000002"/>
  </r>
  <r>
    <x v="994"/>
    <x v="2"/>
    <n v="65"/>
    <s v="Houston"/>
    <s v="Divorced"/>
    <s v="Low"/>
    <x v="6"/>
    <s v="PROD0127"/>
    <n v="96.1"/>
    <n v="4"/>
    <d v="2023-12-25T00:00:00"/>
    <x v="3"/>
    <n v="5"/>
    <s v="Yes"/>
    <s v="In-store"/>
    <n v="384.4"/>
  </r>
  <r>
    <x v="995"/>
    <x v="2"/>
    <n v="67"/>
    <s v="Chicago"/>
    <s v="Single"/>
    <s v="Medium"/>
    <x v="6"/>
    <s v="PROD0001"/>
    <n v="97.69"/>
    <n v="1"/>
    <d v="2023-12-21T00:00:00"/>
    <x v="0"/>
    <n v="4"/>
    <s v="No"/>
    <s v="Online"/>
    <n v="97.69"/>
  </r>
  <r>
    <x v="996"/>
    <x v="2"/>
    <n v="67"/>
    <s v="Phoenix"/>
    <s v="Divorced"/>
    <s v="Medium"/>
    <x v="6"/>
    <s v="PROD0080"/>
    <n v="804.38"/>
    <n v="4"/>
    <d v="2024-04-15T00:00:00"/>
    <x v="0"/>
    <n v="4"/>
    <s v="Yes"/>
    <s v="Online"/>
    <n v="3217.52"/>
  </r>
  <r>
    <x v="997"/>
    <x v="2"/>
    <n v="68"/>
    <s v="New York"/>
    <s v="Married"/>
    <s v="Medium"/>
    <x v="6"/>
    <s v="PROD0195"/>
    <n v="121.27"/>
    <n v="4"/>
    <d v="2024-02-11T00:00:00"/>
    <x v="0"/>
    <n v="1"/>
    <s v="Yes"/>
    <s v="In-store"/>
    <n v="485.08"/>
  </r>
  <r>
    <x v="998"/>
    <x v="2"/>
    <n v="68"/>
    <s v="Phoenix"/>
    <s v="Divorced"/>
    <s v="Medium"/>
    <x v="6"/>
    <s v="PROD0099"/>
    <n v="349.17"/>
    <n v="2"/>
    <d v="2024-07-03T00:00:00"/>
    <x v="3"/>
    <n v="4"/>
    <s v="No"/>
    <s v="In-store"/>
    <n v="698.34"/>
  </r>
  <r>
    <x v="999"/>
    <x v="2"/>
    <n v="69"/>
    <s v="New York"/>
    <s v="Divorced"/>
    <s v="Low"/>
    <x v="6"/>
    <s v="PROD0173"/>
    <n v="177.12"/>
    <n v="1"/>
    <d v="2024-01-04T00:00:00"/>
    <x v="2"/>
    <n v="10"/>
    <s v="No"/>
    <s v="Online"/>
    <n v="177.1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E6FE1FB-D4BF-4C28-8937-F2378C50447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4:B12" firstHeaderRow="1" firstDataRow="1" firstDataCol="1"/>
  <pivotFields count="16">
    <pivotField showAll="0">
      <items count="1001">
        <item x="817"/>
        <item x="473"/>
        <item x="980"/>
        <item x="900"/>
        <item x="458"/>
        <item x="660"/>
        <item x="880"/>
        <item x="26"/>
        <item x="685"/>
        <item x="734"/>
        <item x="967"/>
        <item x="807"/>
        <item x="576"/>
        <item x="682"/>
        <item x="9"/>
        <item x="383"/>
        <item x="218"/>
        <item x="68"/>
        <item x="116"/>
        <item x="323"/>
        <item x="477"/>
        <item x="485"/>
        <item x="281"/>
        <item x="175"/>
        <item x="355"/>
        <item x="560"/>
        <item x="372"/>
        <item x="727"/>
        <item x="822"/>
        <item x="868"/>
        <item x="65"/>
        <item x="683"/>
        <item x="240"/>
        <item x="243"/>
        <item x="766"/>
        <item x="242"/>
        <item x="816"/>
        <item x="694"/>
        <item x="421"/>
        <item x="865"/>
        <item x="354"/>
        <item x="744"/>
        <item x="845"/>
        <item x="548"/>
        <item x="481"/>
        <item x="717"/>
        <item x="180"/>
        <item x="607"/>
        <item x="49"/>
        <item x="29"/>
        <item x="89"/>
        <item x="559"/>
        <item x="177"/>
        <item x="628"/>
        <item x="15"/>
        <item x="692"/>
        <item x="852"/>
        <item x="619"/>
        <item x="917"/>
        <item x="847"/>
        <item x="271"/>
        <item x="489"/>
        <item x="221"/>
        <item x="311"/>
        <item x="280"/>
        <item x="99"/>
        <item x="133"/>
        <item x="136"/>
        <item x="183"/>
        <item x="587"/>
        <item x="770"/>
        <item x="114"/>
        <item x="302"/>
        <item x="304"/>
        <item x="321"/>
        <item x="88"/>
        <item x="317"/>
        <item x="996"/>
        <item x="919"/>
        <item x="6"/>
        <item x="688"/>
        <item x="544"/>
        <item x="179"/>
        <item x="659"/>
        <item x="597"/>
        <item x="269"/>
        <item x="899"/>
        <item x="439"/>
        <item x="108"/>
        <item x="388"/>
        <item x="338"/>
        <item x="604"/>
        <item x="502"/>
        <item x="695"/>
        <item x="497"/>
        <item x="408"/>
        <item x="400"/>
        <item x="985"/>
        <item x="519"/>
        <item x="399"/>
        <item x="742"/>
        <item x="838"/>
        <item x="867"/>
        <item x="403"/>
        <item x="728"/>
        <item x="772"/>
        <item x="538"/>
        <item x="964"/>
        <item x="601"/>
        <item x="174"/>
        <item x="846"/>
        <item x="259"/>
        <item x="339"/>
        <item x="810"/>
        <item x="563"/>
        <item x="313"/>
        <item x="499"/>
        <item x="702"/>
        <item x="920"/>
        <item x="31"/>
        <item x="537"/>
        <item x="747"/>
        <item x="306"/>
        <item x="904"/>
        <item x="785"/>
        <item x="530"/>
        <item x="940"/>
        <item x="603"/>
        <item x="907"/>
        <item x="256"/>
        <item x="783"/>
        <item x="330"/>
        <item x="523"/>
        <item x="273"/>
        <item x="736"/>
        <item x="733"/>
        <item x="277"/>
        <item x="992"/>
        <item x="999"/>
        <item x="342"/>
        <item x="778"/>
        <item x="977"/>
        <item x="308"/>
        <item x="168"/>
        <item x="543"/>
        <item x="721"/>
        <item x="707"/>
        <item x="935"/>
        <item x="356"/>
        <item x="409"/>
        <item x="30"/>
        <item x="501"/>
        <item x="881"/>
        <item x="888"/>
        <item x="328"/>
        <item x="969"/>
        <item x="786"/>
        <item x="430"/>
        <item x="629"/>
        <item x="954"/>
        <item x="982"/>
        <item x="771"/>
        <item x="95"/>
        <item x="305"/>
        <item x="81"/>
        <item x="598"/>
        <item x="78"/>
        <item x="441"/>
        <item x="376"/>
        <item x="234"/>
        <item x="106"/>
        <item x="52"/>
        <item x="821"/>
        <item x="200"/>
        <item x="815"/>
        <item x="627"/>
        <item x="741"/>
        <item x="319"/>
        <item x="622"/>
        <item x="650"/>
        <item x="655"/>
        <item x="998"/>
        <item x="268"/>
        <item x="457"/>
        <item x="456"/>
        <item x="540"/>
        <item x="774"/>
        <item x="839"/>
        <item x="225"/>
        <item x="751"/>
        <item x="573"/>
        <item x="91"/>
        <item x="664"/>
        <item x="550"/>
        <item x="869"/>
        <item x="4"/>
        <item x="834"/>
        <item x="906"/>
        <item x="300"/>
        <item x="469"/>
        <item x="507"/>
        <item x="58"/>
        <item x="649"/>
        <item x="284"/>
        <item x="212"/>
        <item x="831"/>
        <item x="101"/>
        <item x="713"/>
        <item x="611"/>
        <item x="602"/>
        <item x="467"/>
        <item x="432"/>
        <item x="944"/>
        <item x="364"/>
        <item x="163"/>
        <item x="224"/>
        <item x="87"/>
        <item x="895"/>
        <item x="387"/>
        <item x="368"/>
        <item x="677"/>
        <item x="708"/>
        <item x="202"/>
        <item x="176"/>
        <item x="679"/>
        <item x="105"/>
        <item x="232"/>
        <item x="849"/>
        <item x="724"/>
        <item x="970"/>
        <item x="693"/>
        <item x="535"/>
        <item x="910"/>
        <item x="42"/>
        <item x="503"/>
        <item x="190"/>
        <item x="147"/>
        <item x="263"/>
        <item x="716"/>
        <item x="752"/>
        <item x="327"/>
        <item x="614"/>
        <item x="722"/>
        <item x="287"/>
        <item x="346"/>
        <item x="814"/>
        <item x="689"/>
        <item x="686"/>
        <item x="135"/>
        <item x="784"/>
        <item x="837"/>
        <item x="850"/>
        <item x="891"/>
        <item x="475"/>
        <item x="494"/>
        <item x="972"/>
        <item x="230"/>
        <item x="662"/>
        <item x="911"/>
        <item x="331"/>
        <item x="533"/>
        <item x="104"/>
        <item x="983"/>
        <item x="806"/>
        <item x="290"/>
        <item x="37"/>
        <item x="945"/>
        <item x="782"/>
        <item x="194"/>
        <item x="648"/>
        <item x="633"/>
        <item x="46"/>
        <item x="522"/>
        <item x="245"/>
        <item x="595"/>
        <item x="678"/>
        <item x="764"/>
        <item x="773"/>
        <item x="438"/>
        <item x="539"/>
        <item x="882"/>
        <item x="951"/>
        <item x="801"/>
        <item x="44"/>
        <item x="525"/>
        <item x="794"/>
        <item x="437"/>
        <item x="315"/>
        <item x="265"/>
        <item x="799"/>
        <item x="63"/>
        <item x="404"/>
        <item x="848"/>
        <item x="613"/>
        <item x="634"/>
        <item x="1"/>
        <item x="155"/>
        <item x="59"/>
        <item x="303"/>
        <item x="143"/>
        <item x="952"/>
        <item x="641"/>
        <item x="593"/>
        <item x="448"/>
        <item x="541"/>
        <item x="122"/>
        <item x="608"/>
        <item x="976"/>
        <item x="765"/>
        <item x="343"/>
        <item x="414"/>
        <item x="965"/>
        <item x="796"/>
        <item x="0"/>
        <item x="960"/>
        <item x="267"/>
        <item x="82"/>
        <item x="266"/>
        <item x="2"/>
        <item x="22"/>
        <item x="422"/>
        <item x="950"/>
        <item x="151"/>
        <item x="939"/>
        <item x="732"/>
        <item x="223"/>
        <item x="618"/>
        <item x="90"/>
        <item x="496"/>
        <item x="898"/>
        <item x="626"/>
        <item x="452"/>
        <item x="527"/>
        <item x="739"/>
        <item x="876"/>
        <item x="671"/>
        <item x="596"/>
        <item x="307"/>
        <item x="534"/>
        <item x="23"/>
        <item x="453"/>
        <item x="125"/>
        <item x="870"/>
        <item x="447"/>
        <item x="333"/>
        <item x="616"/>
        <item x="425"/>
        <item x="195"/>
        <item x="492"/>
        <item x="826"/>
        <item x="779"/>
        <item x="460"/>
        <item x="953"/>
        <item x="561"/>
        <item x="454"/>
        <item x="926"/>
        <item x="373"/>
        <item x="790"/>
        <item x="111"/>
        <item x="500"/>
        <item x="28"/>
        <item x="879"/>
        <item x="97"/>
        <item x="154"/>
        <item x="777"/>
        <item x="38"/>
        <item x="139"/>
        <item x="820"/>
        <item x="325"/>
        <item x="844"/>
        <item x="295"/>
        <item x="791"/>
        <item x="809"/>
        <item x="83"/>
        <item x="239"/>
        <item x="226"/>
        <item x="570"/>
        <item x="632"/>
        <item x="359"/>
        <item x="703"/>
        <item x="61"/>
        <item x="700"/>
        <item x="612"/>
        <item x="241"/>
        <item x="842"/>
        <item x="24"/>
        <item x="797"/>
        <item x="84"/>
        <item x="476"/>
        <item x="511"/>
        <item x="130"/>
        <item x="800"/>
        <item x="575"/>
        <item x="506"/>
        <item x="378"/>
        <item x="272"/>
        <item x="144"/>
        <item x="956"/>
        <item x="877"/>
        <item x="823"/>
        <item x="115"/>
        <item x="35"/>
        <item x="840"/>
        <item x="687"/>
        <item x="207"/>
        <item x="775"/>
        <item x="362"/>
        <item x="324"/>
        <item x="923"/>
        <item x="159"/>
        <item x="536"/>
        <item x="186"/>
        <item x="5"/>
        <item x="67"/>
        <item x="120"/>
        <item x="491"/>
        <item x="205"/>
        <item x="60"/>
        <item x="948"/>
        <item x="219"/>
        <item x="748"/>
        <item x="433"/>
        <item x="429"/>
        <item x="553"/>
        <item x="621"/>
        <item x="901"/>
        <item x="18"/>
        <item x="504"/>
        <item x="53"/>
        <item x="878"/>
        <item x="851"/>
        <item x="729"/>
        <item x="479"/>
        <item x="198"/>
        <item x="107"/>
        <item x="80"/>
        <item x="767"/>
        <item x="440"/>
        <item x="986"/>
        <item x="872"/>
        <item x="50"/>
        <item x="875"/>
        <item x="14"/>
        <item x="555"/>
        <item x="157"/>
        <item x="463"/>
        <item x="312"/>
        <item x="889"/>
        <item x="962"/>
        <item x="661"/>
        <item x="351"/>
        <item x="599"/>
        <item x="94"/>
        <item x="298"/>
        <item x="417"/>
        <item x="833"/>
        <item x="62"/>
        <item x="21"/>
        <item x="25"/>
        <item x="384"/>
        <item x="445"/>
        <item x="413"/>
        <item x="547"/>
        <item x="390"/>
        <item x="856"/>
        <item x="825"/>
        <item x="571"/>
        <item x="161"/>
        <item x="396"/>
        <item x="836"/>
        <item x="802"/>
        <item x="301"/>
        <item x="859"/>
        <item x="517"/>
        <item x="119"/>
        <item x="565"/>
        <item x="562"/>
        <item x="75"/>
        <item x="680"/>
        <item x="760"/>
        <item x="652"/>
        <item x="296"/>
        <item x="57"/>
        <item x="211"/>
        <item x="528"/>
        <item x="310"/>
        <item x="217"/>
        <item x="663"/>
        <item x="990"/>
        <item x="455"/>
        <item x="32"/>
        <item x="121"/>
        <item x="401"/>
        <item x="701"/>
        <item x="129"/>
        <item x="72"/>
        <item x="255"/>
        <item x="471"/>
        <item x="189"/>
        <item x="798"/>
        <item x="208"/>
        <item x="45"/>
        <item x="943"/>
        <item x="12"/>
        <item x="609"/>
        <item x="465"/>
        <item x="545"/>
        <item x="690"/>
        <item x="248"/>
        <item x="620"/>
        <item x="738"/>
        <item x="54"/>
        <item x="723"/>
        <item x="532"/>
        <item x="617"/>
        <item x="352"/>
        <item x="813"/>
        <item x="941"/>
        <item x="464"/>
        <item x="758"/>
        <item x="600"/>
        <item x="363"/>
        <item x="85"/>
        <item x="864"/>
        <item x="549"/>
        <item x="668"/>
        <item x="993"/>
        <item x="220"/>
        <item x="152"/>
        <item x="412"/>
        <item x="933"/>
        <item x="178"/>
        <item x="832"/>
        <item x="719"/>
        <item x="670"/>
        <item x="164"/>
        <item x="397"/>
        <item x="55"/>
        <item x="123"/>
        <item x="215"/>
        <item x="93"/>
        <item x="289"/>
        <item x="835"/>
        <item x="582"/>
        <item x="913"/>
        <item x="69"/>
        <item x="585"/>
        <item x="237"/>
        <item x="645"/>
        <item x="937"/>
        <item x="487"/>
        <item x="567"/>
        <item x="334"/>
        <item x="588"/>
        <item x="580"/>
        <item x="102"/>
        <item x="482"/>
        <item x="394"/>
        <item x="804"/>
        <item x="554"/>
        <item x="857"/>
        <item x="19"/>
        <item x="510"/>
        <item x="887"/>
        <item x="871"/>
        <item x="185"/>
        <item x="631"/>
        <item x="395"/>
        <item x="925"/>
        <item x="495"/>
        <item x="968"/>
        <item x="586"/>
        <item x="912"/>
        <item x="340"/>
        <item x="184"/>
        <item x="385"/>
        <item x="336"/>
        <item x="126"/>
        <item x="676"/>
        <item x="279"/>
        <item x="423"/>
        <item x="924"/>
        <item x="978"/>
        <item x="398"/>
        <item x="654"/>
        <item x="653"/>
        <item x="909"/>
        <item x="461"/>
        <item x="892"/>
        <item x="100"/>
        <item x="991"/>
        <item x="720"/>
        <item x="238"/>
        <item x="959"/>
        <item x="450"/>
        <item x="442"/>
        <item x="811"/>
        <item x="669"/>
        <item x="776"/>
        <item x="360"/>
        <item x="379"/>
        <item x="938"/>
        <item x="667"/>
        <item x="812"/>
        <item x="353"/>
        <item x="349"/>
        <item x="160"/>
        <item x="257"/>
        <item x="697"/>
        <item x="322"/>
        <item x="788"/>
        <item x="109"/>
        <item x="347"/>
        <item x="759"/>
        <item x="918"/>
        <item x="436"/>
        <item x="712"/>
        <item x="793"/>
        <item x="40"/>
        <item x="942"/>
        <item x="371"/>
        <item x="128"/>
        <item x="33"/>
        <item x="369"/>
        <item x="657"/>
        <item x="252"/>
        <item x="958"/>
        <item x="7"/>
        <item x="581"/>
        <item x="153"/>
        <item x="594"/>
        <item x="113"/>
        <item x="987"/>
        <item x="262"/>
        <item x="166"/>
        <item x="542"/>
        <item x="375"/>
        <item x="591"/>
        <item x="39"/>
        <item x="745"/>
        <item x="468"/>
        <item x="675"/>
        <item x="92"/>
        <item x="406"/>
        <item x="754"/>
        <item x="988"/>
        <item x="583"/>
        <item x="382"/>
        <item x="169"/>
        <item x="710"/>
        <item x="731"/>
        <item x="478"/>
        <item x="79"/>
        <item x="743"/>
        <item x="885"/>
        <item x="124"/>
        <item x="86"/>
        <item x="699"/>
        <item x="718"/>
        <item x="246"/>
        <item x="994"/>
        <item x="516"/>
        <item x="672"/>
        <item x="288"/>
        <item x="132"/>
        <item x="286"/>
        <item x="513"/>
        <item x="971"/>
        <item x="518"/>
        <item x="828"/>
        <item x="459"/>
        <item x="843"/>
        <item x="508"/>
        <item x="173"/>
        <item x="551"/>
        <item x="858"/>
        <item x="402"/>
        <item x="529"/>
        <item x="577"/>
        <item x="254"/>
        <item x="443"/>
        <item x="275"/>
        <item x="167"/>
        <item x="381"/>
        <item x="428"/>
        <item x="490"/>
        <item x="884"/>
        <item x="615"/>
        <item x="41"/>
        <item x="420"/>
        <item x="691"/>
        <item x="606"/>
        <item x="984"/>
        <item x="973"/>
        <item x="367"/>
        <item x="216"/>
        <item x="818"/>
        <item x="521"/>
        <item x="329"/>
        <item x="172"/>
        <item x="946"/>
        <item x="753"/>
        <item x="558"/>
        <item x="569"/>
        <item x="74"/>
        <item x="293"/>
        <item x="862"/>
        <item x="726"/>
        <item x="658"/>
        <item x="863"/>
        <item x="291"/>
        <item x="98"/>
        <item x="647"/>
        <item x="222"/>
        <item x="70"/>
        <item x="309"/>
        <item x="210"/>
        <item x="483"/>
        <item x="674"/>
        <item x="755"/>
        <item x="227"/>
        <item x="789"/>
        <item x="484"/>
        <item x="365"/>
        <item x="407"/>
        <item x="337"/>
        <item x="416"/>
        <item x="380"/>
        <item x="589"/>
        <item x="251"/>
        <item x="916"/>
        <item x="623"/>
        <item x="196"/>
        <item x="73"/>
        <item x="829"/>
        <item x="370"/>
        <item x="915"/>
        <item x="638"/>
        <item x="260"/>
        <item x="17"/>
        <item x="3"/>
        <item x="56"/>
        <item x="930"/>
        <item x="350"/>
        <item x="531"/>
        <item x="896"/>
        <item x="568"/>
        <item x="274"/>
        <item x="374"/>
        <item x="64"/>
        <item x="749"/>
        <item x="630"/>
        <item x="769"/>
        <item x="472"/>
        <item x="231"/>
        <item x="761"/>
        <item x="520"/>
        <item x="8"/>
        <item x="830"/>
        <item x="995"/>
        <item x="505"/>
        <item x="419"/>
        <item x="498"/>
        <item x="149"/>
        <item x="474"/>
        <item x="866"/>
        <item x="989"/>
        <item x="546"/>
        <item x="462"/>
        <item x="805"/>
        <item x="137"/>
        <item x="610"/>
        <item x="358"/>
        <item x="684"/>
        <item x="493"/>
        <item x="13"/>
        <item x="792"/>
        <item x="552"/>
        <item x="709"/>
        <item x="656"/>
        <item x="512"/>
        <item x="605"/>
        <item x="138"/>
        <item x="77"/>
        <item x="854"/>
        <item x="444"/>
        <item x="556"/>
        <item x="209"/>
        <item x="651"/>
        <item x="36"/>
        <item x="427"/>
        <item x="735"/>
        <item x="466"/>
        <item x="509"/>
        <item x="127"/>
        <item x="451"/>
        <item x="646"/>
        <item x="76"/>
        <item x="827"/>
        <item x="927"/>
        <item x="316"/>
        <item x="253"/>
        <item x="314"/>
        <item x="203"/>
        <item x="292"/>
        <item x="714"/>
        <item x="787"/>
        <item x="182"/>
        <item x="393"/>
        <item x="249"/>
        <item x="636"/>
        <item x="117"/>
        <item x="47"/>
        <item x="711"/>
        <item x="392"/>
        <item x="470"/>
        <item x="705"/>
        <item x="781"/>
        <item x="725"/>
        <item x="963"/>
        <item x="665"/>
        <item x="449"/>
        <item x="112"/>
        <item x="16"/>
        <item x="855"/>
        <item x="893"/>
        <item x="780"/>
        <item x="51"/>
        <item x="140"/>
        <item x="150"/>
        <item x="131"/>
        <item x="228"/>
        <item x="261"/>
        <item x="27"/>
        <item x="932"/>
        <item x="974"/>
        <item x="961"/>
        <item x="808"/>
        <item x="34"/>
        <item x="405"/>
        <item x="192"/>
        <item x="426"/>
        <item x="750"/>
        <item x="71"/>
        <item x="715"/>
        <item x="165"/>
        <item x="819"/>
        <item x="446"/>
        <item x="488"/>
        <item x="391"/>
        <item x="142"/>
        <item x="579"/>
        <item x="134"/>
        <item x="377"/>
        <item x="348"/>
        <item x="103"/>
        <item x="187"/>
        <item x="514"/>
        <item x="285"/>
        <item x="673"/>
        <item x="66"/>
        <item x="873"/>
        <item x="894"/>
        <item x="934"/>
        <item x="908"/>
        <item x="957"/>
        <item x="332"/>
        <item x="762"/>
        <item x="740"/>
        <item x="841"/>
        <item x="824"/>
        <item x="162"/>
        <item x="639"/>
        <item x="981"/>
        <item x="997"/>
        <item x="955"/>
        <item x="644"/>
        <item x="299"/>
        <item x="361"/>
        <item x="320"/>
        <item x="890"/>
        <item x="883"/>
        <item x="566"/>
        <item x="344"/>
        <item x="156"/>
        <item x="96"/>
        <item x="666"/>
        <item x="258"/>
        <item x="434"/>
        <item x="201"/>
        <item x="590"/>
        <item x="574"/>
        <item x="424"/>
        <item x="204"/>
        <item x="170"/>
        <item x="43"/>
        <item x="578"/>
        <item x="294"/>
        <item x="193"/>
        <item x="572"/>
        <item x="706"/>
        <item x="625"/>
        <item x="11"/>
        <item x="418"/>
        <item x="975"/>
        <item x="592"/>
        <item x="191"/>
        <item x="905"/>
        <item x="235"/>
        <item x="936"/>
        <item x="922"/>
        <item x="480"/>
        <item x="640"/>
        <item x="171"/>
        <item x="624"/>
        <item x="326"/>
        <item x="897"/>
        <item x="486"/>
        <item x="931"/>
        <item x="768"/>
        <item x="947"/>
        <item x="247"/>
        <item x="145"/>
        <item x="282"/>
        <item x="874"/>
        <item x="233"/>
        <item x="213"/>
        <item x="435"/>
        <item x="20"/>
        <item x="278"/>
        <item x="902"/>
        <item x="756"/>
        <item x="698"/>
        <item x="763"/>
        <item x="914"/>
        <item x="696"/>
        <item x="199"/>
        <item x="730"/>
        <item x="949"/>
        <item x="515"/>
        <item x="276"/>
        <item x="48"/>
        <item x="250"/>
        <item x="853"/>
        <item x="704"/>
        <item x="681"/>
        <item x="584"/>
        <item x="903"/>
        <item x="341"/>
        <item x="197"/>
        <item x="886"/>
        <item x="637"/>
        <item x="524"/>
        <item x="795"/>
        <item x="318"/>
        <item x="141"/>
        <item x="158"/>
        <item x="335"/>
        <item x="366"/>
        <item x="557"/>
        <item x="642"/>
        <item x="270"/>
        <item x="803"/>
        <item x="526"/>
        <item x="431"/>
        <item x="181"/>
        <item x="746"/>
        <item x="737"/>
        <item x="244"/>
        <item x="188"/>
        <item x="979"/>
        <item x="345"/>
        <item x="861"/>
        <item x="264"/>
        <item x="357"/>
        <item x="411"/>
        <item x="206"/>
        <item x="229"/>
        <item x="214"/>
        <item x="757"/>
        <item x="928"/>
        <item x="410"/>
        <item x="118"/>
        <item x="386"/>
        <item x="635"/>
        <item x="643"/>
        <item x="564"/>
        <item x="146"/>
        <item x="415"/>
        <item x="10"/>
        <item x="283"/>
        <item x="860"/>
        <item x="110"/>
        <item x="921"/>
        <item x="236"/>
        <item x="297"/>
        <item x="148"/>
        <item x="966"/>
        <item x="929"/>
        <item x="389"/>
        <item t="default"/>
      </items>
    </pivotField>
    <pivotField showAll="0">
      <items count="4">
        <item h="1" x="0"/>
        <item h="1" x="1"/>
        <item x="2"/>
        <item t="default"/>
      </items>
    </pivotField>
    <pivotField numFmtId="1" showAll="0"/>
    <pivotField showAll="0"/>
    <pivotField showAll="0"/>
    <pivotField showAll="0"/>
    <pivotField axis="axisRow" showAll="0">
      <items count="8">
        <item x="0"/>
        <item x="1"/>
        <item x="2"/>
        <item x="3"/>
        <item x="4"/>
        <item x="5"/>
        <item x="6"/>
        <item t="default"/>
      </items>
    </pivotField>
    <pivotField showAll="0"/>
    <pivotField numFmtId="2" showAll="0"/>
    <pivotField numFmtId="1" showAll="0"/>
    <pivotField numFmtId="14" showAll="0"/>
    <pivotField showAll="0"/>
    <pivotField numFmtId="1" showAll="0"/>
    <pivotField showAll="0"/>
    <pivotField showAll="0"/>
    <pivotField dataField="1" showAll="0"/>
  </pivotFields>
  <rowFields count="1">
    <field x="6"/>
  </rowFields>
  <rowItems count="8">
    <i>
      <x/>
    </i>
    <i>
      <x v="1"/>
    </i>
    <i>
      <x v="2"/>
    </i>
    <i>
      <x v="3"/>
    </i>
    <i>
      <x v="4"/>
    </i>
    <i>
      <x v="5"/>
    </i>
    <i>
      <x v="6"/>
    </i>
    <i t="grand">
      <x/>
    </i>
  </rowItems>
  <colItems count="1">
    <i/>
  </colItems>
  <dataFields count="1">
    <dataField name="Sum of Total_Spend" fld="15" baseField="6" baseItem="0" numFmtId="1"/>
  </dataFields>
  <chartFormats count="2">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9BCD4B4-AC01-4423-8191-7B6146A9B3A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B7" firstHeaderRow="1" firstDataRow="1" firstDataCol="1"/>
  <pivotFields count="16">
    <pivotField showAll="0"/>
    <pivotField axis="axisRow" showAll="0">
      <items count="4">
        <item x="0"/>
        <item x="1"/>
        <item x="2"/>
        <item t="default"/>
      </items>
    </pivotField>
    <pivotField numFmtId="1" showAll="0"/>
    <pivotField showAll="0"/>
    <pivotField showAll="0"/>
    <pivotField showAll="0"/>
    <pivotField showAll="0"/>
    <pivotField showAll="0"/>
    <pivotField numFmtId="2" showAll="0"/>
    <pivotField numFmtId="1" showAll="0"/>
    <pivotField numFmtId="14" showAll="0"/>
    <pivotField showAll="0"/>
    <pivotField numFmtId="1" showAll="0"/>
    <pivotField showAll="0"/>
    <pivotField showAll="0"/>
    <pivotField dataField="1" showAll="0"/>
  </pivotFields>
  <rowFields count="1">
    <field x="1"/>
  </rowFields>
  <rowItems count="4">
    <i>
      <x/>
    </i>
    <i>
      <x v="1"/>
    </i>
    <i>
      <x v="2"/>
    </i>
    <i t="grand">
      <x/>
    </i>
  </rowItems>
  <colItems count="1">
    <i/>
  </colItems>
  <dataFields count="1">
    <dataField name="Sum of Total_Spend" fld="15" baseField="1" baseItem="0" numFmtId="1"/>
  </dataFields>
  <chartFormats count="12">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1" count="1" selected="0">
            <x v="0"/>
          </reference>
        </references>
      </pivotArea>
    </chartFormat>
    <chartFormat chart="7" format="2">
      <pivotArea type="data" outline="0" fieldPosition="0">
        <references count="2">
          <reference field="4294967294" count="1" selected="0">
            <x v="0"/>
          </reference>
          <reference field="1" count="1" selected="0">
            <x v="2"/>
          </reference>
        </references>
      </pivotArea>
    </chartFormat>
    <chartFormat chart="7" format="3">
      <pivotArea type="data" outline="0" fieldPosition="0">
        <references count="2">
          <reference field="4294967294" count="1" selected="0">
            <x v="0"/>
          </reference>
          <reference field="1" count="1" selected="0">
            <x v="1"/>
          </reference>
        </references>
      </pivotArea>
    </chartFormat>
    <chartFormat chart="13" format="8" series="1">
      <pivotArea type="data" outline="0" fieldPosition="0">
        <references count="1">
          <reference field="4294967294" count="1" selected="0">
            <x v="0"/>
          </reference>
        </references>
      </pivotArea>
    </chartFormat>
    <chartFormat chart="13" format="9">
      <pivotArea type="data" outline="0" fieldPosition="0">
        <references count="2">
          <reference field="4294967294" count="1" selected="0">
            <x v="0"/>
          </reference>
          <reference field="1" count="1" selected="0">
            <x v="0"/>
          </reference>
        </references>
      </pivotArea>
    </chartFormat>
    <chartFormat chart="13" format="10">
      <pivotArea type="data" outline="0" fieldPosition="0">
        <references count="2">
          <reference field="4294967294" count="1" selected="0">
            <x v="0"/>
          </reference>
          <reference field="1" count="1" selected="0">
            <x v="1"/>
          </reference>
        </references>
      </pivotArea>
    </chartFormat>
    <chartFormat chart="13" format="11">
      <pivotArea type="data" outline="0" fieldPosition="0">
        <references count="2">
          <reference field="4294967294" count="1" selected="0">
            <x v="0"/>
          </reference>
          <reference field="1" count="1" selected="0">
            <x v="2"/>
          </reference>
        </references>
      </pivotArea>
    </chartFormat>
    <chartFormat chart="18" format="8" series="1">
      <pivotArea type="data" outline="0" fieldPosition="0">
        <references count="1">
          <reference field="4294967294" count="1" selected="0">
            <x v="0"/>
          </reference>
        </references>
      </pivotArea>
    </chartFormat>
    <chartFormat chart="18" format="9">
      <pivotArea type="data" outline="0" fieldPosition="0">
        <references count="2">
          <reference field="4294967294" count="1" selected="0">
            <x v="0"/>
          </reference>
          <reference field="1" count="1" selected="0">
            <x v="0"/>
          </reference>
        </references>
      </pivotArea>
    </chartFormat>
    <chartFormat chart="18" format="10">
      <pivotArea type="data" outline="0" fieldPosition="0">
        <references count="2">
          <reference field="4294967294" count="1" selected="0">
            <x v="0"/>
          </reference>
          <reference field="1" count="1" selected="0">
            <x v="1"/>
          </reference>
        </references>
      </pivotArea>
    </chartFormat>
    <chartFormat chart="18" format="11">
      <pivotArea type="data" outline="0" fieldPosition="0">
        <references count="2">
          <reference field="4294967294" count="1" selected="0">
            <x v="0"/>
          </reference>
          <reference field="1" count="1" selected="0">
            <x v="2"/>
          </reference>
        </references>
      </pivotArea>
    </chartFormat>
  </chart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372BCDA-69A0-4634-B624-2AE0E616B114}"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6" firstHeaderRow="1" firstDataRow="1" firstDataCol="1"/>
  <pivotFields count="2">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s>
  <rowFields count="1">
    <field x="0"/>
  </rowFields>
  <rowItems count="13">
    <i>
      <x/>
    </i>
    <i>
      <x v="1"/>
    </i>
    <i>
      <x v="2"/>
    </i>
    <i>
      <x v="3"/>
    </i>
    <i>
      <x v="4"/>
    </i>
    <i>
      <x v="5"/>
    </i>
    <i>
      <x v="6"/>
    </i>
    <i>
      <x v="7"/>
    </i>
    <i>
      <x v="8"/>
    </i>
    <i>
      <x v="9"/>
    </i>
    <i>
      <x v="10"/>
    </i>
    <i>
      <x v="11"/>
    </i>
    <i t="grand">
      <x/>
    </i>
  </rowItems>
  <colItems count="1">
    <i/>
  </colItems>
  <dataFields count="1">
    <dataField name="Sum of Total_Spend" fld="1" baseField="0" baseItem="0" numFmtId="1"/>
  </dataFields>
  <chartFormats count="2">
    <chartFormat chart="4"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Dark2"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stomer_purchase_behavior_dataset (1).csv!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432ACF2-8768-4C7B-AB8F-38FA1E9FD31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B8" firstHeaderRow="1" firstDataRow="1" firstDataCol="1"/>
  <pivotFields count="16">
    <pivotField showAll="0"/>
    <pivotField showAll="0"/>
    <pivotField numFmtId="1" showAll="0"/>
    <pivotField showAll="0"/>
    <pivotField showAll="0"/>
    <pivotField showAll="0"/>
    <pivotField showAll="0"/>
    <pivotField showAll="0"/>
    <pivotField numFmtId="2" showAll="0"/>
    <pivotField numFmtId="1" showAll="0"/>
    <pivotField numFmtId="14" showAll="0"/>
    <pivotField axis="axisRow" showAll="0">
      <items count="5">
        <item x="1"/>
        <item x="3"/>
        <item x="2"/>
        <item x="0"/>
        <item t="default"/>
      </items>
    </pivotField>
    <pivotField numFmtId="1" showAll="0"/>
    <pivotField showAll="0"/>
    <pivotField showAll="0"/>
    <pivotField dataField="1" showAll="0"/>
  </pivotFields>
  <rowFields count="1">
    <field x="11"/>
  </rowFields>
  <rowItems count="5">
    <i>
      <x/>
    </i>
    <i>
      <x v="1"/>
    </i>
    <i>
      <x v="2"/>
    </i>
    <i>
      <x v="3"/>
    </i>
    <i t="grand">
      <x/>
    </i>
  </rowItems>
  <colItems count="1">
    <i/>
  </colItems>
  <dataFields count="1">
    <dataField name="Sum of Total_Spend" fld="15" baseField="11" baseItem="0" numFmtId="1"/>
  </dataFields>
  <chartFormats count="1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1" count="1" selected="0">
            <x v="0"/>
          </reference>
        </references>
      </pivotArea>
    </chartFormat>
    <chartFormat chart="0" format="2">
      <pivotArea type="data" outline="0" fieldPosition="0">
        <references count="2">
          <reference field="4294967294" count="1" selected="0">
            <x v="0"/>
          </reference>
          <reference field="11" count="1" selected="0">
            <x v="3"/>
          </reference>
        </references>
      </pivotArea>
    </chartFormat>
    <chartFormat chart="0" format="3">
      <pivotArea type="data" outline="0" fieldPosition="0">
        <references count="2">
          <reference field="4294967294" count="1" selected="0">
            <x v="0"/>
          </reference>
          <reference field="11" count="1" selected="0">
            <x v="2"/>
          </reference>
        </references>
      </pivotArea>
    </chartFormat>
    <chartFormat chart="0" format="4">
      <pivotArea type="data" outline="0" fieldPosition="0">
        <references count="2">
          <reference field="4294967294" count="1" selected="0">
            <x v="0"/>
          </reference>
          <reference field="11" count="1" selected="0">
            <x v="1"/>
          </reference>
        </references>
      </pivotArea>
    </chartFormat>
    <chartFormat chart="15" format="0" series="1">
      <pivotArea type="data" outline="0" fieldPosition="0">
        <references count="1">
          <reference field="4294967294" count="1" selected="0">
            <x v="0"/>
          </reference>
        </references>
      </pivotArea>
    </chartFormat>
    <chartFormat chart="17" format="6" series="1">
      <pivotArea type="data" outline="0" fieldPosition="0">
        <references count="1">
          <reference field="4294967294" count="1" selected="0">
            <x v="0"/>
          </reference>
        </references>
      </pivotArea>
    </chartFormat>
    <chartFormat chart="17" format="7">
      <pivotArea type="data" outline="0" fieldPosition="0">
        <references count="2">
          <reference field="4294967294" count="1" selected="0">
            <x v="0"/>
          </reference>
          <reference field="11" count="1" selected="0">
            <x v="0"/>
          </reference>
        </references>
      </pivotArea>
    </chartFormat>
    <chartFormat chart="17" format="8">
      <pivotArea type="data" outline="0" fieldPosition="0">
        <references count="2">
          <reference field="4294967294" count="1" selected="0">
            <x v="0"/>
          </reference>
          <reference field="11" count="1" selected="0">
            <x v="1"/>
          </reference>
        </references>
      </pivotArea>
    </chartFormat>
    <chartFormat chart="17" format="9">
      <pivotArea type="data" outline="0" fieldPosition="0">
        <references count="2">
          <reference field="4294967294" count="1" selected="0">
            <x v="0"/>
          </reference>
          <reference field="11" count="1" selected="0">
            <x v="2"/>
          </reference>
        </references>
      </pivotArea>
    </chartFormat>
    <chartFormat chart="17" format="10">
      <pivotArea type="data" outline="0" fieldPosition="0">
        <references count="2">
          <reference field="4294967294" count="1" selected="0">
            <x v="0"/>
          </reference>
          <reference field="11" count="1" selected="0">
            <x v="3"/>
          </reference>
        </references>
      </pivotArea>
    </chartFormat>
    <chartFormat chart="15" format="1">
      <pivotArea type="data" outline="0" fieldPosition="0">
        <references count="2">
          <reference field="4294967294" count="1" selected="0">
            <x v="0"/>
          </reference>
          <reference field="11" count="1" selected="0">
            <x v="0"/>
          </reference>
        </references>
      </pivotArea>
    </chartFormat>
    <chartFormat chart="15" format="2">
      <pivotArea type="data" outline="0" fieldPosition="0">
        <references count="2">
          <reference field="4294967294" count="1" selected="0">
            <x v="0"/>
          </reference>
          <reference field="11" count="1" selected="0">
            <x v="1"/>
          </reference>
        </references>
      </pivotArea>
    </chartFormat>
    <chartFormat chart="15" format="3">
      <pivotArea type="data" outline="0" fieldPosition="0">
        <references count="2">
          <reference field="4294967294" count="1" selected="0">
            <x v="0"/>
          </reference>
          <reference field="11" count="1" selected="0">
            <x v="2"/>
          </reference>
        </references>
      </pivotArea>
    </chartFormat>
    <chartFormat chart="15" format="4">
      <pivotArea type="data" outline="0" fieldPosition="0">
        <references count="2">
          <reference field="4294967294" count="1" selected="0">
            <x v="0"/>
          </reference>
          <reference field="11" count="1" selected="0">
            <x v="3"/>
          </reference>
        </references>
      </pivotArea>
    </chartFormat>
  </chart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99E0372-F7E9-4644-8215-4B931707DFE8}"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4" firstHeaderRow="1" firstDataRow="1" firstDataCol="1"/>
  <pivotFields count="16">
    <pivotField axis="axisRow" showAll="0" measureFilter="1" sortType="descending">
      <items count="1001">
        <item x="817"/>
        <item x="473"/>
        <item x="980"/>
        <item x="900"/>
        <item x="458"/>
        <item x="660"/>
        <item x="880"/>
        <item x="26"/>
        <item x="685"/>
        <item x="734"/>
        <item x="967"/>
        <item x="807"/>
        <item x="576"/>
        <item x="682"/>
        <item x="9"/>
        <item x="383"/>
        <item x="218"/>
        <item x="68"/>
        <item x="116"/>
        <item x="323"/>
        <item x="477"/>
        <item x="485"/>
        <item x="281"/>
        <item x="175"/>
        <item x="355"/>
        <item x="560"/>
        <item x="372"/>
        <item x="727"/>
        <item x="822"/>
        <item x="868"/>
        <item x="65"/>
        <item x="683"/>
        <item x="240"/>
        <item x="243"/>
        <item x="766"/>
        <item x="242"/>
        <item x="816"/>
        <item x="694"/>
        <item x="421"/>
        <item x="865"/>
        <item x="354"/>
        <item x="744"/>
        <item x="845"/>
        <item x="548"/>
        <item x="481"/>
        <item x="717"/>
        <item x="180"/>
        <item x="607"/>
        <item x="49"/>
        <item x="29"/>
        <item x="89"/>
        <item x="559"/>
        <item x="177"/>
        <item x="628"/>
        <item x="15"/>
        <item x="692"/>
        <item x="852"/>
        <item x="619"/>
        <item x="917"/>
        <item x="847"/>
        <item x="271"/>
        <item x="489"/>
        <item x="221"/>
        <item x="311"/>
        <item x="280"/>
        <item x="99"/>
        <item x="133"/>
        <item x="136"/>
        <item x="183"/>
        <item x="587"/>
        <item x="770"/>
        <item x="114"/>
        <item x="302"/>
        <item x="304"/>
        <item x="321"/>
        <item x="88"/>
        <item x="317"/>
        <item x="996"/>
        <item x="919"/>
        <item x="6"/>
        <item x="688"/>
        <item x="544"/>
        <item x="179"/>
        <item x="659"/>
        <item x="597"/>
        <item x="269"/>
        <item x="899"/>
        <item x="439"/>
        <item x="108"/>
        <item x="388"/>
        <item x="338"/>
        <item x="604"/>
        <item x="502"/>
        <item x="695"/>
        <item x="497"/>
        <item x="408"/>
        <item x="400"/>
        <item x="985"/>
        <item x="519"/>
        <item x="399"/>
        <item x="742"/>
        <item x="838"/>
        <item x="867"/>
        <item x="403"/>
        <item x="728"/>
        <item x="772"/>
        <item x="538"/>
        <item x="964"/>
        <item x="601"/>
        <item x="174"/>
        <item x="846"/>
        <item x="259"/>
        <item x="339"/>
        <item x="810"/>
        <item x="563"/>
        <item x="313"/>
        <item x="499"/>
        <item x="702"/>
        <item x="920"/>
        <item x="31"/>
        <item x="537"/>
        <item x="747"/>
        <item x="306"/>
        <item x="904"/>
        <item x="785"/>
        <item x="530"/>
        <item x="940"/>
        <item x="603"/>
        <item x="907"/>
        <item x="256"/>
        <item x="783"/>
        <item x="330"/>
        <item x="523"/>
        <item x="273"/>
        <item x="736"/>
        <item x="733"/>
        <item x="277"/>
        <item x="992"/>
        <item x="999"/>
        <item x="342"/>
        <item x="778"/>
        <item x="977"/>
        <item x="308"/>
        <item x="168"/>
        <item x="543"/>
        <item x="721"/>
        <item x="707"/>
        <item x="935"/>
        <item x="356"/>
        <item x="409"/>
        <item x="30"/>
        <item x="501"/>
        <item x="881"/>
        <item x="888"/>
        <item x="328"/>
        <item x="969"/>
        <item x="786"/>
        <item x="430"/>
        <item x="629"/>
        <item x="954"/>
        <item x="982"/>
        <item x="771"/>
        <item x="95"/>
        <item x="305"/>
        <item x="81"/>
        <item x="598"/>
        <item x="78"/>
        <item x="441"/>
        <item x="376"/>
        <item x="234"/>
        <item x="106"/>
        <item x="52"/>
        <item x="821"/>
        <item x="200"/>
        <item x="815"/>
        <item x="627"/>
        <item x="741"/>
        <item x="319"/>
        <item x="622"/>
        <item x="650"/>
        <item x="655"/>
        <item x="998"/>
        <item x="268"/>
        <item x="457"/>
        <item x="456"/>
        <item x="540"/>
        <item x="774"/>
        <item x="839"/>
        <item x="225"/>
        <item x="751"/>
        <item x="573"/>
        <item x="91"/>
        <item x="664"/>
        <item x="550"/>
        <item x="869"/>
        <item x="4"/>
        <item x="834"/>
        <item x="906"/>
        <item x="300"/>
        <item x="469"/>
        <item x="507"/>
        <item x="58"/>
        <item x="649"/>
        <item x="284"/>
        <item x="212"/>
        <item x="831"/>
        <item x="101"/>
        <item x="713"/>
        <item x="611"/>
        <item x="602"/>
        <item x="467"/>
        <item x="432"/>
        <item x="944"/>
        <item x="364"/>
        <item x="163"/>
        <item x="224"/>
        <item x="87"/>
        <item x="895"/>
        <item x="387"/>
        <item x="368"/>
        <item x="677"/>
        <item x="708"/>
        <item x="202"/>
        <item x="176"/>
        <item x="679"/>
        <item x="105"/>
        <item x="232"/>
        <item x="849"/>
        <item x="724"/>
        <item x="970"/>
        <item x="693"/>
        <item x="535"/>
        <item x="910"/>
        <item x="42"/>
        <item x="503"/>
        <item x="190"/>
        <item x="147"/>
        <item x="263"/>
        <item x="716"/>
        <item x="752"/>
        <item x="327"/>
        <item x="614"/>
        <item x="722"/>
        <item x="287"/>
        <item x="346"/>
        <item x="814"/>
        <item x="689"/>
        <item x="686"/>
        <item x="135"/>
        <item x="784"/>
        <item x="837"/>
        <item x="850"/>
        <item x="891"/>
        <item x="475"/>
        <item x="494"/>
        <item x="972"/>
        <item x="230"/>
        <item x="662"/>
        <item x="911"/>
        <item x="331"/>
        <item x="533"/>
        <item x="104"/>
        <item x="983"/>
        <item x="806"/>
        <item x="290"/>
        <item x="37"/>
        <item x="945"/>
        <item x="782"/>
        <item x="194"/>
        <item x="648"/>
        <item x="633"/>
        <item x="46"/>
        <item x="522"/>
        <item x="245"/>
        <item x="595"/>
        <item x="678"/>
        <item x="764"/>
        <item x="773"/>
        <item x="438"/>
        <item x="539"/>
        <item x="882"/>
        <item x="951"/>
        <item x="801"/>
        <item x="44"/>
        <item x="525"/>
        <item x="794"/>
        <item x="437"/>
        <item x="315"/>
        <item x="265"/>
        <item x="799"/>
        <item x="63"/>
        <item x="404"/>
        <item x="848"/>
        <item x="613"/>
        <item x="634"/>
        <item x="1"/>
        <item x="155"/>
        <item x="59"/>
        <item x="303"/>
        <item x="143"/>
        <item x="952"/>
        <item x="641"/>
        <item x="593"/>
        <item x="448"/>
        <item x="541"/>
        <item x="122"/>
        <item x="608"/>
        <item x="976"/>
        <item x="765"/>
        <item x="343"/>
        <item x="414"/>
        <item x="965"/>
        <item x="796"/>
        <item x="0"/>
        <item x="960"/>
        <item x="267"/>
        <item x="82"/>
        <item x="266"/>
        <item x="2"/>
        <item x="22"/>
        <item x="422"/>
        <item x="950"/>
        <item x="151"/>
        <item x="939"/>
        <item x="732"/>
        <item x="223"/>
        <item x="618"/>
        <item x="90"/>
        <item x="496"/>
        <item x="898"/>
        <item x="626"/>
        <item x="452"/>
        <item x="527"/>
        <item x="739"/>
        <item x="876"/>
        <item x="671"/>
        <item x="596"/>
        <item x="307"/>
        <item x="534"/>
        <item x="23"/>
        <item x="453"/>
        <item x="125"/>
        <item x="870"/>
        <item x="447"/>
        <item x="333"/>
        <item x="616"/>
        <item x="425"/>
        <item x="195"/>
        <item x="492"/>
        <item x="826"/>
        <item x="779"/>
        <item x="460"/>
        <item x="953"/>
        <item x="561"/>
        <item x="454"/>
        <item x="926"/>
        <item x="373"/>
        <item x="790"/>
        <item x="111"/>
        <item x="500"/>
        <item x="28"/>
        <item x="879"/>
        <item x="97"/>
        <item x="154"/>
        <item x="777"/>
        <item x="38"/>
        <item x="139"/>
        <item x="820"/>
        <item x="325"/>
        <item x="844"/>
        <item x="295"/>
        <item x="791"/>
        <item x="809"/>
        <item x="83"/>
        <item x="239"/>
        <item x="226"/>
        <item x="570"/>
        <item x="632"/>
        <item x="359"/>
        <item x="703"/>
        <item x="61"/>
        <item x="700"/>
        <item x="612"/>
        <item x="241"/>
        <item x="842"/>
        <item x="24"/>
        <item x="797"/>
        <item x="84"/>
        <item x="476"/>
        <item x="511"/>
        <item x="130"/>
        <item x="800"/>
        <item x="575"/>
        <item x="506"/>
        <item x="378"/>
        <item x="272"/>
        <item x="144"/>
        <item x="956"/>
        <item x="877"/>
        <item x="823"/>
        <item x="115"/>
        <item x="35"/>
        <item x="840"/>
        <item x="687"/>
        <item x="207"/>
        <item x="775"/>
        <item x="362"/>
        <item x="324"/>
        <item x="923"/>
        <item x="159"/>
        <item x="536"/>
        <item x="186"/>
        <item x="5"/>
        <item x="67"/>
        <item x="120"/>
        <item x="491"/>
        <item x="205"/>
        <item x="60"/>
        <item x="948"/>
        <item x="219"/>
        <item x="748"/>
        <item x="433"/>
        <item x="429"/>
        <item x="553"/>
        <item x="621"/>
        <item x="901"/>
        <item x="18"/>
        <item x="504"/>
        <item x="53"/>
        <item x="878"/>
        <item x="851"/>
        <item x="729"/>
        <item x="479"/>
        <item x="198"/>
        <item x="107"/>
        <item x="80"/>
        <item x="767"/>
        <item x="440"/>
        <item x="986"/>
        <item x="872"/>
        <item x="50"/>
        <item x="875"/>
        <item x="14"/>
        <item x="555"/>
        <item x="157"/>
        <item x="463"/>
        <item x="312"/>
        <item x="889"/>
        <item x="962"/>
        <item x="661"/>
        <item x="351"/>
        <item x="599"/>
        <item x="94"/>
        <item x="298"/>
        <item x="417"/>
        <item x="833"/>
        <item x="62"/>
        <item x="21"/>
        <item x="25"/>
        <item x="384"/>
        <item x="445"/>
        <item x="413"/>
        <item x="547"/>
        <item x="390"/>
        <item x="856"/>
        <item x="825"/>
        <item x="571"/>
        <item x="161"/>
        <item x="396"/>
        <item x="836"/>
        <item x="802"/>
        <item x="301"/>
        <item x="859"/>
        <item x="517"/>
        <item x="119"/>
        <item x="565"/>
        <item x="562"/>
        <item x="75"/>
        <item x="680"/>
        <item x="760"/>
        <item x="652"/>
        <item x="296"/>
        <item x="57"/>
        <item x="211"/>
        <item x="528"/>
        <item x="310"/>
        <item x="217"/>
        <item x="663"/>
        <item x="990"/>
        <item x="455"/>
        <item x="32"/>
        <item x="121"/>
        <item x="401"/>
        <item x="701"/>
        <item x="129"/>
        <item x="72"/>
        <item x="255"/>
        <item x="471"/>
        <item x="189"/>
        <item x="798"/>
        <item x="208"/>
        <item x="45"/>
        <item x="943"/>
        <item x="12"/>
        <item x="609"/>
        <item x="465"/>
        <item x="545"/>
        <item x="690"/>
        <item x="248"/>
        <item x="620"/>
        <item x="738"/>
        <item x="54"/>
        <item x="723"/>
        <item x="532"/>
        <item x="617"/>
        <item x="352"/>
        <item x="813"/>
        <item x="941"/>
        <item x="464"/>
        <item x="758"/>
        <item x="600"/>
        <item x="363"/>
        <item x="85"/>
        <item x="864"/>
        <item x="549"/>
        <item x="668"/>
        <item x="993"/>
        <item x="220"/>
        <item x="152"/>
        <item x="412"/>
        <item x="933"/>
        <item x="178"/>
        <item x="832"/>
        <item x="719"/>
        <item x="670"/>
        <item x="164"/>
        <item x="397"/>
        <item x="55"/>
        <item x="123"/>
        <item x="215"/>
        <item x="93"/>
        <item x="289"/>
        <item x="835"/>
        <item x="582"/>
        <item x="913"/>
        <item x="69"/>
        <item x="585"/>
        <item x="237"/>
        <item x="645"/>
        <item x="937"/>
        <item x="487"/>
        <item x="567"/>
        <item x="334"/>
        <item x="588"/>
        <item x="580"/>
        <item x="102"/>
        <item x="482"/>
        <item x="394"/>
        <item x="804"/>
        <item x="554"/>
        <item x="857"/>
        <item x="19"/>
        <item x="510"/>
        <item x="887"/>
        <item x="871"/>
        <item x="185"/>
        <item x="631"/>
        <item x="395"/>
        <item x="925"/>
        <item x="495"/>
        <item x="968"/>
        <item x="586"/>
        <item x="912"/>
        <item x="340"/>
        <item x="184"/>
        <item x="385"/>
        <item x="336"/>
        <item x="126"/>
        <item x="676"/>
        <item x="279"/>
        <item x="423"/>
        <item x="924"/>
        <item x="978"/>
        <item x="398"/>
        <item x="654"/>
        <item x="653"/>
        <item x="909"/>
        <item x="461"/>
        <item x="892"/>
        <item x="100"/>
        <item x="991"/>
        <item x="720"/>
        <item x="238"/>
        <item x="959"/>
        <item x="450"/>
        <item x="442"/>
        <item x="811"/>
        <item x="669"/>
        <item x="776"/>
        <item x="360"/>
        <item x="379"/>
        <item x="938"/>
        <item x="667"/>
        <item x="812"/>
        <item x="353"/>
        <item x="349"/>
        <item x="160"/>
        <item x="257"/>
        <item x="697"/>
        <item x="322"/>
        <item x="788"/>
        <item x="109"/>
        <item x="347"/>
        <item x="759"/>
        <item x="918"/>
        <item x="436"/>
        <item x="712"/>
        <item x="793"/>
        <item x="40"/>
        <item x="942"/>
        <item x="371"/>
        <item x="128"/>
        <item x="33"/>
        <item x="369"/>
        <item x="657"/>
        <item x="252"/>
        <item x="958"/>
        <item x="7"/>
        <item x="581"/>
        <item x="153"/>
        <item x="594"/>
        <item x="113"/>
        <item x="987"/>
        <item x="262"/>
        <item x="166"/>
        <item x="542"/>
        <item x="375"/>
        <item x="591"/>
        <item x="39"/>
        <item x="745"/>
        <item x="468"/>
        <item x="675"/>
        <item x="92"/>
        <item x="406"/>
        <item x="754"/>
        <item x="988"/>
        <item x="583"/>
        <item x="382"/>
        <item x="169"/>
        <item x="710"/>
        <item x="731"/>
        <item x="478"/>
        <item x="79"/>
        <item x="743"/>
        <item x="885"/>
        <item x="124"/>
        <item x="86"/>
        <item x="699"/>
        <item x="718"/>
        <item x="246"/>
        <item x="994"/>
        <item x="516"/>
        <item x="672"/>
        <item x="288"/>
        <item x="132"/>
        <item x="286"/>
        <item x="513"/>
        <item x="971"/>
        <item x="518"/>
        <item x="828"/>
        <item x="459"/>
        <item x="843"/>
        <item x="508"/>
        <item x="173"/>
        <item x="551"/>
        <item x="858"/>
        <item x="402"/>
        <item x="529"/>
        <item x="577"/>
        <item x="254"/>
        <item x="443"/>
        <item x="275"/>
        <item x="167"/>
        <item x="381"/>
        <item x="428"/>
        <item x="490"/>
        <item x="884"/>
        <item x="615"/>
        <item x="41"/>
        <item x="420"/>
        <item x="691"/>
        <item x="606"/>
        <item x="984"/>
        <item x="973"/>
        <item x="367"/>
        <item x="216"/>
        <item x="818"/>
        <item x="521"/>
        <item x="329"/>
        <item x="172"/>
        <item x="946"/>
        <item x="753"/>
        <item x="558"/>
        <item x="569"/>
        <item x="74"/>
        <item x="293"/>
        <item x="862"/>
        <item x="726"/>
        <item x="658"/>
        <item x="863"/>
        <item x="291"/>
        <item x="98"/>
        <item x="647"/>
        <item x="222"/>
        <item x="70"/>
        <item x="309"/>
        <item x="210"/>
        <item x="483"/>
        <item x="674"/>
        <item x="755"/>
        <item x="227"/>
        <item x="789"/>
        <item x="484"/>
        <item x="365"/>
        <item x="407"/>
        <item x="337"/>
        <item x="416"/>
        <item x="380"/>
        <item x="589"/>
        <item x="251"/>
        <item x="916"/>
        <item x="623"/>
        <item x="196"/>
        <item x="73"/>
        <item x="829"/>
        <item x="370"/>
        <item x="915"/>
        <item x="638"/>
        <item x="260"/>
        <item x="17"/>
        <item x="3"/>
        <item x="56"/>
        <item x="930"/>
        <item x="350"/>
        <item x="531"/>
        <item x="896"/>
        <item x="568"/>
        <item x="274"/>
        <item x="374"/>
        <item x="64"/>
        <item x="749"/>
        <item x="630"/>
        <item x="769"/>
        <item x="472"/>
        <item x="231"/>
        <item x="761"/>
        <item x="520"/>
        <item x="8"/>
        <item x="830"/>
        <item x="995"/>
        <item x="505"/>
        <item x="419"/>
        <item x="498"/>
        <item x="149"/>
        <item x="474"/>
        <item x="866"/>
        <item x="989"/>
        <item x="546"/>
        <item x="462"/>
        <item x="805"/>
        <item x="137"/>
        <item x="610"/>
        <item x="358"/>
        <item x="684"/>
        <item x="493"/>
        <item x="13"/>
        <item x="792"/>
        <item x="552"/>
        <item x="709"/>
        <item x="656"/>
        <item x="512"/>
        <item x="605"/>
        <item x="138"/>
        <item x="77"/>
        <item x="854"/>
        <item x="444"/>
        <item x="556"/>
        <item x="209"/>
        <item x="651"/>
        <item x="36"/>
        <item x="427"/>
        <item x="735"/>
        <item x="466"/>
        <item x="509"/>
        <item x="127"/>
        <item x="451"/>
        <item x="646"/>
        <item x="76"/>
        <item x="827"/>
        <item x="927"/>
        <item x="316"/>
        <item x="253"/>
        <item x="314"/>
        <item x="203"/>
        <item x="292"/>
        <item x="714"/>
        <item x="787"/>
        <item x="182"/>
        <item x="393"/>
        <item x="249"/>
        <item x="636"/>
        <item x="117"/>
        <item x="47"/>
        <item x="711"/>
        <item x="392"/>
        <item x="470"/>
        <item x="705"/>
        <item x="781"/>
        <item x="725"/>
        <item x="963"/>
        <item x="665"/>
        <item x="449"/>
        <item x="112"/>
        <item x="16"/>
        <item x="855"/>
        <item x="893"/>
        <item x="780"/>
        <item x="51"/>
        <item x="140"/>
        <item x="150"/>
        <item x="131"/>
        <item x="228"/>
        <item x="261"/>
        <item x="27"/>
        <item x="932"/>
        <item x="974"/>
        <item x="961"/>
        <item x="808"/>
        <item x="34"/>
        <item x="405"/>
        <item x="192"/>
        <item x="426"/>
        <item x="750"/>
        <item x="71"/>
        <item x="715"/>
        <item x="165"/>
        <item x="819"/>
        <item x="446"/>
        <item x="488"/>
        <item x="391"/>
        <item x="142"/>
        <item x="579"/>
        <item x="134"/>
        <item x="377"/>
        <item x="348"/>
        <item x="103"/>
        <item x="187"/>
        <item x="514"/>
        <item x="285"/>
        <item x="673"/>
        <item x="66"/>
        <item x="873"/>
        <item x="894"/>
        <item x="934"/>
        <item x="908"/>
        <item x="957"/>
        <item x="332"/>
        <item x="762"/>
        <item x="740"/>
        <item x="841"/>
        <item x="824"/>
        <item x="162"/>
        <item x="639"/>
        <item x="981"/>
        <item x="997"/>
        <item x="955"/>
        <item x="644"/>
        <item x="299"/>
        <item x="361"/>
        <item x="320"/>
        <item x="890"/>
        <item x="883"/>
        <item x="566"/>
        <item x="344"/>
        <item x="156"/>
        <item x="96"/>
        <item x="666"/>
        <item x="258"/>
        <item x="434"/>
        <item x="201"/>
        <item x="590"/>
        <item x="574"/>
        <item x="424"/>
        <item x="204"/>
        <item x="170"/>
        <item x="43"/>
        <item x="578"/>
        <item x="294"/>
        <item x="193"/>
        <item x="572"/>
        <item x="706"/>
        <item x="625"/>
        <item x="11"/>
        <item x="418"/>
        <item x="975"/>
        <item x="592"/>
        <item x="191"/>
        <item x="905"/>
        <item x="235"/>
        <item x="936"/>
        <item x="922"/>
        <item x="480"/>
        <item x="640"/>
        <item x="171"/>
        <item x="624"/>
        <item x="326"/>
        <item x="897"/>
        <item x="486"/>
        <item x="931"/>
        <item x="768"/>
        <item x="947"/>
        <item x="247"/>
        <item x="145"/>
        <item x="282"/>
        <item x="874"/>
        <item x="233"/>
        <item x="213"/>
        <item x="435"/>
        <item x="20"/>
        <item x="278"/>
        <item x="902"/>
        <item x="756"/>
        <item x="698"/>
        <item x="763"/>
        <item x="914"/>
        <item x="696"/>
        <item x="199"/>
        <item x="730"/>
        <item x="949"/>
        <item x="515"/>
        <item x="276"/>
        <item x="48"/>
        <item x="250"/>
        <item x="853"/>
        <item x="704"/>
        <item x="681"/>
        <item x="584"/>
        <item x="903"/>
        <item x="341"/>
        <item x="197"/>
        <item x="886"/>
        <item x="637"/>
        <item x="524"/>
        <item x="795"/>
        <item x="318"/>
        <item x="141"/>
        <item x="158"/>
        <item x="335"/>
        <item x="366"/>
        <item x="557"/>
        <item x="642"/>
        <item x="270"/>
        <item x="803"/>
        <item x="526"/>
        <item x="431"/>
        <item x="181"/>
        <item x="746"/>
        <item x="737"/>
        <item x="244"/>
        <item x="188"/>
        <item x="979"/>
        <item x="345"/>
        <item x="861"/>
        <item x="264"/>
        <item x="357"/>
        <item x="411"/>
        <item x="206"/>
        <item x="229"/>
        <item x="214"/>
        <item x="757"/>
        <item x="928"/>
        <item x="410"/>
        <item x="118"/>
        <item x="386"/>
        <item x="635"/>
        <item x="643"/>
        <item x="564"/>
        <item x="146"/>
        <item x="415"/>
        <item x="10"/>
        <item x="283"/>
        <item x="860"/>
        <item x="110"/>
        <item x="921"/>
        <item x="236"/>
        <item x="297"/>
        <item x="148"/>
        <item x="966"/>
        <item x="929"/>
        <item x="389"/>
        <item t="default"/>
      </items>
      <autoSortScope>
        <pivotArea dataOnly="0" outline="0" fieldPosition="0">
          <references count="1">
            <reference field="4294967294" count="1" selected="0">
              <x v="0"/>
            </reference>
          </references>
        </pivotArea>
      </autoSortScope>
    </pivotField>
    <pivotField showAll="0"/>
    <pivotField numFmtId="1" showAll="0"/>
    <pivotField showAll="0"/>
    <pivotField showAll="0"/>
    <pivotField showAll="0"/>
    <pivotField showAll="0"/>
    <pivotField showAll="0"/>
    <pivotField numFmtId="2" showAll="0"/>
    <pivotField numFmtId="1" showAll="0"/>
    <pivotField numFmtId="14" showAll="0"/>
    <pivotField showAll="0"/>
    <pivotField numFmtId="1" showAll="0"/>
    <pivotField showAll="0"/>
    <pivotField showAll="0"/>
    <pivotField dataField="1" showAll="0"/>
  </pivotFields>
  <rowFields count="1">
    <field x="0"/>
  </rowFields>
  <rowItems count="11">
    <i>
      <x v="889"/>
    </i>
    <i>
      <x v="71"/>
    </i>
    <i>
      <x v="87"/>
    </i>
    <i>
      <x v="89"/>
    </i>
    <i>
      <x v="493"/>
    </i>
    <i>
      <x v="529"/>
    </i>
    <i>
      <x v="308"/>
    </i>
    <i>
      <x v="318"/>
    </i>
    <i>
      <x v="5"/>
    </i>
    <i>
      <x v="672"/>
    </i>
    <i t="grand">
      <x/>
    </i>
  </rowItems>
  <colItems count="1">
    <i/>
  </colItems>
  <dataFields count="1">
    <dataField name="Sum of Total_Spend" fld="15" baseField="0" baseItem="889" numFmtId="1"/>
  </dataFields>
  <formats count="1">
    <format dxfId="0">
      <pivotArea field="0" type="button" dataOnly="0" labelOnly="1" outline="0" axis="axisRow" fieldPosition="0"/>
    </format>
  </formats>
  <chartFormats count="2">
    <chartFormat chart="1"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Dark2"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ID" xr10:uid="{5988CAFE-EBA8-43BE-A34C-7CA7E9000787}" sourceName="Customer_ID">
  <pivotTables>
    <pivotTable tabId="3" name="PivotTable2"/>
  </pivotTables>
  <data>
    <tabular pivotCacheId="96752212">
      <items count="1000">
        <i x="817" s="1"/>
        <i x="980" s="1"/>
        <i x="900" s="1"/>
        <i x="880" s="1"/>
        <i x="685" s="1"/>
        <i x="734" s="1"/>
        <i x="967" s="1"/>
        <i x="807" s="1"/>
        <i x="682" s="1"/>
        <i x="727" s="1"/>
        <i x="822" s="1"/>
        <i x="868" s="1"/>
        <i x="683" s="1"/>
        <i x="766" s="1"/>
        <i x="816" s="1"/>
        <i x="694" s="1"/>
        <i x="865" s="1"/>
        <i x="744" s="1"/>
        <i x="845" s="1"/>
        <i x="717" s="1"/>
        <i x="692" s="1"/>
        <i x="852" s="1"/>
        <i x="917" s="1"/>
        <i x="847" s="1"/>
        <i x="770" s="1"/>
        <i x="996" s="1"/>
        <i x="919" s="1"/>
        <i x="688" s="1"/>
        <i x="899" s="1"/>
        <i x="695" s="1"/>
        <i x="985" s="1"/>
        <i x="742" s="1"/>
        <i x="838" s="1"/>
        <i x="867" s="1"/>
        <i x="728" s="1"/>
        <i x="772" s="1"/>
        <i x="964" s="1"/>
        <i x="846" s="1"/>
        <i x="810" s="1"/>
        <i x="702" s="1"/>
        <i x="920" s="1"/>
        <i x="747" s="1"/>
        <i x="904" s="1"/>
        <i x="785" s="1"/>
        <i x="940" s="1"/>
        <i x="907" s="1"/>
        <i x="783" s="1"/>
        <i x="736" s="1"/>
        <i x="733" s="1"/>
        <i x="992" s="1"/>
        <i x="999" s="1"/>
        <i x="778" s="1"/>
        <i x="977" s="1"/>
        <i x="721" s="1"/>
        <i x="707" s="1"/>
        <i x="935" s="1"/>
        <i x="881" s="1"/>
        <i x="888" s="1"/>
        <i x="969" s="1"/>
        <i x="786" s="1"/>
        <i x="954" s="1"/>
        <i x="982" s="1"/>
        <i x="771" s="1"/>
        <i x="821" s="1"/>
        <i x="815" s="1"/>
        <i x="741" s="1"/>
        <i x="998" s="1"/>
        <i x="774" s="1"/>
        <i x="839" s="1"/>
        <i x="751" s="1"/>
        <i x="869" s="1"/>
        <i x="834" s="1"/>
        <i x="906" s="1"/>
        <i x="831" s="1"/>
        <i x="713" s="1"/>
        <i x="944" s="1"/>
        <i x="895" s="1"/>
        <i x="708" s="1"/>
        <i x="849" s="1"/>
        <i x="724" s="1"/>
        <i x="970" s="1"/>
        <i x="693" s="1"/>
        <i x="910" s="1"/>
        <i x="716" s="1"/>
        <i x="752" s="1"/>
        <i x="722" s="1"/>
        <i x="814" s="1"/>
        <i x="689" s="1"/>
        <i x="686" s="1"/>
        <i x="784" s="1"/>
        <i x="837" s="1"/>
        <i x="850" s="1"/>
        <i x="891" s="1"/>
        <i x="972" s="1"/>
        <i x="911" s="1"/>
        <i x="983" s="1"/>
        <i x="806" s="1"/>
        <i x="945" s="1"/>
        <i x="782" s="1"/>
        <i x="764" s="1"/>
        <i x="773" s="1"/>
        <i x="882" s="1"/>
        <i x="951" s="1"/>
        <i x="801" s="1"/>
        <i x="794" s="1"/>
        <i x="799" s="1"/>
        <i x="848" s="1"/>
        <i x="952" s="1"/>
        <i x="976" s="1"/>
        <i x="765" s="1"/>
        <i x="965" s="1"/>
        <i x="796" s="1"/>
        <i x="960" s="1"/>
        <i x="950" s="1"/>
        <i x="939" s="1"/>
        <i x="732" s="1"/>
        <i x="898" s="1"/>
        <i x="739" s="1"/>
        <i x="876" s="1"/>
        <i x="870" s="1"/>
        <i x="826" s="1"/>
        <i x="779" s="1"/>
        <i x="953" s="1"/>
        <i x="926" s="1"/>
        <i x="790" s="1"/>
        <i x="879" s="1"/>
        <i x="777" s="1"/>
        <i x="820" s="1"/>
        <i x="844" s="1"/>
        <i x="791" s="1"/>
        <i x="809" s="1"/>
        <i x="703" s="1"/>
        <i x="700" s="1"/>
        <i x="842" s="1"/>
        <i x="797" s="1"/>
        <i x="800" s="1"/>
        <i x="956" s="1"/>
        <i x="877" s="1"/>
        <i x="823" s="1"/>
        <i x="840" s="1"/>
        <i x="687" s="1"/>
        <i x="775" s="1"/>
        <i x="923" s="1"/>
        <i x="948" s="1"/>
        <i x="748" s="1"/>
        <i x="901" s="1"/>
        <i x="878" s="1"/>
        <i x="851" s="1"/>
        <i x="729" s="1"/>
        <i x="767" s="1"/>
        <i x="986" s="1"/>
        <i x="872" s="1"/>
        <i x="875" s="1"/>
        <i x="889" s="1"/>
        <i x="962" s="1"/>
        <i x="833" s="1"/>
        <i x="856" s="1"/>
        <i x="825" s="1"/>
        <i x="836" s="1"/>
        <i x="802" s="1"/>
        <i x="859" s="1"/>
        <i x="760" s="1"/>
        <i x="990" s="1"/>
        <i x="701" s="1"/>
        <i x="798" s="1"/>
        <i x="943" s="1"/>
        <i x="690" s="1"/>
        <i x="738" s="1"/>
        <i x="723" s="1"/>
        <i x="813" s="1"/>
        <i x="941" s="1"/>
        <i x="758" s="1"/>
        <i x="864" s="1"/>
        <i x="993" s="1"/>
        <i x="933" s="1"/>
        <i x="832" s="1"/>
        <i x="719" s="1"/>
        <i x="835" s="1"/>
        <i x="913" s="1"/>
        <i x="937" s="1"/>
        <i x="804" s="1"/>
        <i x="857" s="1"/>
        <i x="887" s="1"/>
        <i x="871" s="1"/>
        <i x="925" s="1"/>
        <i x="968" s="1"/>
        <i x="912" s="1"/>
        <i x="924" s="1"/>
        <i x="978" s="1"/>
        <i x="909" s="1"/>
        <i x="892" s="1"/>
        <i x="991" s="1"/>
        <i x="720" s="1"/>
        <i x="959" s="1"/>
        <i x="811" s="1"/>
        <i x="776" s="1"/>
        <i x="938" s="1"/>
        <i x="812" s="1"/>
        <i x="697" s="1"/>
        <i x="788" s="1"/>
        <i x="759" s="1"/>
        <i x="918" s="1"/>
        <i x="712" s="1"/>
        <i x="793" s="1"/>
        <i x="942" s="1"/>
        <i x="958" s="1"/>
        <i x="987" s="1"/>
        <i x="745" s="1"/>
        <i x="754" s="1"/>
        <i x="988" s="1"/>
        <i x="710" s="1"/>
        <i x="731" s="1"/>
        <i x="743" s="1"/>
        <i x="885" s="1"/>
        <i x="699" s="1"/>
        <i x="718" s="1"/>
        <i x="994" s="1"/>
        <i x="971" s="1"/>
        <i x="828" s="1"/>
        <i x="843" s="1"/>
        <i x="858" s="1"/>
        <i x="884" s="1"/>
        <i x="691" s="1"/>
        <i x="984" s="1"/>
        <i x="973" s="1"/>
        <i x="818" s="1"/>
        <i x="946" s="1"/>
        <i x="753" s="1"/>
        <i x="862" s="1"/>
        <i x="726" s="1"/>
        <i x="863" s="1"/>
        <i x="755" s="1"/>
        <i x="789" s="1"/>
        <i x="916" s="1"/>
        <i x="829" s="1"/>
        <i x="915" s="1"/>
        <i x="930" s="1"/>
        <i x="896" s="1"/>
        <i x="749" s="1"/>
        <i x="769" s="1"/>
        <i x="761" s="1"/>
        <i x="830" s="1"/>
        <i x="995" s="1"/>
        <i x="866" s="1"/>
        <i x="989" s="1"/>
        <i x="805" s="1"/>
        <i x="684" s="1"/>
        <i x="792" s="1"/>
        <i x="709" s="1"/>
        <i x="854" s="1"/>
        <i x="735" s="1"/>
        <i x="827" s="1"/>
        <i x="927" s="1"/>
        <i x="714" s="1"/>
        <i x="787" s="1"/>
        <i x="711" s="1"/>
        <i x="705" s="1"/>
        <i x="781" s="1"/>
        <i x="725" s="1"/>
        <i x="963" s="1"/>
        <i x="855" s="1"/>
        <i x="893" s="1"/>
        <i x="780" s="1"/>
        <i x="932" s="1"/>
        <i x="974" s="1"/>
        <i x="961" s="1"/>
        <i x="808" s="1"/>
        <i x="750" s="1"/>
        <i x="715" s="1"/>
        <i x="819" s="1"/>
        <i x="873" s="1"/>
        <i x="894" s="1"/>
        <i x="934" s="1"/>
        <i x="908" s="1"/>
        <i x="957" s="1"/>
        <i x="762" s="1"/>
        <i x="740" s="1"/>
        <i x="841" s="1"/>
        <i x="824" s="1"/>
        <i x="981" s="1"/>
        <i x="997" s="1"/>
        <i x="955" s="1"/>
        <i x="890" s="1"/>
        <i x="883" s="1"/>
        <i x="706" s="1"/>
        <i x="975" s="1"/>
        <i x="905" s="1"/>
        <i x="936" s="1"/>
        <i x="922" s="1"/>
        <i x="897" s="1"/>
        <i x="931" s="1"/>
        <i x="768" s="1"/>
        <i x="947" s="1"/>
        <i x="874" s="1"/>
        <i x="902" s="1"/>
        <i x="756" s="1"/>
        <i x="698" s="1"/>
        <i x="763" s="1"/>
        <i x="914" s="1"/>
        <i x="696" s="1"/>
        <i x="730" s="1"/>
        <i x="949" s="1"/>
        <i x="853" s="1"/>
        <i x="704" s="1"/>
        <i x="681" s="1"/>
        <i x="903" s="1"/>
        <i x="886" s="1"/>
        <i x="795" s="1"/>
        <i x="803" s="1"/>
        <i x="746" s="1"/>
        <i x="737" s="1"/>
        <i x="979" s="1"/>
        <i x="861" s="1"/>
        <i x="757" s="1"/>
        <i x="928" s="1"/>
        <i x="860" s="1"/>
        <i x="921" s="1"/>
        <i x="966" s="1"/>
        <i x="929" s="1"/>
        <i x="473" s="1" nd="1"/>
        <i x="458" s="1" nd="1"/>
        <i x="660" s="1" nd="1"/>
        <i x="26" s="1" nd="1"/>
        <i x="576" s="1" nd="1"/>
        <i x="9" s="1" nd="1"/>
        <i x="383" s="1" nd="1"/>
        <i x="218" s="1" nd="1"/>
        <i x="68" s="1" nd="1"/>
        <i x="116" s="1" nd="1"/>
        <i x="323" s="1" nd="1"/>
        <i x="477" s="1" nd="1"/>
        <i x="485" s="1" nd="1"/>
        <i x="281" s="1" nd="1"/>
        <i x="175" s="1" nd="1"/>
        <i x="355" s="1" nd="1"/>
        <i x="560" s="1" nd="1"/>
        <i x="372" s="1" nd="1"/>
        <i x="65" s="1" nd="1"/>
        <i x="240" s="1" nd="1"/>
        <i x="243" s="1" nd="1"/>
        <i x="242" s="1" nd="1"/>
        <i x="421" s="1" nd="1"/>
        <i x="354" s="1" nd="1"/>
        <i x="548" s="1" nd="1"/>
        <i x="481" s="1" nd="1"/>
        <i x="180" s="1" nd="1"/>
        <i x="607" s="1" nd="1"/>
        <i x="49" s="1" nd="1"/>
        <i x="29" s="1" nd="1"/>
        <i x="89" s="1" nd="1"/>
        <i x="559" s="1" nd="1"/>
        <i x="177" s="1" nd="1"/>
        <i x="628" s="1" nd="1"/>
        <i x="15" s="1" nd="1"/>
        <i x="619" s="1" nd="1"/>
        <i x="271" s="1" nd="1"/>
        <i x="489" s="1" nd="1"/>
        <i x="221" s="1" nd="1"/>
        <i x="311" s="1" nd="1"/>
        <i x="280" s="1" nd="1"/>
        <i x="99" s="1" nd="1"/>
        <i x="133" s="1" nd="1"/>
        <i x="136" s="1" nd="1"/>
        <i x="183" s="1" nd="1"/>
        <i x="587" s="1" nd="1"/>
        <i x="114" s="1" nd="1"/>
        <i x="302" s="1" nd="1"/>
        <i x="304" s="1" nd="1"/>
        <i x="321" s="1" nd="1"/>
        <i x="88" s="1" nd="1"/>
        <i x="317" s="1" nd="1"/>
        <i x="6" s="1" nd="1"/>
        <i x="544" s="1" nd="1"/>
        <i x="179" s="1" nd="1"/>
        <i x="659" s="1" nd="1"/>
        <i x="597" s="1" nd="1"/>
        <i x="269" s="1" nd="1"/>
        <i x="439" s="1" nd="1"/>
        <i x="108" s="1" nd="1"/>
        <i x="388" s="1" nd="1"/>
        <i x="338" s="1" nd="1"/>
        <i x="604" s="1" nd="1"/>
        <i x="502" s="1" nd="1"/>
        <i x="497" s="1" nd="1"/>
        <i x="408" s="1" nd="1"/>
        <i x="400" s="1" nd="1"/>
        <i x="519" s="1" nd="1"/>
        <i x="399" s="1" nd="1"/>
        <i x="403" s="1" nd="1"/>
        <i x="538" s="1" nd="1"/>
        <i x="601" s="1" nd="1"/>
        <i x="174" s="1" nd="1"/>
        <i x="259" s="1" nd="1"/>
        <i x="339" s="1" nd="1"/>
        <i x="563" s="1" nd="1"/>
        <i x="313" s="1" nd="1"/>
        <i x="499" s="1" nd="1"/>
        <i x="31" s="1" nd="1"/>
        <i x="537" s="1" nd="1"/>
        <i x="306" s="1" nd="1"/>
        <i x="530" s="1" nd="1"/>
        <i x="603" s="1" nd="1"/>
        <i x="256" s="1" nd="1"/>
        <i x="330" s="1" nd="1"/>
        <i x="523" s="1" nd="1"/>
        <i x="273" s="1" nd="1"/>
        <i x="277" s="1" nd="1"/>
        <i x="342" s="1" nd="1"/>
        <i x="308" s="1" nd="1"/>
        <i x="168" s="1" nd="1"/>
        <i x="543" s="1" nd="1"/>
        <i x="356" s="1" nd="1"/>
        <i x="409" s="1" nd="1"/>
        <i x="30" s="1" nd="1"/>
        <i x="501" s="1" nd="1"/>
        <i x="328" s="1" nd="1"/>
        <i x="430" s="1" nd="1"/>
        <i x="629" s="1" nd="1"/>
        <i x="95" s="1" nd="1"/>
        <i x="305" s="1" nd="1"/>
        <i x="81" s="1" nd="1"/>
        <i x="598" s="1" nd="1"/>
        <i x="78" s="1" nd="1"/>
        <i x="441" s="1" nd="1"/>
        <i x="376" s="1" nd="1"/>
        <i x="234" s="1" nd="1"/>
        <i x="106" s="1" nd="1"/>
        <i x="52" s="1" nd="1"/>
        <i x="200" s="1" nd="1"/>
        <i x="627" s="1" nd="1"/>
        <i x="319" s="1" nd="1"/>
        <i x="622" s="1" nd="1"/>
        <i x="650" s="1" nd="1"/>
        <i x="655" s="1" nd="1"/>
        <i x="268" s="1" nd="1"/>
        <i x="457" s="1" nd="1"/>
        <i x="456" s="1" nd="1"/>
        <i x="540" s="1" nd="1"/>
        <i x="225" s="1" nd="1"/>
        <i x="573" s="1" nd="1"/>
        <i x="91" s="1" nd="1"/>
        <i x="664" s="1" nd="1"/>
        <i x="550" s="1" nd="1"/>
        <i x="4" s="1" nd="1"/>
        <i x="300" s="1" nd="1"/>
        <i x="469" s="1" nd="1"/>
        <i x="507" s="1" nd="1"/>
        <i x="58" s="1" nd="1"/>
        <i x="649" s="1" nd="1"/>
        <i x="284" s="1" nd="1"/>
        <i x="212" s="1" nd="1"/>
        <i x="101" s="1" nd="1"/>
        <i x="611" s="1" nd="1"/>
        <i x="602" s="1" nd="1"/>
        <i x="467" s="1" nd="1"/>
        <i x="432" s="1" nd="1"/>
        <i x="364" s="1" nd="1"/>
        <i x="163" s="1" nd="1"/>
        <i x="224" s="1" nd="1"/>
        <i x="87" s="1" nd="1"/>
        <i x="387" s="1" nd="1"/>
        <i x="368" s="1" nd="1"/>
        <i x="677" s="1" nd="1"/>
        <i x="202" s="1" nd="1"/>
        <i x="176" s="1" nd="1"/>
        <i x="679" s="1" nd="1"/>
        <i x="105" s="1" nd="1"/>
        <i x="232" s="1" nd="1"/>
        <i x="535" s="1" nd="1"/>
        <i x="42" s="1" nd="1"/>
        <i x="503" s="1" nd="1"/>
        <i x="190" s="1" nd="1"/>
        <i x="147" s="1" nd="1"/>
        <i x="263" s="1" nd="1"/>
        <i x="327" s="1" nd="1"/>
        <i x="614" s="1" nd="1"/>
        <i x="287" s="1" nd="1"/>
        <i x="346" s="1" nd="1"/>
        <i x="135" s="1" nd="1"/>
        <i x="475" s="1" nd="1"/>
        <i x="494" s="1" nd="1"/>
        <i x="230" s="1" nd="1"/>
        <i x="662" s="1" nd="1"/>
        <i x="331" s="1" nd="1"/>
        <i x="533" s="1" nd="1"/>
        <i x="104" s="1" nd="1"/>
        <i x="290" s="1" nd="1"/>
        <i x="37" s="1" nd="1"/>
        <i x="194" s="1" nd="1"/>
        <i x="648" s="1" nd="1"/>
        <i x="633" s="1" nd="1"/>
        <i x="46" s="1" nd="1"/>
        <i x="522" s="1" nd="1"/>
        <i x="245" s="1" nd="1"/>
        <i x="595" s="1" nd="1"/>
        <i x="678" s="1" nd="1"/>
        <i x="438" s="1" nd="1"/>
        <i x="539" s="1" nd="1"/>
        <i x="44" s="1" nd="1"/>
        <i x="525" s="1" nd="1"/>
        <i x="437" s="1" nd="1"/>
        <i x="315" s="1" nd="1"/>
        <i x="265" s="1" nd="1"/>
        <i x="63" s="1" nd="1"/>
        <i x="404" s="1" nd="1"/>
        <i x="613" s="1" nd="1"/>
        <i x="634" s="1" nd="1"/>
        <i x="1" s="1" nd="1"/>
        <i x="155" s="1" nd="1"/>
        <i x="59" s="1" nd="1"/>
        <i x="303" s="1" nd="1"/>
        <i x="143" s="1" nd="1"/>
        <i x="641" s="1" nd="1"/>
        <i x="593" s="1" nd="1"/>
        <i x="448" s="1" nd="1"/>
        <i x="541" s="1" nd="1"/>
        <i x="122" s="1" nd="1"/>
        <i x="608" s="1" nd="1"/>
        <i x="343" s="1" nd="1"/>
        <i x="414" s="1" nd="1"/>
        <i x="0" s="1" nd="1"/>
        <i x="267" s="1" nd="1"/>
        <i x="82" s="1" nd="1"/>
        <i x="266" s="1" nd="1"/>
        <i x="2" s="1" nd="1"/>
        <i x="22" s="1" nd="1"/>
        <i x="422" s="1" nd="1"/>
        <i x="151" s="1" nd="1"/>
        <i x="223" s="1" nd="1"/>
        <i x="618" s="1" nd="1"/>
        <i x="90" s="1" nd="1"/>
        <i x="496" s="1" nd="1"/>
        <i x="626" s="1" nd="1"/>
        <i x="452" s="1" nd="1"/>
        <i x="527" s="1" nd="1"/>
        <i x="671" s="1" nd="1"/>
        <i x="596" s="1" nd="1"/>
        <i x="307" s="1" nd="1"/>
        <i x="534" s="1" nd="1"/>
        <i x="23" s="1" nd="1"/>
        <i x="453" s="1" nd="1"/>
        <i x="125" s="1" nd="1"/>
        <i x="447" s="1" nd="1"/>
        <i x="333" s="1" nd="1"/>
        <i x="616" s="1" nd="1"/>
        <i x="425" s="1" nd="1"/>
        <i x="195" s="1" nd="1"/>
        <i x="492" s="1" nd="1"/>
        <i x="460" s="1" nd="1"/>
        <i x="561" s="1" nd="1"/>
        <i x="454" s="1" nd="1"/>
        <i x="373" s="1" nd="1"/>
        <i x="111" s="1" nd="1"/>
        <i x="500" s="1" nd="1"/>
        <i x="28" s="1" nd="1"/>
        <i x="97" s="1" nd="1"/>
        <i x="154" s="1" nd="1"/>
        <i x="38" s="1" nd="1"/>
        <i x="139" s="1" nd="1"/>
        <i x="325" s="1" nd="1"/>
        <i x="295" s="1" nd="1"/>
        <i x="83" s="1" nd="1"/>
        <i x="239" s="1" nd="1"/>
        <i x="226" s="1" nd="1"/>
        <i x="570" s="1" nd="1"/>
        <i x="632" s="1" nd="1"/>
        <i x="359" s="1" nd="1"/>
        <i x="61" s="1" nd="1"/>
        <i x="612" s="1" nd="1"/>
        <i x="241" s="1" nd="1"/>
        <i x="24" s="1" nd="1"/>
        <i x="84" s="1" nd="1"/>
        <i x="476" s="1" nd="1"/>
        <i x="511" s="1" nd="1"/>
        <i x="130" s="1" nd="1"/>
        <i x="575" s="1" nd="1"/>
        <i x="506" s="1" nd="1"/>
        <i x="378" s="1" nd="1"/>
        <i x="272" s="1" nd="1"/>
        <i x="144" s="1" nd="1"/>
        <i x="115" s="1" nd="1"/>
        <i x="35" s="1" nd="1"/>
        <i x="207" s="1" nd="1"/>
        <i x="362" s="1" nd="1"/>
        <i x="324" s="1" nd="1"/>
        <i x="159" s="1" nd="1"/>
        <i x="536" s="1" nd="1"/>
        <i x="186" s="1" nd="1"/>
        <i x="5" s="1" nd="1"/>
        <i x="67" s="1" nd="1"/>
        <i x="120" s="1" nd="1"/>
        <i x="491" s="1" nd="1"/>
        <i x="205" s="1" nd="1"/>
        <i x="60" s="1" nd="1"/>
        <i x="219" s="1" nd="1"/>
        <i x="433" s="1" nd="1"/>
        <i x="429" s="1" nd="1"/>
        <i x="553" s="1" nd="1"/>
        <i x="621" s="1" nd="1"/>
        <i x="18" s="1" nd="1"/>
        <i x="504" s="1" nd="1"/>
        <i x="53" s="1" nd="1"/>
        <i x="479" s="1" nd="1"/>
        <i x="198" s="1" nd="1"/>
        <i x="107" s="1" nd="1"/>
        <i x="80" s="1" nd="1"/>
        <i x="440" s="1" nd="1"/>
        <i x="50" s="1" nd="1"/>
        <i x="14" s="1" nd="1"/>
        <i x="555" s="1" nd="1"/>
        <i x="157" s="1" nd="1"/>
        <i x="463" s="1" nd="1"/>
        <i x="312" s="1" nd="1"/>
        <i x="661" s="1" nd="1"/>
        <i x="351" s="1" nd="1"/>
        <i x="599" s="1" nd="1"/>
        <i x="94" s="1" nd="1"/>
        <i x="298" s="1" nd="1"/>
        <i x="417" s="1" nd="1"/>
        <i x="62" s="1" nd="1"/>
        <i x="21" s="1" nd="1"/>
        <i x="25" s="1" nd="1"/>
        <i x="384" s="1" nd="1"/>
        <i x="445" s="1" nd="1"/>
        <i x="413" s="1" nd="1"/>
        <i x="547" s="1" nd="1"/>
        <i x="390" s="1" nd="1"/>
        <i x="571" s="1" nd="1"/>
        <i x="161" s="1" nd="1"/>
        <i x="396" s="1" nd="1"/>
        <i x="301" s="1" nd="1"/>
        <i x="517" s="1" nd="1"/>
        <i x="119" s="1" nd="1"/>
        <i x="565" s="1" nd="1"/>
        <i x="562" s="1" nd="1"/>
        <i x="75" s="1" nd="1"/>
        <i x="680" s="1" nd="1"/>
        <i x="652" s="1" nd="1"/>
        <i x="296" s="1" nd="1"/>
        <i x="57" s="1" nd="1"/>
        <i x="211" s="1" nd="1"/>
        <i x="528" s="1" nd="1"/>
        <i x="310" s="1" nd="1"/>
        <i x="217" s="1" nd="1"/>
        <i x="663" s="1" nd="1"/>
        <i x="455" s="1" nd="1"/>
        <i x="32" s="1" nd="1"/>
        <i x="121" s="1" nd="1"/>
        <i x="401" s="1" nd="1"/>
        <i x="129" s="1" nd="1"/>
        <i x="72" s="1" nd="1"/>
        <i x="255" s="1" nd="1"/>
        <i x="471" s="1" nd="1"/>
        <i x="189" s="1" nd="1"/>
        <i x="208" s="1" nd="1"/>
        <i x="45" s="1" nd="1"/>
        <i x="12" s="1" nd="1"/>
        <i x="609" s="1" nd="1"/>
        <i x="465" s="1" nd="1"/>
        <i x="545" s="1" nd="1"/>
        <i x="248" s="1" nd="1"/>
        <i x="620" s="1" nd="1"/>
        <i x="54" s="1" nd="1"/>
        <i x="532" s="1" nd="1"/>
        <i x="617" s="1" nd="1"/>
        <i x="352" s="1" nd="1"/>
        <i x="464" s="1" nd="1"/>
        <i x="600" s="1" nd="1"/>
        <i x="363" s="1" nd="1"/>
        <i x="85" s="1" nd="1"/>
        <i x="549" s="1" nd="1"/>
        <i x="668" s="1" nd="1"/>
        <i x="220" s="1" nd="1"/>
        <i x="152" s="1" nd="1"/>
        <i x="412" s="1" nd="1"/>
        <i x="178" s="1" nd="1"/>
        <i x="670" s="1" nd="1"/>
        <i x="164" s="1" nd="1"/>
        <i x="397" s="1" nd="1"/>
        <i x="55" s="1" nd="1"/>
        <i x="123" s="1" nd="1"/>
        <i x="215" s="1" nd="1"/>
        <i x="93" s="1" nd="1"/>
        <i x="289" s="1" nd="1"/>
        <i x="582" s="1" nd="1"/>
        <i x="69" s="1" nd="1"/>
        <i x="585" s="1" nd="1"/>
        <i x="237" s="1" nd="1"/>
        <i x="645" s="1" nd="1"/>
        <i x="487" s="1" nd="1"/>
        <i x="567" s="1" nd="1"/>
        <i x="334" s="1" nd="1"/>
        <i x="588" s="1" nd="1"/>
        <i x="580" s="1" nd="1"/>
        <i x="102" s="1" nd="1"/>
        <i x="482" s="1" nd="1"/>
        <i x="394" s="1" nd="1"/>
        <i x="554" s="1" nd="1"/>
        <i x="19" s="1" nd="1"/>
        <i x="510" s="1" nd="1"/>
        <i x="185" s="1" nd="1"/>
        <i x="631" s="1" nd="1"/>
        <i x="395" s="1" nd="1"/>
        <i x="495" s="1" nd="1"/>
        <i x="586" s="1" nd="1"/>
        <i x="340" s="1" nd="1"/>
        <i x="184" s="1" nd="1"/>
        <i x="385" s="1" nd="1"/>
        <i x="336" s="1" nd="1"/>
        <i x="126" s="1" nd="1"/>
        <i x="676" s="1" nd="1"/>
        <i x="279" s="1" nd="1"/>
        <i x="423" s="1" nd="1"/>
        <i x="398" s="1" nd="1"/>
        <i x="654" s="1" nd="1"/>
        <i x="653" s="1" nd="1"/>
        <i x="461" s="1" nd="1"/>
        <i x="100" s="1" nd="1"/>
        <i x="238" s="1" nd="1"/>
        <i x="450" s="1" nd="1"/>
        <i x="442" s="1" nd="1"/>
        <i x="669" s="1" nd="1"/>
        <i x="360" s="1" nd="1"/>
        <i x="379" s="1" nd="1"/>
        <i x="667" s="1" nd="1"/>
        <i x="353" s="1" nd="1"/>
        <i x="349" s="1" nd="1"/>
        <i x="160" s="1" nd="1"/>
        <i x="257" s="1" nd="1"/>
        <i x="322" s="1" nd="1"/>
        <i x="109" s="1" nd="1"/>
        <i x="347" s="1" nd="1"/>
        <i x="436" s="1" nd="1"/>
        <i x="40" s="1" nd="1"/>
        <i x="371" s="1" nd="1"/>
        <i x="128" s="1" nd="1"/>
        <i x="33" s="1" nd="1"/>
        <i x="369" s="1" nd="1"/>
        <i x="657" s="1" nd="1"/>
        <i x="252" s="1" nd="1"/>
        <i x="7" s="1" nd="1"/>
        <i x="581" s="1" nd="1"/>
        <i x="153" s="1" nd="1"/>
        <i x="594" s="1" nd="1"/>
        <i x="113" s="1" nd="1"/>
        <i x="262" s="1" nd="1"/>
        <i x="166" s="1" nd="1"/>
        <i x="542" s="1" nd="1"/>
        <i x="375" s="1" nd="1"/>
        <i x="591" s="1" nd="1"/>
        <i x="39" s="1" nd="1"/>
        <i x="468" s="1" nd="1"/>
        <i x="675" s="1" nd="1"/>
        <i x="92" s="1" nd="1"/>
        <i x="406" s="1" nd="1"/>
        <i x="583" s="1" nd="1"/>
        <i x="382" s="1" nd="1"/>
        <i x="169" s="1" nd="1"/>
        <i x="478" s="1" nd="1"/>
        <i x="79" s="1" nd="1"/>
        <i x="124" s="1" nd="1"/>
        <i x="86" s="1" nd="1"/>
        <i x="246" s="1" nd="1"/>
        <i x="516" s="1" nd="1"/>
        <i x="672" s="1" nd="1"/>
        <i x="288" s="1" nd="1"/>
        <i x="132" s="1" nd="1"/>
        <i x="286" s="1" nd="1"/>
        <i x="513" s="1" nd="1"/>
        <i x="518" s="1" nd="1"/>
        <i x="459" s="1" nd="1"/>
        <i x="508" s="1" nd="1"/>
        <i x="173" s="1" nd="1"/>
        <i x="551" s="1" nd="1"/>
        <i x="402" s="1" nd="1"/>
        <i x="529" s="1" nd="1"/>
        <i x="577" s="1" nd="1"/>
        <i x="254" s="1" nd="1"/>
        <i x="443" s="1" nd="1"/>
        <i x="275" s="1" nd="1"/>
        <i x="167" s="1" nd="1"/>
        <i x="381" s="1" nd="1"/>
        <i x="428" s="1" nd="1"/>
        <i x="490" s="1" nd="1"/>
        <i x="615" s="1" nd="1"/>
        <i x="41" s="1" nd="1"/>
        <i x="420" s="1" nd="1"/>
        <i x="606" s="1" nd="1"/>
        <i x="367" s="1" nd="1"/>
        <i x="216" s="1" nd="1"/>
        <i x="521" s="1" nd="1"/>
        <i x="329" s="1" nd="1"/>
        <i x="172" s="1" nd="1"/>
        <i x="558" s="1" nd="1"/>
        <i x="569" s="1" nd="1"/>
        <i x="74" s="1" nd="1"/>
        <i x="293" s="1" nd="1"/>
        <i x="658" s="1" nd="1"/>
        <i x="291" s="1" nd="1"/>
        <i x="98" s="1" nd="1"/>
        <i x="647" s="1" nd="1"/>
        <i x="222" s="1" nd="1"/>
        <i x="70" s="1" nd="1"/>
        <i x="309" s="1" nd="1"/>
        <i x="210" s="1" nd="1"/>
        <i x="483" s="1" nd="1"/>
        <i x="674" s="1" nd="1"/>
        <i x="227" s="1" nd="1"/>
        <i x="484" s="1" nd="1"/>
        <i x="365" s="1" nd="1"/>
        <i x="407" s="1" nd="1"/>
        <i x="337" s="1" nd="1"/>
        <i x="416" s="1" nd="1"/>
        <i x="380" s="1" nd="1"/>
        <i x="589" s="1" nd="1"/>
        <i x="251" s="1" nd="1"/>
        <i x="623" s="1" nd="1"/>
        <i x="196" s="1" nd="1"/>
        <i x="73" s="1" nd="1"/>
        <i x="370" s="1" nd="1"/>
        <i x="638" s="1" nd="1"/>
        <i x="260" s="1" nd="1"/>
        <i x="17" s="1" nd="1"/>
        <i x="3" s="1" nd="1"/>
        <i x="56" s="1" nd="1"/>
        <i x="350" s="1" nd="1"/>
        <i x="531" s="1" nd="1"/>
        <i x="568" s="1" nd="1"/>
        <i x="274" s="1" nd="1"/>
        <i x="374" s="1" nd="1"/>
        <i x="64" s="1" nd="1"/>
        <i x="630" s="1" nd="1"/>
        <i x="472" s="1" nd="1"/>
        <i x="231" s="1" nd="1"/>
        <i x="520" s="1" nd="1"/>
        <i x="8" s="1" nd="1"/>
        <i x="505" s="1" nd="1"/>
        <i x="419" s="1" nd="1"/>
        <i x="498" s="1" nd="1"/>
        <i x="149" s="1" nd="1"/>
        <i x="474" s="1" nd="1"/>
        <i x="546" s="1" nd="1"/>
        <i x="462" s="1" nd="1"/>
        <i x="137" s="1" nd="1"/>
        <i x="610" s="1" nd="1"/>
        <i x="358" s="1" nd="1"/>
        <i x="493" s="1" nd="1"/>
        <i x="13" s="1" nd="1"/>
        <i x="552" s="1" nd="1"/>
        <i x="656" s="1" nd="1"/>
        <i x="512" s="1" nd="1"/>
        <i x="605" s="1" nd="1"/>
        <i x="138" s="1" nd="1"/>
        <i x="77" s="1" nd="1"/>
        <i x="444" s="1" nd="1"/>
        <i x="556" s="1" nd="1"/>
        <i x="209" s="1" nd="1"/>
        <i x="651" s="1" nd="1"/>
        <i x="36" s="1" nd="1"/>
        <i x="427" s="1" nd="1"/>
        <i x="466" s="1" nd="1"/>
        <i x="509" s="1" nd="1"/>
        <i x="127" s="1" nd="1"/>
        <i x="451" s="1" nd="1"/>
        <i x="646" s="1" nd="1"/>
        <i x="76" s="1" nd="1"/>
        <i x="316" s="1" nd="1"/>
        <i x="253" s="1" nd="1"/>
        <i x="314" s="1" nd="1"/>
        <i x="203" s="1" nd="1"/>
        <i x="292" s="1" nd="1"/>
        <i x="182" s="1" nd="1"/>
        <i x="393" s="1" nd="1"/>
        <i x="249" s="1" nd="1"/>
        <i x="636" s="1" nd="1"/>
        <i x="117" s="1" nd="1"/>
        <i x="47" s="1" nd="1"/>
        <i x="392" s="1" nd="1"/>
        <i x="470" s="1" nd="1"/>
        <i x="665" s="1" nd="1"/>
        <i x="449" s="1" nd="1"/>
        <i x="112" s="1" nd="1"/>
        <i x="16" s="1" nd="1"/>
        <i x="51" s="1" nd="1"/>
        <i x="140" s="1" nd="1"/>
        <i x="150" s="1" nd="1"/>
        <i x="131" s="1" nd="1"/>
        <i x="228" s="1" nd="1"/>
        <i x="261" s="1" nd="1"/>
        <i x="27" s="1" nd="1"/>
        <i x="34" s="1" nd="1"/>
        <i x="405" s="1" nd="1"/>
        <i x="192" s="1" nd="1"/>
        <i x="426" s="1" nd="1"/>
        <i x="71" s="1" nd="1"/>
        <i x="165" s="1" nd="1"/>
        <i x="446" s="1" nd="1"/>
        <i x="488" s="1" nd="1"/>
        <i x="391" s="1" nd="1"/>
        <i x="142" s="1" nd="1"/>
        <i x="579" s="1" nd="1"/>
        <i x="134" s="1" nd="1"/>
        <i x="377" s="1" nd="1"/>
        <i x="348" s="1" nd="1"/>
        <i x="103" s="1" nd="1"/>
        <i x="187" s="1" nd="1"/>
        <i x="514" s="1" nd="1"/>
        <i x="285" s="1" nd="1"/>
        <i x="673" s="1" nd="1"/>
        <i x="66" s="1" nd="1"/>
        <i x="332" s="1" nd="1"/>
        <i x="162" s="1" nd="1"/>
        <i x="639" s="1" nd="1"/>
        <i x="644" s="1" nd="1"/>
        <i x="299" s="1" nd="1"/>
        <i x="361" s="1" nd="1"/>
        <i x="320" s="1" nd="1"/>
        <i x="566" s="1" nd="1"/>
        <i x="344" s="1" nd="1"/>
        <i x="156" s="1" nd="1"/>
        <i x="96" s="1" nd="1"/>
        <i x="666" s="1" nd="1"/>
        <i x="258" s="1" nd="1"/>
        <i x="434" s="1" nd="1"/>
        <i x="201" s="1" nd="1"/>
        <i x="590" s="1" nd="1"/>
        <i x="574" s="1" nd="1"/>
        <i x="424" s="1" nd="1"/>
        <i x="204" s="1" nd="1"/>
        <i x="170" s="1" nd="1"/>
        <i x="43" s="1" nd="1"/>
        <i x="578" s="1" nd="1"/>
        <i x="294" s="1" nd="1"/>
        <i x="193" s="1" nd="1"/>
        <i x="572" s="1" nd="1"/>
        <i x="625" s="1" nd="1"/>
        <i x="11" s="1" nd="1"/>
        <i x="418" s="1" nd="1"/>
        <i x="592" s="1" nd="1"/>
        <i x="191" s="1" nd="1"/>
        <i x="235" s="1" nd="1"/>
        <i x="480" s="1" nd="1"/>
        <i x="640" s="1" nd="1"/>
        <i x="171" s="1" nd="1"/>
        <i x="624" s="1" nd="1"/>
        <i x="326" s="1" nd="1"/>
        <i x="486" s="1" nd="1"/>
        <i x="247" s="1" nd="1"/>
        <i x="145" s="1" nd="1"/>
        <i x="282" s="1" nd="1"/>
        <i x="233" s="1" nd="1"/>
        <i x="213" s="1" nd="1"/>
        <i x="435" s="1" nd="1"/>
        <i x="20" s="1" nd="1"/>
        <i x="278" s="1" nd="1"/>
        <i x="199" s="1" nd="1"/>
        <i x="515" s="1" nd="1"/>
        <i x="276" s="1" nd="1"/>
        <i x="48" s="1" nd="1"/>
        <i x="250" s="1" nd="1"/>
        <i x="584" s="1" nd="1"/>
        <i x="341" s="1" nd="1"/>
        <i x="197" s="1" nd="1"/>
        <i x="637" s="1" nd="1"/>
        <i x="524" s="1" nd="1"/>
        <i x="318" s="1" nd="1"/>
        <i x="141" s="1" nd="1"/>
        <i x="158" s="1" nd="1"/>
        <i x="335" s="1" nd="1"/>
        <i x="366" s="1" nd="1"/>
        <i x="557" s="1" nd="1"/>
        <i x="642" s="1" nd="1"/>
        <i x="270" s="1" nd="1"/>
        <i x="526" s="1" nd="1"/>
        <i x="431" s="1" nd="1"/>
        <i x="181" s="1" nd="1"/>
        <i x="244" s="1" nd="1"/>
        <i x="188" s="1" nd="1"/>
        <i x="345" s="1" nd="1"/>
        <i x="264" s="1" nd="1"/>
        <i x="357" s="1" nd="1"/>
        <i x="411" s="1" nd="1"/>
        <i x="206" s="1" nd="1"/>
        <i x="229" s="1" nd="1"/>
        <i x="214" s="1" nd="1"/>
        <i x="410" s="1" nd="1"/>
        <i x="118" s="1" nd="1"/>
        <i x="386" s="1" nd="1"/>
        <i x="635" s="1" nd="1"/>
        <i x="643" s="1" nd="1"/>
        <i x="564" s="1" nd="1"/>
        <i x="146" s="1" nd="1"/>
        <i x="415" s="1" nd="1"/>
        <i x="10" s="1" nd="1"/>
        <i x="283" s="1" nd="1"/>
        <i x="110" s="1" nd="1"/>
        <i x="236" s="1" nd="1"/>
        <i x="297" s="1" nd="1"/>
        <i x="148" s="1" nd="1"/>
        <i x="389"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8D8134AE-C12E-4E9C-A51A-E9041FDD8C8F}" sourceName="Gender">
  <pivotTables>
    <pivotTable tabId="3" name="PivotTable2"/>
  </pivotTables>
  <data>
    <tabular pivotCacheId="96752212">
      <items count="3">
        <i x="0"/>
        <i x="1"/>
        <i x="2"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63368801-BA00-4381-8E01-0BA9C1493B98}" sourceName="Product_Category">
  <pivotTables>
    <pivotTable tabId="3" name="PivotTable2"/>
  </pivotTables>
  <data>
    <tabular pivotCacheId="96752212">
      <items count="7">
        <i x="0" s="1"/>
        <i x="1" s="1"/>
        <i x="2" s="1"/>
        <i x="3" s="1"/>
        <i x="4" s="1"/>
        <i x="5"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_ID 1" xr10:uid="{1447A5F7-8A2B-4CF0-9C29-DDBE44A9DB2C}" cache="Slicer_Customer_ID" caption="Customer_ID" startItem="51" rowHeight="234950"/>
  <slicer name="Gender 1" xr10:uid="{3DD8B515-63E7-422C-9EB9-C13811A9BC87}" cache="Slicer_Gender" caption="Gender" showCaption="0" rowHeight="234950"/>
  <slicer name="Product_Category 1" xr10:uid="{70C26268-BFD6-4D68-925B-E222E43DC64B}" cache="Slicer_Product_Category" caption="Product_Category" columnCount="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C0FB0AF-B0BC-4BE7-B1FD-7F0FE900F794}" name="Table1" displayName="Table1" ref="A1:T1001" totalsRowShown="0">
  <autoFilter ref="A1:T1001" xr:uid="{9C0FB0AF-B0BC-4BE7-B1FD-7F0FE900F794}"/>
  <sortState xmlns:xlrd2="http://schemas.microsoft.com/office/spreadsheetml/2017/richdata2" ref="A2:S1001">
    <sortCondition ref="B2:B1001"/>
  </sortState>
  <tableColumns count="20">
    <tableColumn id="1" xr3:uid="{12A4AB99-BCCE-481D-90E7-6996436818A8}" name="Customer_ID" dataDxfId="18"/>
    <tableColumn id="2" xr3:uid="{74FEF700-14ED-40D4-885D-45A385B8B406}" name="Gender" dataDxfId="17"/>
    <tableColumn id="3" xr3:uid="{D1D2549D-F915-40EA-9F0F-B2D7D768E4DC}" name="Age" dataDxfId="16"/>
    <tableColumn id="4" xr3:uid="{3ADF1D59-5790-4356-A764-7627687357D8}" name="Location" dataDxfId="15"/>
    <tableColumn id="5" xr3:uid="{9BF22503-48FB-48D0-AEEB-4C3F2AE842A4}" name="Marital_Status" dataDxfId="14"/>
    <tableColumn id="6" xr3:uid="{55BAD6A6-02E6-4A05-A123-BDED9DD6F07A}" name="Income_Level" dataDxfId="13"/>
    <tableColumn id="7" xr3:uid="{9127D86D-CB2A-4506-B02C-5082967BD212}" name="Product_Category"/>
    <tableColumn id="8" xr3:uid="{445CDE96-DC59-47CA-B7F4-CDE115DEC894}" name="Product_ID"/>
    <tableColumn id="9" xr3:uid="{DD95B34D-18C0-479C-B05F-EAE265CB1722}" name="Purchase_Amount" dataDxfId="12"/>
    <tableColumn id="10" xr3:uid="{02E9A445-7E77-4DFC-9E5D-D6C771E4B8F4}" name="Quantity" dataDxfId="11"/>
    <tableColumn id="11" xr3:uid="{F8005C57-0866-44C7-86F6-E32646751584}" name="Purchase_Date" dataDxfId="10"/>
    <tableColumn id="24" xr3:uid="{1912DCA8-BACF-4362-9DDD-DA1A58F920B9}" name="Year" dataDxfId="9">
      <calculatedColumnFormula>TEXT(Table1[[#This Row],[Purchase_Date]],"YYYY")</calculatedColumnFormula>
    </tableColumn>
    <tableColumn id="23" xr3:uid="{DF389EAF-BF8C-42EA-8F51-C283EC00CC06}" name="Month" dataDxfId="8">
      <calculatedColumnFormula>TEXT(Table1[[#This Row],[Purchase_Date]],"MMM")</calculatedColumnFormula>
    </tableColumn>
    <tableColumn id="25" xr3:uid="{50E811D3-3551-4FD3-ABC4-6544C8772B9E}" name="Weekday" dataDxfId="7">
      <calculatedColumnFormula>TEXT(Table1[[#This Row],[Purchase_Date]],"DD")</calculatedColumnFormula>
    </tableColumn>
    <tableColumn id="12" xr3:uid="{232626D5-A2C9-4C89-A81F-2CE013EDE243}" name="Payment_Method" dataDxfId="6"/>
    <tableColumn id="13" xr3:uid="{FCA6FDF9-475F-4813-9C6A-087CC2C73577}" name="Loyalty_Score" dataDxfId="5"/>
    <tableColumn id="14" xr3:uid="{01EE7429-2C11-4250-9E1F-B5788C9CB63D}" name="Discount_Applied" dataDxfId="4"/>
    <tableColumn id="15" xr3:uid="{9328C48A-9EBA-4E7C-ABC9-ECDBBA22AA6D}" name="Channel" dataDxfId="3"/>
    <tableColumn id="17" xr3:uid="{AA9E33E1-E46F-4F70-B8FA-F1882BD5DEF9}" name="Total_Spend" dataDxfId="2">
      <calculatedColumnFormula>Table1[[#This Row],[Purchase_Amount]]*Table1[[#This Row],[Quantity]]</calculatedColumnFormula>
    </tableColumn>
    <tableColumn id="19" xr3:uid="{383AFBB3-2869-4A96-A5EA-0F037FEF852C}" name="Age_Group" dataDxfId="1">
      <calculatedColumnFormula>IF(Table1[[#This Row],[Age]]&lt;25,"&lt;25",IF(Table1[[#This Row],[Age]]&lt;=35,"25-35",IF(Table1[[#This Row],[Age]]&lt;=50,"36-50","50+")))</calculatedColumnFormula>
    </tableColumn>
  </tableColumns>
  <tableStyleInfo name="TableStyleMedium11" showFirstColumn="0" showLastColumn="0" showRowStripes="1" showColumnStripes="0"/>
</table>
</file>

<file path=xl/theme/theme1.xml><?xml version="1.0" encoding="utf-8"?>
<a:theme xmlns:a="http://schemas.openxmlformats.org/drawingml/2006/main" name="Office Theme">
  <a:themeElements>
    <a:clrScheme name="Blue II">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EAC1C"/>
      </a:hlink>
      <a:folHlink>
        <a:srgbClr val="B26B0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2F7F6-84EB-4F62-B780-757994D30DB7}">
  <dimension ref="AC4:AC14"/>
  <sheetViews>
    <sheetView showGridLines="0" tabSelected="1" zoomScale="66" zoomScaleNormal="66" workbookViewId="0">
      <selection activeCell="Z28" sqref="Z28"/>
    </sheetView>
  </sheetViews>
  <sheetFormatPr defaultRowHeight="14.4" x14ac:dyDescent="0.3"/>
  <sheetData>
    <row r="4" spans="29:29" ht="27" customHeight="1" x14ac:dyDescent="0.3"/>
    <row r="14" spans="29:29" x14ac:dyDescent="0.3">
      <c r="AC14" t="s">
        <v>1266</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2E074A-357E-4A82-BB74-4C8BBA32D323}">
  <dimension ref="A1:T1001"/>
  <sheetViews>
    <sheetView topLeftCell="A16" workbookViewId="0">
      <selection activeCell="D2" sqref="D2"/>
    </sheetView>
  </sheetViews>
  <sheetFormatPr defaultRowHeight="14.4" x14ac:dyDescent="0.3"/>
  <cols>
    <col min="1" max="1" width="16.21875" customWidth="1"/>
    <col min="2" max="2" width="11.88671875" customWidth="1"/>
    <col min="3" max="3" width="11.6640625" customWidth="1"/>
    <col min="4" max="4" width="21" customWidth="1"/>
    <col min="5" max="5" width="18.5546875" customWidth="1"/>
    <col min="6" max="6" width="15.5546875" customWidth="1"/>
    <col min="7" max="7" width="18.109375" customWidth="1"/>
    <col min="8" max="8" width="14.6640625" customWidth="1"/>
    <col min="9" max="9" width="18.44140625" customWidth="1"/>
    <col min="10" max="10" width="10.21875" customWidth="1"/>
    <col min="11" max="16" width="13.44140625" customWidth="1"/>
    <col min="17" max="17" width="16.88671875" customWidth="1"/>
    <col min="18" max="18" width="18.21875" customWidth="1"/>
    <col min="19" max="19" width="14.6640625" customWidth="1"/>
    <col min="20" max="20" width="17.6640625" customWidth="1"/>
    <col min="21" max="21" width="11" customWidth="1"/>
    <col min="22" max="22" width="28.6640625" customWidth="1"/>
    <col min="23" max="23" width="21.5546875" customWidth="1"/>
  </cols>
  <sheetData>
    <row r="1" spans="1:20" x14ac:dyDescent="0.3">
      <c r="A1" s="2" t="s">
        <v>0</v>
      </c>
      <c r="B1" s="2" t="s">
        <v>1</v>
      </c>
      <c r="C1" s="3" t="s">
        <v>2</v>
      </c>
      <c r="D1" s="2" t="s">
        <v>3</v>
      </c>
      <c r="E1" s="2" t="s">
        <v>4</v>
      </c>
      <c r="F1" s="2" t="s">
        <v>5</v>
      </c>
      <c r="G1" t="s">
        <v>6</v>
      </c>
      <c r="H1" t="s">
        <v>7</v>
      </c>
      <c r="I1" s="4" t="s">
        <v>8</v>
      </c>
      <c r="J1" s="3" t="s">
        <v>9</v>
      </c>
      <c r="K1" s="1" t="s">
        <v>10</v>
      </c>
      <c r="L1" s="1" t="s">
        <v>1252</v>
      </c>
      <c r="M1" s="1" t="s">
        <v>1250</v>
      </c>
      <c r="N1" s="1" t="s">
        <v>1253</v>
      </c>
      <c r="O1" s="2" t="s">
        <v>11</v>
      </c>
      <c r="P1" s="3" t="s">
        <v>12</v>
      </c>
      <c r="Q1" s="2" t="s">
        <v>13</v>
      </c>
      <c r="R1" s="2" t="s">
        <v>14</v>
      </c>
      <c r="S1" s="4" t="s">
        <v>1246</v>
      </c>
      <c r="T1" t="s">
        <v>1254</v>
      </c>
    </row>
    <row r="2" spans="1:20" x14ac:dyDescent="0.3">
      <c r="A2" s="2" t="s">
        <v>518</v>
      </c>
      <c r="B2" s="2" t="s">
        <v>54</v>
      </c>
      <c r="C2" s="3">
        <v>18</v>
      </c>
      <c r="D2" s="2" t="s">
        <v>78</v>
      </c>
      <c r="E2" s="2" t="s">
        <v>33</v>
      </c>
      <c r="F2" s="2" t="s">
        <v>27</v>
      </c>
      <c r="G2" t="s">
        <v>55</v>
      </c>
      <c r="H2" t="s">
        <v>74</v>
      </c>
      <c r="I2" s="4">
        <v>161.61000000000001</v>
      </c>
      <c r="J2" s="3">
        <v>3</v>
      </c>
      <c r="K2" s="1">
        <v>45192</v>
      </c>
      <c r="L2" s="1" t="str">
        <f>TEXT(Table1[[#This Row],[Purchase_Date]],"YYYY")</f>
        <v>2023</v>
      </c>
      <c r="M2" s="1" t="str">
        <f>TEXT(Table1[[#This Row],[Purchase_Date]],"MMM")</f>
        <v>Sep</v>
      </c>
      <c r="N2" s="1" t="str">
        <f>TEXT(Table1[[#This Row],[Purchase_Date]],"DD")</f>
        <v>23</v>
      </c>
      <c r="O2" s="2" t="s">
        <v>41</v>
      </c>
      <c r="P2" s="3">
        <v>9</v>
      </c>
      <c r="Q2" s="2" t="s">
        <v>23</v>
      </c>
      <c r="R2" s="2" t="s">
        <v>47</v>
      </c>
      <c r="S2">
        <f>Table1[[#This Row],[Purchase_Amount]]*Table1[[#This Row],[Quantity]]</f>
        <v>484.83000000000004</v>
      </c>
      <c r="T2" t="str">
        <f>IF(Table1[[#This Row],[Age]]&lt;25,"&lt;25",IF(Table1[[#This Row],[Age]]&lt;=35,"25-35",IF(Table1[[#This Row],[Age]]&lt;=50,"36-50","50+")))</f>
        <v>&lt;25</v>
      </c>
    </row>
    <row r="3" spans="1:20" x14ac:dyDescent="0.3">
      <c r="A3" s="2" t="s">
        <v>494</v>
      </c>
      <c r="B3" s="2" t="s">
        <v>54</v>
      </c>
      <c r="C3" s="3">
        <v>18</v>
      </c>
      <c r="D3" s="2" t="s">
        <v>78</v>
      </c>
      <c r="E3" s="2" t="s">
        <v>33</v>
      </c>
      <c r="F3" s="2" t="s">
        <v>27</v>
      </c>
      <c r="G3" t="s">
        <v>55</v>
      </c>
      <c r="H3" t="s">
        <v>495</v>
      </c>
      <c r="I3" s="4">
        <v>717.97</v>
      </c>
      <c r="J3" s="3">
        <v>3</v>
      </c>
      <c r="K3" s="1">
        <v>45199</v>
      </c>
      <c r="L3" s="1" t="str">
        <f>TEXT(Table1[[#This Row],[Purchase_Date]],"YYYY")</f>
        <v>2023</v>
      </c>
      <c r="M3" s="1" t="str">
        <f>TEXT(Table1[[#This Row],[Purchase_Date]],"MMM")</f>
        <v>Sep</v>
      </c>
      <c r="N3" s="1" t="str">
        <f>TEXT(Table1[[#This Row],[Purchase_Date]],"DD")</f>
        <v>30</v>
      </c>
      <c r="O3" s="2" t="s">
        <v>22</v>
      </c>
      <c r="P3" s="3">
        <v>3</v>
      </c>
      <c r="Q3" s="2" t="s">
        <v>46</v>
      </c>
      <c r="R3" s="2" t="s">
        <v>47</v>
      </c>
      <c r="S3">
        <f>Table1[[#This Row],[Purchase_Amount]]*Table1[[#This Row],[Quantity]]</f>
        <v>2153.91</v>
      </c>
      <c r="T3" t="str">
        <f>IF(Table1[[#This Row],[Age]]&lt;25,"&lt;25",IF(Table1[[#This Row],[Age]]&lt;=35,"25-35",IF(Table1[[#This Row],[Age]]&lt;=50,"36-50","50+")))</f>
        <v>&lt;25</v>
      </c>
    </row>
    <row r="4" spans="1:20" x14ac:dyDescent="0.3">
      <c r="A4" s="2" t="s">
        <v>525</v>
      </c>
      <c r="B4" s="2" t="s">
        <v>54</v>
      </c>
      <c r="C4" s="3">
        <v>19</v>
      </c>
      <c r="D4" s="2" t="s">
        <v>78</v>
      </c>
      <c r="E4" s="2" t="s">
        <v>33</v>
      </c>
      <c r="F4" s="2" t="s">
        <v>44</v>
      </c>
      <c r="G4" t="s">
        <v>55</v>
      </c>
      <c r="H4" t="s">
        <v>171</v>
      </c>
      <c r="I4" s="4">
        <v>975.66</v>
      </c>
      <c r="J4" s="3">
        <v>5</v>
      </c>
      <c r="K4" s="1">
        <v>45343</v>
      </c>
      <c r="L4" s="1" t="str">
        <f>TEXT(Table1[[#This Row],[Purchase_Date]],"YYYY")</f>
        <v>2024</v>
      </c>
      <c r="M4" s="1" t="str">
        <f>TEXT(Table1[[#This Row],[Purchase_Date]],"MMM")</f>
        <v>Feb</v>
      </c>
      <c r="N4" s="1" t="str">
        <f>TEXT(Table1[[#This Row],[Purchase_Date]],"DD")</f>
        <v>21</v>
      </c>
      <c r="O4" s="2" t="s">
        <v>22</v>
      </c>
      <c r="P4" s="3">
        <v>10</v>
      </c>
      <c r="Q4" s="2" t="s">
        <v>23</v>
      </c>
      <c r="R4" s="2" t="s">
        <v>24</v>
      </c>
      <c r="S4">
        <f>Table1[[#This Row],[Purchase_Amount]]*Table1[[#This Row],[Quantity]]</f>
        <v>4878.3</v>
      </c>
      <c r="T4" t="str">
        <f>IF(Table1[[#This Row],[Age]]&lt;25,"&lt;25",IF(Table1[[#This Row],[Age]]&lt;=35,"25-35",IF(Table1[[#This Row],[Age]]&lt;=50,"36-50","50+")))</f>
        <v>&lt;25</v>
      </c>
    </row>
    <row r="5" spans="1:20" x14ac:dyDescent="0.3">
      <c r="A5" s="2" t="s">
        <v>982</v>
      </c>
      <c r="B5" s="2" t="s">
        <v>54</v>
      </c>
      <c r="C5" s="3">
        <v>22</v>
      </c>
      <c r="D5" s="2" t="s">
        <v>60</v>
      </c>
      <c r="E5" s="2" t="s">
        <v>33</v>
      </c>
      <c r="F5" s="2" t="s">
        <v>27</v>
      </c>
      <c r="G5" t="s">
        <v>55</v>
      </c>
      <c r="H5" t="s">
        <v>291</v>
      </c>
      <c r="I5" s="4">
        <v>739.11</v>
      </c>
      <c r="J5" s="3">
        <v>2</v>
      </c>
      <c r="K5" s="1">
        <v>45398</v>
      </c>
      <c r="L5" s="1" t="str">
        <f>TEXT(Table1[[#This Row],[Purchase_Date]],"YYYY")</f>
        <v>2024</v>
      </c>
      <c r="M5" s="1" t="str">
        <f>TEXT(Table1[[#This Row],[Purchase_Date]],"MMM")</f>
        <v>Apr</v>
      </c>
      <c r="N5" s="1" t="str">
        <f>TEXT(Table1[[#This Row],[Purchase_Date]],"DD")</f>
        <v>16</v>
      </c>
      <c r="O5" s="2" t="s">
        <v>30</v>
      </c>
      <c r="P5" s="3">
        <v>5</v>
      </c>
      <c r="Q5" s="2" t="s">
        <v>23</v>
      </c>
      <c r="R5" s="2" t="s">
        <v>24</v>
      </c>
      <c r="S5">
        <f>Table1[[#This Row],[Purchase_Amount]]*Table1[[#This Row],[Quantity]]</f>
        <v>1478.22</v>
      </c>
      <c r="T5" t="str">
        <f>IF(Table1[[#This Row],[Age]]&lt;25,"&lt;25",IF(Table1[[#This Row],[Age]]&lt;=35,"25-35",IF(Table1[[#This Row],[Age]]&lt;=50,"36-50","50+")))</f>
        <v>&lt;25</v>
      </c>
    </row>
    <row r="6" spans="1:20" x14ac:dyDescent="0.3">
      <c r="A6" s="2" t="s">
        <v>372</v>
      </c>
      <c r="B6" s="2" t="s">
        <v>54</v>
      </c>
      <c r="C6" s="3">
        <v>25</v>
      </c>
      <c r="D6" s="2" t="s">
        <v>64</v>
      </c>
      <c r="E6" s="2" t="s">
        <v>33</v>
      </c>
      <c r="F6" s="2" t="s">
        <v>19</v>
      </c>
      <c r="G6" t="s">
        <v>55</v>
      </c>
      <c r="H6" t="s">
        <v>97</v>
      </c>
      <c r="I6" s="4">
        <v>157.02000000000001</v>
      </c>
      <c r="J6" s="3">
        <v>2</v>
      </c>
      <c r="K6" s="1">
        <v>45062</v>
      </c>
      <c r="L6" s="1" t="str">
        <f>TEXT(Table1[[#This Row],[Purchase_Date]],"YYYY")</f>
        <v>2023</v>
      </c>
      <c r="M6" s="1" t="str">
        <f>TEXT(Table1[[#This Row],[Purchase_Date]],"MMM")</f>
        <v>May</v>
      </c>
      <c r="N6" s="1" t="str">
        <f>TEXT(Table1[[#This Row],[Purchase_Date]],"DD")</f>
        <v>16</v>
      </c>
      <c r="O6" s="2" t="s">
        <v>41</v>
      </c>
      <c r="P6" s="3">
        <v>9</v>
      </c>
      <c r="Q6" s="2" t="s">
        <v>23</v>
      </c>
      <c r="R6" s="2" t="s">
        <v>24</v>
      </c>
      <c r="S6">
        <f>Table1[[#This Row],[Purchase_Amount]]*Table1[[#This Row],[Quantity]]</f>
        <v>314.04000000000002</v>
      </c>
      <c r="T6" t="str">
        <f>IF(Table1[[#This Row],[Age]]&lt;25,"&lt;25",IF(Table1[[#This Row],[Age]]&lt;=35,"25-35",IF(Table1[[#This Row],[Age]]&lt;=50,"36-50","50+")))</f>
        <v>25-35</v>
      </c>
    </row>
    <row r="7" spans="1:20" x14ac:dyDescent="0.3">
      <c r="A7" s="2" t="s">
        <v>630</v>
      </c>
      <c r="B7" s="2" t="s">
        <v>54</v>
      </c>
      <c r="C7" s="3">
        <v>27</v>
      </c>
      <c r="D7" s="2" t="s">
        <v>60</v>
      </c>
      <c r="E7" s="2" t="s">
        <v>18</v>
      </c>
      <c r="F7" s="2" t="s">
        <v>27</v>
      </c>
      <c r="G7" t="s">
        <v>55</v>
      </c>
      <c r="H7" t="s">
        <v>631</v>
      </c>
      <c r="I7" s="4">
        <v>203.01</v>
      </c>
      <c r="J7" s="3">
        <v>1</v>
      </c>
      <c r="K7" s="1">
        <v>45389</v>
      </c>
      <c r="L7" s="1" t="str">
        <f>TEXT(Table1[[#This Row],[Purchase_Date]],"YYYY")</f>
        <v>2024</v>
      </c>
      <c r="M7" s="1" t="str">
        <f>TEXT(Table1[[#This Row],[Purchase_Date]],"MMM")</f>
        <v>Apr</v>
      </c>
      <c r="N7" s="1" t="str">
        <f>TEXT(Table1[[#This Row],[Purchase_Date]],"DD")</f>
        <v>07</v>
      </c>
      <c r="O7" s="2" t="s">
        <v>41</v>
      </c>
      <c r="P7" s="3">
        <v>8</v>
      </c>
      <c r="Q7" s="2" t="s">
        <v>46</v>
      </c>
      <c r="R7" s="2" t="s">
        <v>47</v>
      </c>
      <c r="S7">
        <f>Table1[[#This Row],[Purchase_Amount]]*Table1[[#This Row],[Quantity]]</f>
        <v>203.01</v>
      </c>
      <c r="T7" t="str">
        <f>IF(Table1[[#This Row],[Age]]&lt;25,"&lt;25",IF(Table1[[#This Row],[Age]]&lt;=35,"25-35",IF(Table1[[#This Row],[Age]]&lt;=50,"36-50","50+")))</f>
        <v>25-35</v>
      </c>
    </row>
    <row r="8" spans="1:20" x14ac:dyDescent="0.3">
      <c r="A8" s="2" t="s">
        <v>188</v>
      </c>
      <c r="B8" s="2" t="s">
        <v>54</v>
      </c>
      <c r="C8" s="3">
        <v>28</v>
      </c>
      <c r="D8" s="2" t="s">
        <v>60</v>
      </c>
      <c r="E8" s="2" t="s">
        <v>49</v>
      </c>
      <c r="F8" s="2" t="s">
        <v>27</v>
      </c>
      <c r="G8" t="s">
        <v>55</v>
      </c>
      <c r="H8" t="s">
        <v>189</v>
      </c>
      <c r="I8" s="4">
        <v>449.74</v>
      </c>
      <c r="J8" s="3">
        <v>2</v>
      </c>
      <c r="K8" s="1">
        <v>45190</v>
      </c>
      <c r="L8" s="1" t="str">
        <f>TEXT(Table1[[#This Row],[Purchase_Date]],"YYYY")</f>
        <v>2023</v>
      </c>
      <c r="M8" s="1" t="str">
        <f>TEXT(Table1[[#This Row],[Purchase_Date]],"MMM")</f>
        <v>Sep</v>
      </c>
      <c r="N8" s="1" t="str">
        <f>TEXT(Table1[[#This Row],[Purchase_Date]],"DD")</f>
        <v>21</v>
      </c>
      <c r="O8" s="2" t="s">
        <v>36</v>
      </c>
      <c r="P8" s="3">
        <v>8</v>
      </c>
      <c r="Q8" s="2" t="s">
        <v>23</v>
      </c>
      <c r="R8" s="2" t="s">
        <v>24</v>
      </c>
      <c r="S8">
        <f>Table1[[#This Row],[Purchase_Amount]]*Table1[[#This Row],[Quantity]]</f>
        <v>899.48</v>
      </c>
      <c r="T8" t="str">
        <f>IF(Table1[[#This Row],[Age]]&lt;25,"&lt;25",IF(Table1[[#This Row],[Age]]&lt;=35,"25-35",IF(Table1[[#This Row],[Age]]&lt;=50,"36-50","50+")))</f>
        <v>25-35</v>
      </c>
    </row>
    <row r="9" spans="1:20" x14ac:dyDescent="0.3">
      <c r="A9" s="2" t="s">
        <v>865</v>
      </c>
      <c r="B9" s="2" t="s">
        <v>54</v>
      </c>
      <c r="C9" s="3">
        <v>30</v>
      </c>
      <c r="D9" s="2" t="s">
        <v>78</v>
      </c>
      <c r="E9" s="2" t="s">
        <v>49</v>
      </c>
      <c r="F9" s="2" t="s">
        <v>27</v>
      </c>
      <c r="G9" t="s">
        <v>55</v>
      </c>
      <c r="H9" t="s">
        <v>465</v>
      </c>
      <c r="I9" s="4">
        <v>36.840000000000003</v>
      </c>
      <c r="J9" s="3">
        <v>4</v>
      </c>
      <c r="K9" s="1">
        <v>45570</v>
      </c>
      <c r="L9" s="1" t="str">
        <f>TEXT(Table1[[#This Row],[Purchase_Date]],"YYYY")</f>
        <v>2024</v>
      </c>
      <c r="M9" s="1" t="str">
        <f>TEXT(Table1[[#This Row],[Purchase_Date]],"MMM")</f>
        <v>Oct</v>
      </c>
      <c r="N9" s="1" t="str">
        <f>TEXT(Table1[[#This Row],[Purchase_Date]],"DD")</f>
        <v>05</v>
      </c>
      <c r="O9" s="2" t="s">
        <v>30</v>
      </c>
      <c r="P9" s="3">
        <v>10</v>
      </c>
      <c r="Q9" s="2" t="s">
        <v>23</v>
      </c>
      <c r="R9" s="2" t="s">
        <v>24</v>
      </c>
      <c r="S9">
        <f>Table1[[#This Row],[Purchase_Amount]]*Table1[[#This Row],[Quantity]]</f>
        <v>147.36000000000001</v>
      </c>
      <c r="T9" t="str">
        <f>IF(Table1[[#This Row],[Age]]&lt;25,"&lt;25",IF(Table1[[#This Row],[Age]]&lt;=35,"25-35",IF(Table1[[#This Row],[Age]]&lt;=50,"36-50","50+")))</f>
        <v>25-35</v>
      </c>
    </row>
    <row r="10" spans="1:20" x14ac:dyDescent="0.3">
      <c r="A10" s="2" t="s">
        <v>999</v>
      </c>
      <c r="B10" s="2" t="s">
        <v>54</v>
      </c>
      <c r="C10" s="3">
        <v>30</v>
      </c>
      <c r="D10" s="2" t="s">
        <v>78</v>
      </c>
      <c r="E10" s="2" t="s">
        <v>49</v>
      </c>
      <c r="F10" s="2" t="s">
        <v>27</v>
      </c>
      <c r="G10" t="s">
        <v>55</v>
      </c>
      <c r="H10" t="s">
        <v>364</v>
      </c>
      <c r="I10" s="4">
        <v>718.82</v>
      </c>
      <c r="J10" s="3">
        <v>3</v>
      </c>
      <c r="K10" s="1">
        <v>45288</v>
      </c>
      <c r="L10" s="1" t="str">
        <f>TEXT(Table1[[#This Row],[Purchase_Date]],"YYYY")</f>
        <v>2023</v>
      </c>
      <c r="M10" s="1" t="str">
        <f>TEXT(Table1[[#This Row],[Purchase_Date]],"MMM")</f>
        <v>Dec</v>
      </c>
      <c r="N10" s="1" t="str">
        <f>TEXT(Table1[[#This Row],[Purchase_Date]],"DD")</f>
        <v>28</v>
      </c>
      <c r="O10" s="2" t="s">
        <v>22</v>
      </c>
      <c r="P10" s="3">
        <v>2</v>
      </c>
      <c r="Q10" s="2" t="s">
        <v>23</v>
      </c>
      <c r="R10" s="2" t="s">
        <v>47</v>
      </c>
      <c r="S10">
        <f>Table1[[#This Row],[Purchase_Amount]]*Table1[[#This Row],[Quantity]]</f>
        <v>2156.46</v>
      </c>
      <c r="T10" t="str">
        <f>IF(Table1[[#This Row],[Age]]&lt;25,"&lt;25",IF(Table1[[#This Row],[Age]]&lt;=35,"25-35",IF(Table1[[#This Row],[Age]]&lt;=50,"36-50","50+")))</f>
        <v>25-35</v>
      </c>
    </row>
    <row r="11" spans="1:20" x14ac:dyDescent="0.3">
      <c r="A11" s="2" t="s">
        <v>73</v>
      </c>
      <c r="B11" s="2" t="s">
        <v>54</v>
      </c>
      <c r="C11" s="3">
        <v>32</v>
      </c>
      <c r="D11" s="2" t="s">
        <v>32</v>
      </c>
      <c r="E11" s="2" t="s">
        <v>49</v>
      </c>
      <c r="F11" s="2" t="s">
        <v>19</v>
      </c>
      <c r="G11" t="s">
        <v>55</v>
      </c>
      <c r="H11" t="s">
        <v>74</v>
      </c>
      <c r="I11" s="4">
        <v>147.86000000000001</v>
      </c>
      <c r="J11" s="3">
        <v>5</v>
      </c>
      <c r="K11" s="1">
        <v>45478</v>
      </c>
      <c r="L11" s="1" t="str">
        <f>TEXT(Table1[[#This Row],[Purchase_Date]],"YYYY")</f>
        <v>2024</v>
      </c>
      <c r="M11" s="1" t="str">
        <f>TEXT(Table1[[#This Row],[Purchase_Date]],"MMM")</f>
        <v>Jul</v>
      </c>
      <c r="N11" s="1" t="str">
        <f>TEXT(Table1[[#This Row],[Purchase_Date]],"DD")</f>
        <v>05</v>
      </c>
      <c r="O11" s="2" t="s">
        <v>30</v>
      </c>
      <c r="P11" s="3">
        <v>6</v>
      </c>
      <c r="Q11" s="2" t="s">
        <v>23</v>
      </c>
      <c r="R11" s="2" t="s">
        <v>24</v>
      </c>
      <c r="S11">
        <f>Table1[[#This Row],[Purchase_Amount]]*Table1[[#This Row],[Quantity]]</f>
        <v>739.30000000000007</v>
      </c>
      <c r="T11" t="str">
        <f>IF(Table1[[#This Row],[Age]]&lt;25,"&lt;25",IF(Table1[[#This Row],[Age]]&lt;=35,"25-35",IF(Table1[[#This Row],[Age]]&lt;=50,"36-50","50+")))</f>
        <v>25-35</v>
      </c>
    </row>
    <row r="12" spans="1:20" x14ac:dyDescent="0.3">
      <c r="A12" s="2" t="s">
        <v>1235</v>
      </c>
      <c r="B12" s="2" t="s">
        <v>54</v>
      </c>
      <c r="C12" s="3">
        <v>34</v>
      </c>
      <c r="D12" s="2" t="s">
        <v>38</v>
      </c>
      <c r="E12" s="2" t="s">
        <v>18</v>
      </c>
      <c r="F12" s="2" t="s">
        <v>27</v>
      </c>
      <c r="G12" t="s">
        <v>55</v>
      </c>
      <c r="H12" t="s">
        <v>358</v>
      </c>
      <c r="I12" s="4">
        <v>114.59</v>
      </c>
      <c r="J12" s="3">
        <v>4</v>
      </c>
      <c r="K12" s="1">
        <v>45419</v>
      </c>
      <c r="L12" s="1" t="str">
        <f>TEXT(Table1[[#This Row],[Purchase_Date]],"YYYY")</f>
        <v>2024</v>
      </c>
      <c r="M12" s="1" t="str">
        <f>TEXT(Table1[[#This Row],[Purchase_Date]],"MMM")</f>
        <v>May</v>
      </c>
      <c r="N12" s="1" t="str">
        <f>TEXT(Table1[[#This Row],[Purchase_Date]],"DD")</f>
        <v>07</v>
      </c>
      <c r="O12" s="2" t="s">
        <v>30</v>
      </c>
      <c r="P12" s="3">
        <v>6</v>
      </c>
      <c r="Q12" s="2" t="s">
        <v>46</v>
      </c>
      <c r="R12" s="2" t="s">
        <v>47</v>
      </c>
      <c r="S12">
        <f>Table1[[#This Row],[Purchase_Amount]]*Table1[[#This Row],[Quantity]]</f>
        <v>458.36</v>
      </c>
      <c r="T12" t="str">
        <f>IF(Table1[[#This Row],[Age]]&lt;25,"&lt;25",IF(Table1[[#This Row],[Age]]&lt;=35,"25-35",IF(Table1[[#This Row],[Age]]&lt;=50,"36-50","50+")))</f>
        <v>25-35</v>
      </c>
    </row>
    <row r="13" spans="1:20" x14ac:dyDescent="0.3">
      <c r="A13" s="2" t="s">
        <v>1148</v>
      </c>
      <c r="B13" s="2" t="s">
        <v>54</v>
      </c>
      <c r="C13" s="3">
        <v>34</v>
      </c>
      <c r="D13" s="2" t="s">
        <v>32</v>
      </c>
      <c r="E13" s="2" t="s">
        <v>18</v>
      </c>
      <c r="F13" s="2" t="s">
        <v>44</v>
      </c>
      <c r="G13" t="s">
        <v>55</v>
      </c>
      <c r="H13" t="s">
        <v>141</v>
      </c>
      <c r="I13" s="4">
        <v>650.87</v>
      </c>
      <c r="J13" s="3">
        <v>3</v>
      </c>
      <c r="K13" s="1">
        <v>44928</v>
      </c>
      <c r="L13" s="1" t="str">
        <f>TEXT(Table1[[#This Row],[Purchase_Date]],"YYYY")</f>
        <v>2023</v>
      </c>
      <c r="M13" s="1" t="str">
        <f>TEXT(Table1[[#This Row],[Purchase_Date]],"MMM")</f>
        <v>Jan</v>
      </c>
      <c r="N13" s="1" t="str">
        <f>TEXT(Table1[[#This Row],[Purchase_Date]],"DD")</f>
        <v>02</v>
      </c>
      <c r="O13" s="2" t="s">
        <v>22</v>
      </c>
      <c r="P13" s="3">
        <v>2</v>
      </c>
      <c r="Q13" s="2" t="s">
        <v>23</v>
      </c>
      <c r="R13" s="2" t="s">
        <v>24</v>
      </c>
      <c r="S13">
        <f>Table1[[#This Row],[Purchase_Amount]]*Table1[[#This Row],[Quantity]]</f>
        <v>1952.6100000000001</v>
      </c>
      <c r="T13" t="str">
        <f>IF(Table1[[#This Row],[Age]]&lt;25,"&lt;25",IF(Table1[[#This Row],[Age]]&lt;=35,"25-35",IF(Table1[[#This Row],[Age]]&lt;=50,"36-50","50+")))</f>
        <v>25-35</v>
      </c>
    </row>
    <row r="14" spans="1:20" x14ac:dyDescent="0.3">
      <c r="A14" s="2" t="s">
        <v>731</v>
      </c>
      <c r="B14" s="2" t="s">
        <v>54</v>
      </c>
      <c r="C14" s="3">
        <v>34</v>
      </c>
      <c r="D14" s="2" t="s">
        <v>38</v>
      </c>
      <c r="E14" s="2" t="s">
        <v>49</v>
      </c>
      <c r="F14" s="2" t="s">
        <v>19</v>
      </c>
      <c r="G14" t="s">
        <v>55</v>
      </c>
      <c r="H14" t="s">
        <v>650</v>
      </c>
      <c r="I14" s="4">
        <v>818.49</v>
      </c>
      <c r="J14" s="3">
        <v>5</v>
      </c>
      <c r="K14" s="1">
        <v>45475</v>
      </c>
      <c r="L14" s="1" t="str">
        <f>TEXT(Table1[[#This Row],[Purchase_Date]],"YYYY")</f>
        <v>2024</v>
      </c>
      <c r="M14" s="1" t="str">
        <f>TEXT(Table1[[#This Row],[Purchase_Date]],"MMM")</f>
        <v>Jul</v>
      </c>
      <c r="N14" s="1" t="str">
        <f>TEXT(Table1[[#This Row],[Purchase_Date]],"DD")</f>
        <v>02</v>
      </c>
      <c r="O14" s="2" t="s">
        <v>36</v>
      </c>
      <c r="P14" s="3">
        <v>7</v>
      </c>
      <c r="Q14" s="2" t="s">
        <v>23</v>
      </c>
      <c r="R14" s="2" t="s">
        <v>24</v>
      </c>
      <c r="S14">
        <f>Table1[[#This Row],[Purchase_Amount]]*Table1[[#This Row],[Quantity]]</f>
        <v>4092.45</v>
      </c>
      <c r="T14" t="str">
        <f>IF(Table1[[#This Row],[Age]]&lt;25,"&lt;25",IF(Table1[[#This Row],[Age]]&lt;=35,"25-35",IF(Table1[[#This Row],[Age]]&lt;=50,"36-50","50+")))</f>
        <v>25-35</v>
      </c>
    </row>
    <row r="15" spans="1:20" x14ac:dyDescent="0.3">
      <c r="A15" s="2" t="s">
        <v>1017</v>
      </c>
      <c r="B15" s="2" t="s">
        <v>54</v>
      </c>
      <c r="C15" s="3">
        <v>36</v>
      </c>
      <c r="D15" s="2" t="s">
        <v>109</v>
      </c>
      <c r="E15" s="2" t="s">
        <v>49</v>
      </c>
      <c r="F15" s="2" t="s">
        <v>44</v>
      </c>
      <c r="G15" t="s">
        <v>55</v>
      </c>
      <c r="H15" t="s">
        <v>187</v>
      </c>
      <c r="I15" s="4">
        <v>624.03</v>
      </c>
      <c r="J15" s="3">
        <v>2</v>
      </c>
      <c r="K15" s="1">
        <v>45552</v>
      </c>
      <c r="L15" s="1" t="str">
        <f>TEXT(Table1[[#This Row],[Purchase_Date]],"YYYY")</f>
        <v>2024</v>
      </c>
      <c r="M15" s="1" t="str">
        <f>TEXT(Table1[[#This Row],[Purchase_Date]],"MMM")</f>
        <v>Sep</v>
      </c>
      <c r="N15" s="1" t="str">
        <f>TEXT(Table1[[#This Row],[Purchase_Date]],"DD")</f>
        <v>17</v>
      </c>
      <c r="O15" s="2" t="s">
        <v>30</v>
      </c>
      <c r="P15" s="3">
        <v>8</v>
      </c>
      <c r="Q15" s="2" t="s">
        <v>23</v>
      </c>
      <c r="R15" s="2" t="s">
        <v>24</v>
      </c>
      <c r="S15">
        <f>Table1[[#This Row],[Purchase_Amount]]*Table1[[#This Row],[Quantity]]</f>
        <v>1248.06</v>
      </c>
      <c r="T15" t="str">
        <f>IF(Table1[[#This Row],[Age]]&lt;25,"&lt;25",IF(Table1[[#This Row],[Age]]&lt;=35,"25-35",IF(Table1[[#This Row],[Age]]&lt;=50,"36-50","50+")))</f>
        <v>36-50</v>
      </c>
    </row>
    <row r="16" spans="1:20" x14ac:dyDescent="0.3">
      <c r="A16" s="2" t="s">
        <v>662</v>
      </c>
      <c r="B16" s="2" t="s">
        <v>54</v>
      </c>
      <c r="C16" s="3">
        <v>38</v>
      </c>
      <c r="D16" s="2" t="s">
        <v>43</v>
      </c>
      <c r="E16" s="2" t="s">
        <v>18</v>
      </c>
      <c r="F16" s="2" t="s">
        <v>27</v>
      </c>
      <c r="G16" t="s">
        <v>55</v>
      </c>
      <c r="H16" t="s">
        <v>97</v>
      </c>
      <c r="I16" s="4">
        <v>292.35000000000002</v>
      </c>
      <c r="J16" s="3">
        <v>3</v>
      </c>
      <c r="K16" s="1">
        <v>45367</v>
      </c>
      <c r="L16" s="1" t="str">
        <f>TEXT(Table1[[#This Row],[Purchase_Date]],"YYYY")</f>
        <v>2024</v>
      </c>
      <c r="M16" s="1" t="str">
        <f>TEXT(Table1[[#This Row],[Purchase_Date]],"MMM")</f>
        <v>Mar</v>
      </c>
      <c r="N16" s="1" t="str">
        <f>TEXT(Table1[[#This Row],[Purchase_Date]],"DD")</f>
        <v>16</v>
      </c>
      <c r="O16" s="2" t="s">
        <v>30</v>
      </c>
      <c r="P16" s="3">
        <v>6</v>
      </c>
      <c r="Q16" s="2" t="s">
        <v>23</v>
      </c>
      <c r="R16" s="2" t="s">
        <v>47</v>
      </c>
      <c r="S16">
        <f>Table1[[#This Row],[Purchase_Amount]]*Table1[[#This Row],[Quantity]]</f>
        <v>877.05000000000007</v>
      </c>
      <c r="T16" t="str">
        <f>IF(Table1[[#This Row],[Age]]&lt;25,"&lt;25",IF(Table1[[#This Row],[Age]]&lt;=35,"25-35",IF(Table1[[#This Row],[Age]]&lt;=50,"36-50","50+")))</f>
        <v>36-50</v>
      </c>
    </row>
    <row r="17" spans="1:20" x14ac:dyDescent="0.3">
      <c r="A17" s="2" t="s">
        <v>145</v>
      </c>
      <c r="B17" s="2" t="s">
        <v>54</v>
      </c>
      <c r="C17" s="3">
        <v>40</v>
      </c>
      <c r="D17" s="2" t="s">
        <v>78</v>
      </c>
      <c r="E17" s="2" t="s">
        <v>33</v>
      </c>
      <c r="F17" s="2" t="s">
        <v>19</v>
      </c>
      <c r="G17" t="s">
        <v>55</v>
      </c>
      <c r="H17" t="s">
        <v>138</v>
      </c>
      <c r="I17" s="4">
        <v>915.85</v>
      </c>
      <c r="J17" s="3">
        <v>4</v>
      </c>
      <c r="K17" s="1">
        <v>44944</v>
      </c>
      <c r="L17" s="1" t="str">
        <f>TEXT(Table1[[#This Row],[Purchase_Date]],"YYYY")</f>
        <v>2023</v>
      </c>
      <c r="M17" s="1" t="str">
        <f>TEXT(Table1[[#This Row],[Purchase_Date]],"MMM")</f>
        <v>Jan</v>
      </c>
      <c r="N17" s="1" t="str">
        <f>TEXT(Table1[[#This Row],[Purchase_Date]],"DD")</f>
        <v>18</v>
      </c>
      <c r="O17" s="2" t="s">
        <v>36</v>
      </c>
      <c r="P17" s="3">
        <v>5</v>
      </c>
      <c r="Q17" s="2" t="s">
        <v>23</v>
      </c>
      <c r="R17" s="2" t="s">
        <v>24</v>
      </c>
      <c r="S17">
        <f>Table1[[#This Row],[Purchase_Amount]]*Table1[[#This Row],[Quantity]]</f>
        <v>3663.4</v>
      </c>
      <c r="T17" t="str">
        <f>IF(Table1[[#This Row],[Age]]&lt;25,"&lt;25",IF(Table1[[#This Row],[Age]]&lt;=35,"25-35",IF(Table1[[#This Row],[Age]]&lt;=50,"36-50","50+")))</f>
        <v>36-50</v>
      </c>
    </row>
    <row r="18" spans="1:20" x14ac:dyDescent="0.3">
      <c r="A18" s="2" t="s">
        <v>1068</v>
      </c>
      <c r="B18" s="2" t="s">
        <v>54</v>
      </c>
      <c r="C18" s="3">
        <v>41</v>
      </c>
      <c r="D18" s="2" t="s">
        <v>60</v>
      </c>
      <c r="E18" s="2" t="s">
        <v>33</v>
      </c>
      <c r="F18" s="2" t="s">
        <v>27</v>
      </c>
      <c r="G18" t="s">
        <v>55</v>
      </c>
      <c r="H18" t="s">
        <v>85</v>
      </c>
      <c r="I18" s="4">
        <v>340.44</v>
      </c>
      <c r="J18" s="3">
        <v>2</v>
      </c>
      <c r="K18" s="1">
        <v>45538</v>
      </c>
      <c r="L18" s="1" t="str">
        <f>TEXT(Table1[[#This Row],[Purchase_Date]],"YYYY")</f>
        <v>2024</v>
      </c>
      <c r="M18" s="1" t="str">
        <f>TEXT(Table1[[#This Row],[Purchase_Date]],"MMM")</f>
        <v>Sep</v>
      </c>
      <c r="N18" s="1" t="str">
        <f>TEXT(Table1[[#This Row],[Purchase_Date]],"DD")</f>
        <v>03</v>
      </c>
      <c r="O18" s="2" t="s">
        <v>41</v>
      </c>
      <c r="P18" s="3">
        <v>9</v>
      </c>
      <c r="Q18" s="2" t="s">
        <v>23</v>
      </c>
      <c r="R18" s="2" t="s">
        <v>47</v>
      </c>
      <c r="S18">
        <f>Table1[[#This Row],[Purchase_Amount]]*Table1[[#This Row],[Quantity]]</f>
        <v>680.88</v>
      </c>
      <c r="T18" t="str">
        <f>IF(Table1[[#This Row],[Age]]&lt;25,"&lt;25",IF(Table1[[#This Row],[Age]]&lt;=35,"25-35",IF(Table1[[#This Row],[Age]]&lt;=50,"36-50","50+")))</f>
        <v>36-50</v>
      </c>
    </row>
    <row r="19" spans="1:20" x14ac:dyDescent="0.3">
      <c r="A19" s="2" t="s">
        <v>981</v>
      </c>
      <c r="B19" s="2" t="s">
        <v>54</v>
      </c>
      <c r="C19" s="3">
        <v>42</v>
      </c>
      <c r="D19" s="2" t="s">
        <v>32</v>
      </c>
      <c r="E19" s="2" t="s">
        <v>49</v>
      </c>
      <c r="F19" s="2" t="s">
        <v>27</v>
      </c>
      <c r="G19" t="s">
        <v>55</v>
      </c>
      <c r="H19" t="s">
        <v>127</v>
      </c>
      <c r="I19" s="4">
        <v>280.74</v>
      </c>
      <c r="J19" s="3">
        <v>5</v>
      </c>
      <c r="K19" s="1">
        <v>45089</v>
      </c>
      <c r="L19" s="1" t="str">
        <f>TEXT(Table1[[#This Row],[Purchase_Date]],"YYYY")</f>
        <v>2023</v>
      </c>
      <c r="M19" s="1" t="str">
        <f>TEXT(Table1[[#This Row],[Purchase_Date]],"MMM")</f>
        <v>Jun</v>
      </c>
      <c r="N19" s="1" t="str">
        <f>TEXT(Table1[[#This Row],[Purchase_Date]],"DD")</f>
        <v>12</v>
      </c>
      <c r="O19" s="2" t="s">
        <v>30</v>
      </c>
      <c r="P19" s="3">
        <v>1</v>
      </c>
      <c r="Q19" s="2" t="s">
        <v>23</v>
      </c>
      <c r="R19" s="2" t="s">
        <v>47</v>
      </c>
      <c r="S19">
        <f>Table1[[#This Row],[Purchase_Amount]]*Table1[[#This Row],[Quantity]]</f>
        <v>1403.7</v>
      </c>
      <c r="T19" t="str">
        <f>IF(Table1[[#This Row],[Age]]&lt;25,"&lt;25",IF(Table1[[#This Row],[Age]]&lt;=35,"25-35",IF(Table1[[#This Row],[Age]]&lt;=50,"36-50","50+")))</f>
        <v>36-50</v>
      </c>
    </row>
    <row r="20" spans="1:20" x14ac:dyDescent="0.3">
      <c r="A20" s="2" t="s">
        <v>645</v>
      </c>
      <c r="B20" s="2" t="s">
        <v>54</v>
      </c>
      <c r="C20" s="3">
        <v>42</v>
      </c>
      <c r="D20" s="2" t="s">
        <v>64</v>
      </c>
      <c r="E20" s="2" t="s">
        <v>18</v>
      </c>
      <c r="F20" s="2" t="s">
        <v>27</v>
      </c>
      <c r="G20" t="s">
        <v>55</v>
      </c>
      <c r="H20" t="s">
        <v>105</v>
      </c>
      <c r="I20" s="4">
        <v>427.5</v>
      </c>
      <c r="J20" s="3">
        <v>4</v>
      </c>
      <c r="K20" s="1">
        <v>44967</v>
      </c>
      <c r="L20" s="1" t="str">
        <f>TEXT(Table1[[#This Row],[Purchase_Date]],"YYYY")</f>
        <v>2023</v>
      </c>
      <c r="M20" s="1" t="str">
        <f>TEXT(Table1[[#This Row],[Purchase_Date]],"MMM")</f>
        <v>Feb</v>
      </c>
      <c r="N20" s="1" t="str">
        <f>TEXT(Table1[[#This Row],[Purchase_Date]],"DD")</f>
        <v>10</v>
      </c>
      <c r="O20" s="2" t="s">
        <v>36</v>
      </c>
      <c r="P20" s="3">
        <v>10</v>
      </c>
      <c r="Q20" s="2" t="s">
        <v>23</v>
      </c>
      <c r="R20" s="2" t="s">
        <v>24</v>
      </c>
      <c r="S20">
        <f>Table1[[#This Row],[Purchase_Amount]]*Table1[[#This Row],[Quantity]]</f>
        <v>1710</v>
      </c>
      <c r="T20" t="str">
        <f>IF(Table1[[#This Row],[Age]]&lt;25,"&lt;25",IF(Table1[[#This Row],[Age]]&lt;=35,"25-35",IF(Table1[[#This Row],[Age]]&lt;=50,"36-50","50+")))</f>
        <v>36-50</v>
      </c>
    </row>
    <row r="21" spans="1:20" x14ac:dyDescent="0.3">
      <c r="A21" s="2" t="s">
        <v>794</v>
      </c>
      <c r="B21" s="2" t="s">
        <v>54</v>
      </c>
      <c r="C21" s="3">
        <v>43</v>
      </c>
      <c r="D21" s="2" t="s">
        <v>32</v>
      </c>
      <c r="E21" s="2" t="s">
        <v>33</v>
      </c>
      <c r="F21" s="2" t="s">
        <v>27</v>
      </c>
      <c r="G21" t="s">
        <v>55</v>
      </c>
      <c r="H21" t="s">
        <v>383</v>
      </c>
      <c r="I21" s="4">
        <v>416.62</v>
      </c>
      <c r="J21" s="3">
        <v>2</v>
      </c>
      <c r="K21" s="1">
        <v>45344</v>
      </c>
      <c r="L21" s="1" t="str">
        <f>TEXT(Table1[[#This Row],[Purchase_Date]],"YYYY")</f>
        <v>2024</v>
      </c>
      <c r="M21" s="1" t="str">
        <f>TEXT(Table1[[#This Row],[Purchase_Date]],"MMM")</f>
        <v>Feb</v>
      </c>
      <c r="N21" s="1" t="str">
        <f>TEXT(Table1[[#This Row],[Purchase_Date]],"DD")</f>
        <v>22</v>
      </c>
      <c r="O21" s="2" t="s">
        <v>30</v>
      </c>
      <c r="P21" s="3">
        <v>1</v>
      </c>
      <c r="Q21" s="2" t="s">
        <v>23</v>
      </c>
      <c r="R21" s="2" t="s">
        <v>47</v>
      </c>
      <c r="S21">
        <f>Table1[[#This Row],[Purchase_Amount]]*Table1[[#This Row],[Quantity]]</f>
        <v>833.24</v>
      </c>
      <c r="T21" t="str">
        <f>IF(Table1[[#This Row],[Age]]&lt;25,"&lt;25",IF(Table1[[#This Row],[Age]]&lt;=35,"25-35",IF(Table1[[#This Row],[Age]]&lt;=50,"36-50","50+")))</f>
        <v>36-50</v>
      </c>
    </row>
    <row r="22" spans="1:20" x14ac:dyDescent="0.3">
      <c r="A22" s="2" t="s">
        <v>1174</v>
      </c>
      <c r="B22" s="2" t="s">
        <v>54</v>
      </c>
      <c r="C22" s="3">
        <v>44</v>
      </c>
      <c r="D22" s="2" t="s">
        <v>64</v>
      </c>
      <c r="E22" s="2" t="s">
        <v>33</v>
      </c>
      <c r="F22" s="2" t="s">
        <v>27</v>
      </c>
      <c r="G22" t="s">
        <v>55</v>
      </c>
      <c r="H22" t="s">
        <v>481</v>
      </c>
      <c r="I22" s="4">
        <v>275.45999999999998</v>
      </c>
      <c r="J22" s="3">
        <v>5</v>
      </c>
      <c r="K22" s="1">
        <v>45364</v>
      </c>
      <c r="L22" s="1" t="str">
        <f>TEXT(Table1[[#This Row],[Purchase_Date]],"YYYY")</f>
        <v>2024</v>
      </c>
      <c r="M22" s="1" t="str">
        <f>TEXT(Table1[[#This Row],[Purchase_Date]],"MMM")</f>
        <v>Mar</v>
      </c>
      <c r="N22" s="1" t="str">
        <f>TEXT(Table1[[#This Row],[Purchase_Date]],"DD")</f>
        <v>13</v>
      </c>
      <c r="O22" s="2" t="s">
        <v>30</v>
      </c>
      <c r="P22" s="3">
        <v>6</v>
      </c>
      <c r="Q22" s="2" t="s">
        <v>46</v>
      </c>
      <c r="R22" s="2" t="s">
        <v>47</v>
      </c>
      <c r="S22">
        <f>Table1[[#This Row],[Purchase_Amount]]*Table1[[#This Row],[Quantity]]</f>
        <v>1377.3</v>
      </c>
      <c r="T22" t="str">
        <f>IF(Table1[[#This Row],[Age]]&lt;25,"&lt;25",IF(Table1[[#This Row],[Age]]&lt;=35,"25-35",IF(Table1[[#This Row],[Age]]&lt;=50,"36-50","50+")))</f>
        <v>36-50</v>
      </c>
    </row>
    <row r="23" spans="1:20" x14ac:dyDescent="0.3">
      <c r="A23" s="2" t="s">
        <v>679</v>
      </c>
      <c r="B23" s="2" t="s">
        <v>54</v>
      </c>
      <c r="C23" s="3">
        <v>44</v>
      </c>
      <c r="D23" s="2" t="s">
        <v>32</v>
      </c>
      <c r="E23" s="2" t="s">
        <v>18</v>
      </c>
      <c r="F23" s="2" t="s">
        <v>27</v>
      </c>
      <c r="G23" t="s">
        <v>55</v>
      </c>
      <c r="H23" t="s">
        <v>358</v>
      </c>
      <c r="I23" s="4">
        <v>853.53</v>
      </c>
      <c r="J23" s="3">
        <v>5</v>
      </c>
      <c r="K23" s="1">
        <v>44994</v>
      </c>
      <c r="L23" s="1" t="str">
        <f>TEXT(Table1[[#This Row],[Purchase_Date]],"YYYY")</f>
        <v>2023</v>
      </c>
      <c r="M23" s="1" t="str">
        <f>TEXT(Table1[[#This Row],[Purchase_Date]],"MMM")</f>
        <v>Mar</v>
      </c>
      <c r="N23" s="1" t="str">
        <f>TEXT(Table1[[#This Row],[Purchase_Date]],"DD")</f>
        <v>09</v>
      </c>
      <c r="O23" s="2" t="s">
        <v>30</v>
      </c>
      <c r="P23" s="3">
        <v>6</v>
      </c>
      <c r="Q23" s="2" t="s">
        <v>46</v>
      </c>
      <c r="R23" s="2" t="s">
        <v>24</v>
      </c>
      <c r="S23">
        <f>Table1[[#This Row],[Purchase_Amount]]*Table1[[#This Row],[Quantity]]</f>
        <v>4267.6499999999996</v>
      </c>
      <c r="T23" t="str">
        <f>IF(Table1[[#This Row],[Age]]&lt;25,"&lt;25",IF(Table1[[#This Row],[Age]]&lt;=35,"25-35",IF(Table1[[#This Row],[Age]]&lt;=50,"36-50","50+")))</f>
        <v>36-50</v>
      </c>
    </row>
    <row r="24" spans="1:20" x14ac:dyDescent="0.3">
      <c r="A24" s="2" t="s">
        <v>526</v>
      </c>
      <c r="B24" s="2" t="s">
        <v>54</v>
      </c>
      <c r="C24" s="3">
        <v>45</v>
      </c>
      <c r="D24" s="2" t="s">
        <v>17</v>
      </c>
      <c r="E24" s="2" t="s">
        <v>33</v>
      </c>
      <c r="F24" s="2" t="s">
        <v>44</v>
      </c>
      <c r="G24" t="s">
        <v>55</v>
      </c>
      <c r="H24" t="s">
        <v>330</v>
      </c>
      <c r="I24" s="4">
        <v>577.83000000000004</v>
      </c>
      <c r="J24" s="3">
        <v>2</v>
      </c>
      <c r="K24" s="1">
        <v>45317</v>
      </c>
      <c r="L24" s="1" t="str">
        <f>TEXT(Table1[[#This Row],[Purchase_Date]],"YYYY")</f>
        <v>2024</v>
      </c>
      <c r="M24" s="1" t="str">
        <f>TEXT(Table1[[#This Row],[Purchase_Date]],"MMM")</f>
        <v>Jan</v>
      </c>
      <c r="N24" s="1" t="str">
        <f>TEXT(Table1[[#This Row],[Purchase_Date]],"DD")</f>
        <v>26</v>
      </c>
      <c r="O24" s="2" t="s">
        <v>30</v>
      </c>
      <c r="P24" s="3">
        <v>6</v>
      </c>
      <c r="Q24" s="2" t="s">
        <v>23</v>
      </c>
      <c r="R24" s="2" t="s">
        <v>47</v>
      </c>
      <c r="S24">
        <f>Table1[[#This Row],[Purchase_Amount]]*Table1[[#This Row],[Quantity]]</f>
        <v>1155.6600000000001</v>
      </c>
      <c r="T24" t="str">
        <f>IF(Table1[[#This Row],[Age]]&lt;25,"&lt;25",IF(Table1[[#This Row],[Age]]&lt;=35,"25-35",IF(Table1[[#This Row],[Age]]&lt;=50,"36-50","50+")))</f>
        <v>36-50</v>
      </c>
    </row>
    <row r="25" spans="1:20" x14ac:dyDescent="0.3">
      <c r="A25" s="2" t="s">
        <v>548</v>
      </c>
      <c r="B25" s="2" t="s">
        <v>54</v>
      </c>
      <c r="C25" s="3">
        <v>45</v>
      </c>
      <c r="D25" s="2" t="s">
        <v>17</v>
      </c>
      <c r="E25" s="2" t="s">
        <v>18</v>
      </c>
      <c r="F25" s="2" t="s">
        <v>27</v>
      </c>
      <c r="G25" t="s">
        <v>55</v>
      </c>
      <c r="H25" t="s">
        <v>330</v>
      </c>
      <c r="I25" s="4">
        <v>709.54</v>
      </c>
      <c r="J25" s="3">
        <v>5</v>
      </c>
      <c r="K25" s="1">
        <v>45383</v>
      </c>
      <c r="L25" s="1" t="str">
        <f>TEXT(Table1[[#This Row],[Purchase_Date]],"YYYY")</f>
        <v>2024</v>
      </c>
      <c r="M25" s="1" t="str">
        <f>TEXT(Table1[[#This Row],[Purchase_Date]],"MMM")</f>
        <v>Apr</v>
      </c>
      <c r="N25" s="1" t="str">
        <f>TEXT(Table1[[#This Row],[Purchase_Date]],"DD")</f>
        <v>01</v>
      </c>
      <c r="O25" s="2" t="s">
        <v>30</v>
      </c>
      <c r="P25" s="3">
        <v>7</v>
      </c>
      <c r="Q25" s="2" t="s">
        <v>23</v>
      </c>
      <c r="R25" s="2" t="s">
        <v>24</v>
      </c>
      <c r="S25">
        <f>Table1[[#This Row],[Purchase_Amount]]*Table1[[#This Row],[Quantity]]</f>
        <v>3547.7</v>
      </c>
      <c r="T25" t="str">
        <f>IF(Table1[[#This Row],[Age]]&lt;25,"&lt;25",IF(Table1[[#This Row],[Age]]&lt;=35,"25-35",IF(Table1[[#This Row],[Age]]&lt;=50,"36-50","50+")))</f>
        <v>36-50</v>
      </c>
    </row>
    <row r="26" spans="1:20" x14ac:dyDescent="0.3">
      <c r="A26" s="2" t="s">
        <v>602</v>
      </c>
      <c r="B26" s="2" t="s">
        <v>54</v>
      </c>
      <c r="C26" s="3">
        <v>46</v>
      </c>
      <c r="D26" s="2" t="s">
        <v>64</v>
      </c>
      <c r="E26" s="2" t="s">
        <v>33</v>
      </c>
      <c r="F26" s="2" t="s">
        <v>27</v>
      </c>
      <c r="G26" t="s">
        <v>55</v>
      </c>
      <c r="H26" t="s">
        <v>592</v>
      </c>
      <c r="I26" s="4">
        <v>283.99</v>
      </c>
      <c r="J26" s="3">
        <v>4</v>
      </c>
      <c r="K26" s="1">
        <v>45062</v>
      </c>
      <c r="L26" s="1" t="str">
        <f>TEXT(Table1[[#This Row],[Purchase_Date]],"YYYY")</f>
        <v>2023</v>
      </c>
      <c r="M26" s="1" t="str">
        <f>TEXT(Table1[[#This Row],[Purchase_Date]],"MMM")</f>
        <v>May</v>
      </c>
      <c r="N26" s="1" t="str">
        <f>TEXT(Table1[[#This Row],[Purchase_Date]],"DD")</f>
        <v>16</v>
      </c>
      <c r="O26" s="2" t="s">
        <v>22</v>
      </c>
      <c r="P26" s="3">
        <v>6</v>
      </c>
      <c r="Q26" s="2" t="s">
        <v>23</v>
      </c>
      <c r="R26" s="2" t="s">
        <v>24</v>
      </c>
      <c r="S26">
        <f>Table1[[#This Row],[Purchase_Amount]]*Table1[[#This Row],[Quantity]]</f>
        <v>1135.96</v>
      </c>
      <c r="T26" t="str">
        <f>IF(Table1[[#This Row],[Age]]&lt;25,"&lt;25",IF(Table1[[#This Row],[Age]]&lt;=35,"25-35",IF(Table1[[#This Row],[Age]]&lt;=50,"36-50","50+")))</f>
        <v>36-50</v>
      </c>
    </row>
    <row r="27" spans="1:20" x14ac:dyDescent="0.3">
      <c r="A27" s="2" t="s">
        <v>680</v>
      </c>
      <c r="B27" s="2" t="s">
        <v>54</v>
      </c>
      <c r="C27" s="3">
        <v>48</v>
      </c>
      <c r="D27" s="2" t="s">
        <v>38</v>
      </c>
      <c r="E27" s="2" t="s">
        <v>18</v>
      </c>
      <c r="F27" s="2" t="s">
        <v>27</v>
      </c>
      <c r="G27" t="s">
        <v>55</v>
      </c>
      <c r="H27" t="s">
        <v>513</v>
      </c>
      <c r="I27" s="4">
        <v>563.63</v>
      </c>
      <c r="J27" s="3">
        <v>1</v>
      </c>
      <c r="K27" s="1">
        <v>45142</v>
      </c>
      <c r="L27" s="1" t="str">
        <f>TEXT(Table1[[#This Row],[Purchase_Date]],"YYYY")</f>
        <v>2023</v>
      </c>
      <c r="M27" s="1" t="str">
        <f>TEXT(Table1[[#This Row],[Purchase_Date]],"MMM")</f>
        <v>Aug</v>
      </c>
      <c r="N27" s="1" t="str">
        <f>TEXT(Table1[[#This Row],[Purchase_Date]],"DD")</f>
        <v>04</v>
      </c>
      <c r="O27" s="2" t="s">
        <v>36</v>
      </c>
      <c r="P27" s="3">
        <v>6</v>
      </c>
      <c r="Q27" s="2" t="s">
        <v>46</v>
      </c>
      <c r="R27" s="2" t="s">
        <v>47</v>
      </c>
      <c r="S27">
        <f>Table1[[#This Row],[Purchase_Amount]]*Table1[[#This Row],[Quantity]]</f>
        <v>563.63</v>
      </c>
      <c r="T27" t="str">
        <f>IF(Table1[[#This Row],[Age]]&lt;25,"&lt;25",IF(Table1[[#This Row],[Age]]&lt;=35,"25-35",IF(Table1[[#This Row],[Age]]&lt;=50,"36-50","50+")))</f>
        <v>36-50</v>
      </c>
    </row>
    <row r="28" spans="1:20" x14ac:dyDescent="0.3">
      <c r="A28" s="2" t="s">
        <v>53</v>
      </c>
      <c r="B28" s="2" t="s">
        <v>54</v>
      </c>
      <c r="C28" s="3">
        <v>48</v>
      </c>
      <c r="D28" s="2" t="s">
        <v>43</v>
      </c>
      <c r="E28" s="2" t="s">
        <v>49</v>
      </c>
      <c r="F28" s="2" t="s">
        <v>27</v>
      </c>
      <c r="G28" t="s">
        <v>55</v>
      </c>
      <c r="H28" t="s">
        <v>56</v>
      </c>
      <c r="I28" s="4">
        <v>635.05999999999995</v>
      </c>
      <c r="J28" s="3">
        <v>5</v>
      </c>
      <c r="K28" s="1">
        <v>45000</v>
      </c>
      <c r="L28" s="1" t="str">
        <f>TEXT(Table1[[#This Row],[Purchase_Date]],"YYYY")</f>
        <v>2023</v>
      </c>
      <c r="M28" s="1" t="str">
        <f>TEXT(Table1[[#This Row],[Purchase_Date]],"MMM")</f>
        <v>Mar</v>
      </c>
      <c r="N28" s="1" t="str">
        <f>TEXT(Table1[[#This Row],[Purchase_Date]],"DD")</f>
        <v>15</v>
      </c>
      <c r="O28" s="2" t="s">
        <v>22</v>
      </c>
      <c r="P28" s="3">
        <v>9</v>
      </c>
      <c r="Q28" s="2" t="s">
        <v>46</v>
      </c>
      <c r="R28" s="2" t="s">
        <v>24</v>
      </c>
      <c r="S28">
        <f>Table1[[#This Row],[Purchase_Amount]]*Table1[[#This Row],[Quantity]]</f>
        <v>3175.2999999999997</v>
      </c>
      <c r="T28" t="str">
        <f>IF(Table1[[#This Row],[Age]]&lt;25,"&lt;25",IF(Table1[[#This Row],[Age]]&lt;=35,"25-35",IF(Table1[[#This Row],[Age]]&lt;=50,"36-50","50+")))</f>
        <v>36-50</v>
      </c>
    </row>
    <row r="29" spans="1:20" x14ac:dyDescent="0.3">
      <c r="A29" s="2" t="s">
        <v>1078</v>
      </c>
      <c r="B29" s="2" t="s">
        <v>54</v>
      </c>
      <c r="C29" s="3">
        <v>49</v>
      </c>
      <c r="D29" s="2" t="s">
        <v>38</v>
      </c>
      <c r="E29" s="2" t="s">
        <v>49</v>
      </c>
      <c r="F29" s="2" t="s">
        <v>19</v>
      </c>
      <c r="G29" t="s">
        <v>55</v>
      </c>
      <c r="H29" t="s">
        <v>249</v>
      </c>
      <c r="I29" s="4">
        <v>189.95</v>
      </c>
      <c r="J29" s="3">
        <v>2</v>
      </c>
      <c r="K29" s="1">
        <v>44971</v>
      </c>
      <c r="L29" s="1" t="str">
        <f>TEXT(Table1[[#This Row],[Purchase_Date]],"YYYY")</f>
        <v>2023</v>
      </c>
      <c r="M29" s="1" t="str">
        <f>TEXT(Table1[[#This Row],[Purchase_Date]],"MMM")</f>
        <v>Feb</v>
      </c>
      <c r="N29" s="1" t="str">
        <f>TEXT(Table1[[#This Row],[Purchase_Date]],"DD")</f>
        <v>14</v>
      </c>
      <c r="O29" s="2" t="s">
        <v>22</v>
      </c>
      <c r="P29" s="3">
        <v>1</v>
      </c>
      <c r="Q29" s="2" t="s">
        <v>23</v>
      </c>
      <c r="R29" s="2" t="s">
        <v>24</v>
      </c>
      <c r="S29">
        <f>Table1[[#This Row],[Purchase_Amount]]*Table1[[#This Row],[Quantity]]</f>
        <v>379.9</v>
      </c>
      <c r="T29" t="str">
        <f>IF(Table1[[#This Row],[Age]]&lt;25,"&lt;25",IF(Table1[[#This Row],[Age]]&lt;=35,"25-35",IF(Table1[[#This Row],[Age]]&lt;=50,"36-50","50+")))</f>
        <v>36-50</v>
      </c>
    </row>
    <row r="30" spans="1:20" x14ac:dyDescent="0.3">
      <c r="A30" s="2" t="s">
        <v>572</v>
      </c>
      <c r="B30" s="2" t="s">
        <v>54</v>
      </c>
      <c r="C30" s="3">
        <v>49</v>
      </c>
      <c r="D30" s="2" t="s">
        <v>64</v>
      </c>
      <c r="E30" s="2" t="s">
        <v>18</v>
      </c>
      <c r="F30" s="2" t="s">
        <v>44</v>
      </c>
      <c r="G30" t="s">
        <v>55</v>
      </c>
      <c r="H30" t="s">
        <v>573</v>
      </c>
      <c r="I30" s="4">
        <v>568.77</v>
      </c>
      <c r="J30" s="3">
        <v>3</v>
      </c>
      <c r="K30" s="1">
        <v>45147</v>
      </c>
      <c r="L30" s="1" t="str">
        <f>TEXT(Table1[[#This Row],[Purchase_Date]],"YYYY")</f>
        <v>2023</v>
      </c>
      <c r="M30" s="1" t="str">
        <f>TEXT(Table1[[#This Row],[Purchase_Date]],"MMM")</f>
        <v>Aug</v>
      </c>
      <c r="N30" s="1" t="str">
        <f>TEXT(Table1[[#This Row],[Purchase_Date]],"DD")</f>
        <v>09</v>
      </c>
      <c r="O30" s="2" t="s">
        <v>22</v>
      </c>
      <c r="P30" s="3">
        <v>9</v>
      </c>
      <c r="Q30" s="2" t="s">
        <v>46</v>
      </c>
      <c r="R30" s="2" t="s">
        <v>47</v>
      </c>
      <c r="S30">
        <f>Table1[[#This Row],[Purchase_Amount]]*Table1[[#This Row],[Quantity]]</f>
        <v>1706.31</v>
      </c>
      <c r="T30" t="str">
        <f>IF(Table1[[#This Row],[Age]]&lt;25,"&lt;25",IF(Table1[[#This Row],[Age]]&lt;=35,"25-35",IF(Table1[[#This Row],[Age]]&lt;=50,"36-50","50+")))</f>
        <v>36-50</v>
      </c>
    </row>
    <row r="31" spans="1:20" x14ac:dyDescent="0.3">
      <c r="A31" s="2" t="s">
        <v>139</v>
      </c>
      <c r="B31" s="2" t="s">
        <v>54</v>
      </c>
      <c r="C31" s="3">
        <v>50</v>
      </c>
      <c r="D31" s="2" t="s">
        <v>64</v>
      </c>
      <c r="E31" s="2" t="s">
        <v>18</v>
      </c>
      <c r="F31" s="2" t="s">
        <v>44</v>
      </c>
      <c r="G31" t="s">
        <v>55</v>
      </c>
      <c r="H31" t="s">
        <v>45</v>
      </c>
      <c r="I31" s="4">
        <v>64.19</v>
      </c>
      <c r="J31" s="3">
        <v>1</v>
      </c>
      <c r="K31" s="1">
        <v>45333</v>
      </c>
      <c r="L31" s="1" t="str">
        <f>TEXT(Table1[[#This Row],[Purchase_Date]],"YYYY")</f>
        <v>2024</v>
      </c>
      <c r="M31" s="1" t="str">
        <f>TEXT(Table1[[#This Row],[Purchase_Date]],"MMM")</f>
        <v>Feb</v>
      </c>
      <c r="N31" s="1" t="str">
        <f>TEXT(Table1[[#This Row],[Purchase_Date]],"DD")</f>
        <v>11</v>
      </c>
      <c r="O31" s="2" t="s">
        <v>22</v>
      </c>
      <c r="P31" s="3">
        <v>8</v>
      </c>
      <c r="Q31" s="2" t="s">
        <v>46</v>
      </c>
      <c r="R31" s="2" t="s">
        <v>24</v>
      </c>
      <c r="S31">
        <f>Table1[[#This Row],[Purchase_Amount]]*Table1[[#This Row],[Quantity]]</f>
        <v>64.19</v>
      </c>
      <c r="T31" t="str">
        <f>IF(Table1[[#This Row],[Age]]&lt;25,"&lt;25",IF(Table1[[#This Row],[Age]]&lt;=35,"25-35",IF(Table1[[#This Row],[Age]]&lt;=50,"36-50","50+")))</f>
        <v>36-50</v>
      </c>
    </row>
    <row r="32" spans="1:20" x14ac:dyDescent="0.3">
      <c r="A32" s="2" t="s">
        <v>303</v>
      </c>
      <c r="B32" s="2" t="s">
        <v>54</v>
      </c>
      <c r="C32" s="3">
        <v>50</v>
      </c>
      <c r="D32" s="2" t="s">
        <v>78</v>
      </c>
      <c r="E32" s="2" t="s">
        <v>49</v>
      </c>
      <c r="F32" s="2" t="s">
        <v>44</v>
      </c>
      <c r="G32" t="s">
        <v>55</v>
      </c>
      <c r="H32" t="s">
        <v>304</v>
      </c>
      <c r="I32" s="4">
        <v>383.28</v>
      </c>
      <c r="J32" s="3">
        <v>3</v>
      </c>
      <c r="K32" s="1">
        <v>45479</v>
      </c>
      <c r="L32" s="1" t="str">
        <f>TEXT(Table1[[#This Row],[Purchase_Date]],"YYYY")</f>
        <v>2024</v>
      </c>
      <c r="M32" s="1" t="str">
        <f>TEXT(Table1[[#This Row],[Purchase_Date]],"MMM")</f>
        <v>Jul</v>
      </c>
      <c r="N32" s="1" t="str">
        <f>TEXT(Table1[[#This Row],[Purchase_Date]],"DD")</f>
        <v>06</v>
      </c>
      <c r="O32" s="2" t="s">
        <v>36</v>
      </c>
      <c r="P32" s="3">
        <v>9</v>
      </c>
      <c r="Q32" s="2" t="s">
        <v>23</v>
      </c>
      <c r="R32" s="2" t="s">
        <v>24</v>
      </c>
      <c r="S32">
        <f>Table1[[#This Row],[Purchase_Amount]]*Table1[[#This Row],[Quantity]]</f>
        <v>1149.8399999999999</v>
      </c>
      <c r="T32" t="str">
        <f>IF(Table1[[#This Row],[Age]]&lt;25,"&lt;25",IF(Table1[[#This Row],[Age]]&lt;=35,"25-35",IF(Table1[[#This Row],[Age]]&lt;=50,"36-50","50+")))</f>
        <v>36-50</v>
      </c>
    </row>
    <row r="33" spans="1:20" x14ac:dyDescent="0.3">
      <c r="A33" s="2" t="s">
        <v>252</v>
      </c>
      <c r="B33" s="2" t="s">
        <v>54</v>
      </c>
      <c r="C33" s="3">
        <v>50</v>
      </c>
      <c r="D33" s="2" t="s">
        <v>64</v>
      </c>
      <c r="E33" s="2" t="s">
        <v>33</v>
      </c>
      <c r="F33" s="2" t="s">
        <v>44</v>
      </c>
      <c r="G33" t="s">
        <v>55</v>
      </c>
      <c r="H33" t="s">
        <v>253</v>
      </c>
      <c r="I33" s="4">
        <v>953.87</v>
      </c>
      <c r="J33" s="3">
        <v>2</v>
      </c>
      <c r="K33" s="1">
        <v>45406</v>
      </c>
      <c r="L33" s="1" t="str">
        <f>TEXT(Table1[[#This Row],[Purchase_Date]],"YYYY")</f>
        <v>2024</v>
      </c>
      <c r="M33" s="1" t="str">
        <f>TEXT(Table1[[#This Row],[Purchase_Date]],"MMM")</f>
        <v>Apr</v>
      </c>
      <c r="N33" s="1" t="str">
        <f>TEXT(Table1[[#This Row],[Purchase_Date]],"DD")</f>
        <v>24</v>
      </c>
      <c r="O33" s="2" t="s">
        <v>30</v>
      </c>
      <c r="P33" s="3">
        <v>8</v>
      </c>
      <c r="Q33" s="2" t="s">
        <v>23</v>
      </c>
      <c r="R33" s="2" t="s">
        <v>24</v>
      </c>
      <c r="S33">
        <f>Table1[[#This Row],[Purchase_Amount]]*Table1[[#This Row],[Quantity]]</f>
        <v>1907.74</v>
      </c>
      <c r="T33" t="str">
        <f>IF(Table1[[#This Row],[Age]]&lt;25,"&lt;25",IF(Table1[[#This Row],[Age]]&lt;=35,"25-35",IF(Table1[[#This Row],[Age]]&lt;=50,"36-50","50+")))</f>
        <v>36-50</v>
      </c>
    </row>
    <row r="34" spans="1:20" x14ac:dyDescent="0.3">
      <c r="A34" s="2" t="s">
        <v>715</v>
      </c>
      <c r="B34" s="2" t="s">
        <v>54</v>
      </c>
      <c r="C34" s="3">
        <v>51</v>
      </c>
      <c r="D34" s="2" t="s">
        <v>60</v>
      </c>
      <c r="E34" s="2" t="s">
        <v>18</v>
      </c>
      <c r="F34" s="2" t="s">
        <v>27</v>
      </c>
      <c r="G34" t="s">
        <v>55</v>
      </c>
      <c r="H34" t="s">
        <v>155</v>
      </c>
      <c r="I34" s="4">
        <v>332.91</v>
      </c>
      <c r="J34" s="3">
        <v>2</v>
      </c>
      <c r="K34" s="1">
        <v>44966</v>
      </c>
      <c r="L34" s="1" t="str">
        <f>TEXT(Table1[[#This Row],[Purchase_Date]],"YYYY")</f>
        <v>2023</v>
      </c>
      <c r="M34" s="1" t="str">
        <f>TEXT(Table1[[#This Row],[Purchase_Date]],"MMM")</f>
        <v>Feb</v>
      </c>
      <c r="N34" s="1" t="str">
        <f>TEXT(Table1[[#This Row],[Purchase_Date]],"DD")</f>
        <v>09</v>
      </c>
      <c r="O34" s="2" t="s">
        <v>22</v>
      </c>
      <c r="P34" s="3">
        <v>5</v>
      </c>
      <c r="Q34" s="2" t="s">
        <v>46</v>
      </c>
      <c r="R34" s="2" t="s">
        <v>47</v>
      </c>
      <c r="S34">
        <f>Table1[[#This Row],[Purchase_Amount]]*Table1[[#This Row],[Quantity]]</f>
        <v>665.82</v>
      </c>
      <c r="T34" t="str">
        <f>IF(Table1[[#This Row],[Age]]&lt;25,"&lt;25",IF(Table1[[#This Row],[Age]]&lt;=35,"25-35",IF(Table1[[#This Row],[Age]]&lt;=50,"36-50","50+")))</f>
        <v>50+</v>
      </c>
    </row>
    <row r="35" spans="1:20" x14ac:dyDescent="0.3">
      <c r="A35" s="2" t="s">
        <v>860</v>
      </c>
      <c r="B35" s="2" t="s">
        <v>54</v>
      </c>
      <c r="C35" s="3">
        <v>52</v>
      </c>
      <c r="D35" s="2" t="s">
        <v>38</v>
      </c>
      <c r="E35" s="2" t="s">
        <v>49</v>
      </c>
      <c r="F35" s="2" t="s">
        <v>27</v>
      </c>
      <c r="G35" t="s">
        <v>55</v>
      </c>
      <c r="H35" t="s">
        <v>493</v>
      </c>
      <c r="I35" s="4">
        <v>776.74</v>
      </c>
      <c r="J35" s="3">
        <v>3</v>
      </c>
      <c r="K35" s="1">
        <v>45377</v>
      </c>
      <c r="L35" s="1" t="str">
        <f>TEXT(Table1[[#This Row],[Purchase_Date]],"YYYY")</f>
        <v>2024</v>
      </c>
      <c r="M35" s="1" t="str">
        <f>TEXT(Table1[[#This Row],[Purchase_Date]],"MMM")</f>
        <v>Mar</v>
      </c>
      <c r="N35" s="1" t="str">
        <f>TEXT(Table1[[#This Row],[Purchase_Date]],"DD")</f>
        <v>26</v>
      </c>
      <c r="O35" s="2" t="s">
        <v>22</v>
      </c>
      <c r="P35" s="3">
        <v>5</v>
      </c>
      <c r="Q35" s="2" t="s">
        <v>46</v>
      </c>
      <c r="R35" s="2" t="s">
        <v>47</v>
      </c>
      <c r="S35">
        <f>Table1[[#This Row],[Purchase_Amount]]*Table1[[#This Row],[Quantity]]</f>
        <v>2330.2200000000003</v>
      </c>
      <c r="T35" t="str">
        <f>IF(Table1[[#This Row],[Age]]&lt;25,"&lt;25",IF(Table1[[#This Row],[Age]]&lt;=35,"25-35",IF(Table1[[#This Row],[Age]]&lt;=50,"36-50","50+")))</f>
        <v>50+</v>
      </c>
    </row>
    <row r="36" spans="1:20" x14ac:dyDescent="0.3">
      <c r="A36" s="2" t="s">
        <v>1083</v>
      </c>
      <c r="B36" s="2" t="s">
        <v>54</v>
      </c>
      <c r="C36" s="3">
        <v>54</v>
      </c>
      <c r="D36" s="2" t="s">
        <v>38</v>
      </c>
      <c r="E36" s="2" t="s">
        <v>49</v>
      </c>
      <c r="F36" s="2" t="s">
        <v>19</v>
      </c>
      <c r="G36" t="s">
        <v>55</v>
      </c>
      <c r="H36" t="s">
        <v>164</v>
      </c>
      <c r="I36" s="4">
        <v>141.94999999999999</v>
      </c>
      <c r="J36" s="3">
        <v>3</v>
      </c>
      <c r="K36" s="1">
        <v>45356</v>
      </c>
      <c r="L36" s="1" t="str">
        <f>TEXT(Table1[[#This Row],[Purchase_Date]],"YYYY")</f>
        <v>2024</v>
      </c>
      <c r="M36" s="1" t="str">
        <f>TEXT(Table1[[#This Row],[Purchase_Date]],"MMM")</f>
        <v>Mar</v>
      </c>
      <c r="N36" s="1" t="str">
        <f>TEXT(Table1[[#This Row],[Purchase_Date]],"DD")</f>
        <v>05</v>
      </c>
      <c r="O36" s="2" t="s">
        <v>41</v>
      </c>
      <c r="P36" s="3">
        <v>3</v>
      </c>
      <c r="Q36" s="2" t="s">
        <v>23</v>
      </c>
      <c r="R36" s="2" t="s">
        <v>24</v>
      </c>
      <c r="S36">
        <f>Table1[[#This Row],[Purchase_Amount]]*Table1[[#This Row],[Quantity]]</f>
        <v>425.84999999999997</v>
      </c>
      <c r="T36" t="str">
        <f>IF(Table1[[#This Row],[Age]]&lt;25,"&lt;25",IF(Table1[[#This Row],[Age]]&lt;=35,"25-35",IF(Table1[[#This Row],[Age]]&lt;=50,"36-50","50+")))</f>
        <v>50+</v>
      </c>
    </row>
    <row r="37" spans="1:20" x14ac:dyDescent="0.3">
      <c r="A37" s="2" t="s">
        <v>619</v>
      </c>
      <c r="B37" s="2" t="s">
        <v>54</v>
      </c>
      <c r="C37" s="3">
        <v>55</v>
      </c>
      <c r="D37" s="2" t="s">
        <v>43</v>
      </c>
      <c r="E37" s="2" t="s">
        <v>33</v>
      </c>
      <c r="F37" s="2" t="s">
        <v>19</v>
      </c>
      <c r="G37" t="s">
        <v>55</v>
      </c>
      <c r="H37" t="s">
        <v>239</v>
      </c>
      <c r="I37" s="4">
        <v>94.55</v>
      </c>
      <c r="J37" s="3">
        <v>5</v>
      </c>
      <c r="K37" s="1">
        <v>45338</v>
      </c>
      <c r="L37" s="1" t="str">
        <f>TEXT(Table1[[#This Row],[Purchase_Date]],"YYYY")</f>
        <v>2024</v>
      </c>
      <c r="M37" s="1" t="str">
        <f>TEXT(Table1[[#This Row],[Purchase_Date]],"MMM")</f>
        <v>Feb</v>
      </c>
      <c r="N37" s="1" t="str">
        <f>TEXT(Table1[[#This Row],[Purchase_Date]],"DD")</f>
        <v>16</v>
      </c>
      <c r="O37" s="2" t="s">
        <v>22</v>
      </c>
      <c r="P37" s="3">
        <v>1</v>
      </c>
      <c r="Q37" s="2" t="s">
        <v>23</v>
      </c>
      <c r="R37" s="2" t="s">
        <v>24</v>
      </c>
      <c r="S37">
        <f>Table1[[#This Row],[Purchase_Amount]]*Table1[[#This Row],[Quantity]]</f>
        <v>472.75</v>
      </c>
      <c r="T37" t="str">
        <f>IF(Table1[[#This Row],[Age]]&lt;25,"&lt;25",IF(Table1[[#This Row],[Age]]&lt;=35,"25-35",IF(Table1[[#This Row],[Age]]&lt;=50,"36-50","50+")))</f>
        <v>50+</v>
      </c>
    </row>
    <row r="38" spans="1:20" x14ac:dyDescent="0.3">
      <c r="A38" s="2" t="s">
        <v>1032</v>
      </c>
      <c r="B38" s="2" t="s">
        <v>54</v>
      </c>
      <c r="C38" s="3">
        <v>55</v>
      </c>
      <c r="D38" s="2" t="s">
        <v>60</v>
      </c>
      <c r="E38" s="2" t="s">
        <v>33</v>
      </c>
      <c r="F38" s="2" t="s">
        <v>27</v>
      </c>
      <c r="G38" t="s">
        <v>55</v>
      </c>
      <c r="H38" t="s">
        <v>169</v>
      </c>
      <c r="I38" s="4">
        <v>249.24</v>
      </c>
      <c r="J38" s="3">
        <v>1</v>
      </c>
      <c r="K38" s="1">
        <v>45050</v>
      </c>
      <c r="L38" s="1" t="str">
        <f>TEXT(Table1[[#This Row],[Purchase_Date]],"YYYY")</f>
        <v>2023</v>
      </c>
      <c r="M38" s="1" t="str">
        <f>TEXT(Table1[[#This Row],[Purchase_Date]],"MMM")</f>
        <v>May</v>
      </c>
      <c r="N38" s="1" t="str">
        <f>TEXT(Table1[[#This Row],[Purchase_Date]],"DD")</f>
        <v>04</v>
      </c>
      <c r="O38" s="2" t="s">
        <v>30</v>
      </c>
      <c r="P38" s="3">
        <v>8</v>
      </c>
      <c r="Q38" s="2" t="s">
        <v>23</v>
      </c>
      <c r="R38" s="2" t="s">
        <v>24</v>
      </c>
      <c r="S38">
        <f>Table1[[#This Row],[Purchase_Amount]]*Table1[[#This Row],[Quantity]]</f>
        <v>249.24</v>
      </c>
      <c r="T38" t="str">
        <f>IF(Table1[[#This Row],[Age]]&lt;25,"&lt;25",IF(Table1[[#This Row],[Age]]&lt;=35,"25-35",IF(Table1[[#This Row],[Age]]&lt;=50,"36-50","50+")))</f>
        <v>50+</v>
      </c>
    </row>
    <row r="39" spans="1:20" x14ac:dyDescent="0.3">
      <c r="A39" s="2" t="s">
        <v>456</v>
      </c>
      <c r="B39" s="2" t="s">
        <v>54</v>
      </c>
      <c r="C39" s="3">
        <v>60</v>
      </c>
      <c r="D39" s="2" t="s">
        <v>38</v>
      </c>
      <c r="E39" s="2" t="s">
        <v>33</v>
      </c>
      <c r="F39" s="2" t="s">
        <v>44</v>
      </c>
      <c r="G39" t="s">
        <v>55</v>
      </c>
      <c r="H39" t="s">
        <v>239</v>
      </c>
      <c r="I39" s="4">
        <v>573.27</v>
      </c>
      <c r="J39" s="3">
        <v>2</v>
      </c>
      <c r="K39" s="1">
        <v>45084</v>
      </c>
      <c r="L39" s="1" t="str">
        <f>TEXT(Table1[[#This Row],[Purchase_Date]],"YYYY")</f>
        <v>2023</v>
      </c>
      <c r="M39" s="1" t="str">
        <f>TEXT(Table1[[#This Row],[Purchase_Date]],"MMM")</f>
        <v>Jun</v>
      </c>
      <c r="N39" s="1" t="str">
        <f>TEXT(Table1[[#This Row],[Purchase_Date]],"DD")</f>
        <v>07</v>
      </c>
      <c r="O39" s="2" t="s">
        <v>36</v>
      </c>
      <c r="P39" s="3">
        <v>2</v>
      </c>
      <c r="Q39" s="2" t="s">
        <v>23</v>
      </c>
      <c r="R39" s="2" t="s">
        <v>24</v>
      </c>
      <c r="S39">
        <f>Table1[[#This Row],[Purchase_Amount]]*Table1[[#This Row],[Quantity]]</f>
        <v>1146.54</v>
      </c>
      <c r="T39" t="str">
        <f>IF(Table1[[#This Row],[Age]]&lt;25,"&lt;25",IF(Table1[[#This Row],[Age]]&lt;=35,"25-35",IF(Table1[[#This Row],[Age]]&lt;=50,"36-50","50+")))</f>
        <v>50+</v>
      </c>
    </row>
    <row r="40" spans="1:20" x14ac:dyDescent="0.3">
      <c r="A40" s="2" t="s">
        <v>578</v>
      </c>
      <c r="B40" s="2" t="s">
        <v>54</v>
      </c>
      <c r="C40" s="3">
        <v>60</v>
      </c>
      <c r="D40" s="2" t="s">
        <v>64</v>
      </c>
      <c r="E40" s="2" t="s">
        <v>49</v>
      </c>
      <c r="F40" s="2" t="s">
        <v>27</v>
      </c>
      <c r="G40" t="s">
        <v>55</v>
      </c>
      <c r="H40" t="s">
        <v>177</v>
      </c>
      <c r="I40" s="4">
        <v>970.12</v>
      </c>
      <c r="J40" s="3">
        <v>2</v>
      </c>
      <c r="K40" s="1">
        <v>45457</v>
      </c>
      <c r="L40" s="1" t="str">
        <f>TEXT(Table1[[#This Row],[Purchase_Date]],"YYYY")</f>
        <v>2024</v>
      </c>
      <c r="M40" s="1" t="str">
        <f>TEXT(Table1[[#This Row],[Purchase_Date]],"MMM")</f>
        <v>Jun</v>
      </c>
      <c r="N40" s="1" t="str">
        <f>TEXT(Table1[[#This Row],[Purchase_Date]],"DD")</f>
        <v>14</v>
      </c>
      <c r="O40" s="2" t="s">
        <v>30</v>
      </c>
      <c r="P40" s="3">
        <v>6</v>
      </c>
      <c r="Q40" s="2" t="s">
        <v>23</v>
      </c>
      <c r="R40" s="2" t="s">
        <v>24</v>
      </c>
      <c r="S40">
        <f>Table1[[#This Row],[Purchase_Amount]]*Table1[[#This Row],[Quantity]]</f>
        <v>1940.24</v>
      </c>
      <c r="T40" t="str">
        <f>IF(Table1[[#This Row],[Age]]&lt;25,"&lt;25",IF(Table1[[#This Row],[Age]]&lt;=35,"25-35",IF(Table1[[#This Row],[Age]]&lt;=50,"36-50","50+")))</f>
        <v>50+</v>
      </c>
    </row>
    <row r="41" spans="1:20" x14ac:dyDescent="0.3">
      <c r="A41" s="2" t="s">
        <v>876</v>
      </c>
      <c r="B41" s="2" t="s">
        <v>54</v>
      </c>
      <c r="C41" s="3">
        <v>61</v>
      </c>
      <c r="D41" s="2" t="s">
        <v>43</v>
      </c>
      <c r="E41" s="2" t="s">
        <v>33</v>
      </c>
      <c r="F41" s="2" t="s">
        <v>27</v>
      </c>
      <c r="G41" t="s">
        <v>55</v>
      </c>
      <c r="H41" t="s">
        <v>125</v>
      </c>
      <c r="I41" s="4">
        <v>342.46</v>
      </c>
      <c r="J41" s="3">
        <v>2</v>
      </c>
      <c r="K41" s="1">
        <v>45038</v>
      </c>
      <c r="L41" s="1" t="str">
        <f>TEXT(Table1[[#This Row],[Purchase_Date]],"YYYY")</f>
        <v>2023</v>
      </c>
      <c r="M41" s="1" t="str">
        <f>TEXT(Table1[[#This Row],[Purchase_Date]],"MMM")</f>
        <v>Apr</v>
      </c>
      <c r="N41" s="1" t="str">
        <f>TEXT(Table1[[#This Row],[Purchase_Date]],"DD")</f>
        <v>22</v>
      </c>
      <c r="O41" s="2" t="s">
        <v>22</v>
      </c>
      <c r="P41" s="3">
        <v>1</v>
      </c>
      <c r="Q41" s="2" t="s">
        <v>46</v>
      </c>
      <c r="R41" s="2" t="s">
        <v>24</v>
      </c>
      <c r="S41">
        <f>Table1[[#This Row],[Purchase_Amount]]*Table1[[#This Row],[Quantity]]</f>
        <v>684.92</v>
      </c>
      <c r="T41" t="str">
        <f>IF(Table1[[#This Row],[Age]]&lt;25,"&lt;25",IF(Table1[[#This Row],[Age]]&lt;=35,"25-35",IF(Table1[[#This Row],[Age]]&lt;=50,"36-50","50+")))</f>
        <v>50+</v>
      </c>
    </row>
    <row r="42" spans="1:20" x14ac:dyDescent="0.3">
      <c r="A42" s="2" t="s">
        <v>855</v>
      </c>
      <c r="B42" s="2" t="s">
        <v>54</v>
      </c>
      <c r="C42" s="3">
        <v>62</v>
      </c>
      <c r="D42" s="2" t="s">
        <v>17</v>
      </c>
      <c r="E42" s="2" t="s">
        <v>18</v>
      </c>
      <c r="F42" s="2" t="s">
        <v>19</v>
      </c>
      <c r="G42" t="s">
        <v>55</v>
      </c>
      <c r="H42" t="s">
        <v>853</v>
      </c>
      <c r="I42" s="4">
        <v>289.01</v>
      </c>
      <c r="J42" s="3">
        <v>2</v>
      </c>
      <c r="K42" s="1">
        <v>45437</v>
      </c>
      <c r="L42" s="1" t="str">
        <f>TEXT(Table1[[#This Row],[Purchase_Date]],"YYYY")</f>
        <v>2024</v>
      </c>
      <c r="M42" s="1" t="str">
        <f>TEXT(Table1[[#This Row],[Purchase_Date]],"MMM")</f>
        <v>May</v>
      </c>
      <c r="N42" s="1" t="str">
        <f>TEXT(Table1[[#This Row],[Purchase_Date]],"DD")</f>
        <v>25</v>
      </c>
      <c r="O42" s="2" t="s">
        <v>36</v>
      </c>
      <c r="P42" s="3">
        <v>6</v>
      </c>
      <c r="Q42" s="2" t="s">
        <v>23</v>
      </c>
      <c r="R42" s="2" t="s">
        <v>47</v>
      </c>
      <c r="S42">
        <f>Table1[[#This Row],[Purchase_Amount]]*Table1[[#This Row],[Quantity]]</f>
        <v>578.02</v>
      </c>
      <c r="T42" t="str">
        <f>IF(Table1[[#This Row],[Age]]&lt;25,"&lt;25",IF(Table1[[#This Row],[Age]]&lt;=35,"25-35",IF(Table1[[#This Row],[Age]]&lt;=50,"36-50","50+")))</f>
        <v>50+</v>
      </c>
    </row>
    <row r="43" spans="1:20" x14ac:dyDescent="0.3">
      <c r="A43" s="2" t="s">
        <v>928</v>
      </c>
      <c r="B43" s="2" t="s">
        <v>54</v>
      </c>
      <c r="C43" s="3">
        <v>62</v>
      </c>
      <c r="D43" s="2" t="s">
        <v>78</v>
      </c>
      <c r="E43" s="2" t="s">
        <v>33</v>
      </c>
      <c r="F43" s="2" t="s">
        <v>27</v>
      </c>
      <c r="G43" t="s">
        <v>55</v>
      </c>
      <c r="H43" t="s">
        <v>72</v>
      </c>
      <c r="I43" s="4">
        <v>607.21</v>
      </c>
      <c r="J43" s="3">
        <v>4</v>
      </c>
      <c r="K43" s="1">
        <v>45045</v>
      </c>
      <c r="L43" s="1" t="str">
        <f>TEXT(Table1[[#This Row],[Purchase_Date]],"YYYY")</f>
        <v>2023</v>
      </c>
      <c r="M43" s="1" t="str">
        <f>TEXT(Table1[[#This Row],[Purchase_Date]],"MMM")</f>
        <v>Apr</v>
      </c>
      <c r="N43" s="1" t="str">
        <f>TEXT(Table1[[#This Row],[Purchase_Date]],"DD")</f>
        <v>29</v>
      </c>
      <c r="O43" s="2" t="s">
        <v>30</v>
      </c>
      <c r="P43" s="3">
        <v>3</v>
      </c>
      <c r="Q43" s="2" t="s">
        <v>23</v>
      </c>
      <c r="R43" s="2" t="s">
        <v>24</v>
      </c>
      <c r="S43">
        <f>Table1[[#This Row],[Purchase_Amount]]*Table1[[#This Row],[Quantity]]</f>
        <v>2428.84</v>
      </c>
      <c r="T43" t="str">
        <f>IF(Table1[[#This Row],[Age]]&lt;25,"&lt;25",IF(Table1[[#This Row],[Age]]&lt;=35,"25-35",IF(Table1[[#This Row],[Age]]&lt;=50,"36-50","50+")))</f>
        <v>50+</v>
      </c>
    </row>
    <row r="44" spans="1:20" x14ac:dyDescent="0.3">
      <c r="A44" s="2" t="s">
        <v>417</v>
      </c>
      <c r="B44" s="2" t="s">
        <v>54</v>
      </c>
      <c r="C44" s="3">
        <v>63</v>
      </c>
      <c r="D44" s="2" t="s">
        <v>43</v>
      </c>
      <c r="E44" s="2" t="s">
        <v>49</v>
      </c>
      <c r="F44" s="2" t="s">
        <v>19</v>
      </c>
      <c r="G44" t="s">
        <v>55</v>
      </c>
      <c r="H44" t="s">
        <v>418</v>
      </c>
      <c r="I44" s="4">
        <v>170.08</v>
      </c>
      <c r="J44" s="3">
        <v>4</v>
      </c>
      <c r="K44" s="1">
        <v>45093</v>
      </c>
      <c r="L44" s="1" t="str">
        <f>TEXT(Table1[[#This Row],[Purchase_Date]],"YYYY")</f>
        <v>2023</v>
      </c>
      <c r="M44" s="1" t="str">
        <f>TEXT(Table1[[#This Row],[Purchase_Date]],"MMM")</f>
        <v>Jun</v>
      </c>
      <c r="N44" s="1" t="str">
        <f>TEXT(Table1[[#This Row],[Purchase_Date]],"DD")</f>
        <v>16</v>
      </c>
      <c r="O44" s="2" t="s">
        <v>22</v>
      </c>
      <c r="P44" s="3">
        <v>9</v>
      </c>
      <c r="Q44" s="2" t="s">
        <v>23</v>
      </c>
      <c r="R44" s="2" t="s">
        <v>24</v>
      </c>
      <c r="S44">
        <f>Table1[[#This Row],[Purchase_Amount]]*Table1[[#This Row],[Quantity]]</f>
        <v>680.32</v>
      </c>
      <c r="T44" t="str">
        <f>IF(Table1[[#This Row],[Age]]&lt;25,"&lt;25",IF(Table1[[#This Row],[Age]]&lt;=35,"25-35",IF(Table1[[#This Row],[Age]]&lt;=50,"36-50","50+")))</f>
        <v>50+</v>
      </c>
    </row>
    <row r="45" spans="1:20" x14ac:dyDescent="0.3">
      <c r="A45" s="2" t="s">
        <v>1141</v>
      </c>
      <c r="B45" s="2" t="s">
        <v>54</v>
      </c>
      <c r="C45" s="3">
        <v>64</v>
      </c>
      <c r="D45" s="2" t="s">
        <v>38</v>
      </c>
      <c r="E45" s="2" t="s">
        <v>49</v>
      </c>
      <c r="F45" s="2" t="s">
        <v>27</v>
      </c>
      <c r="G45" t="s">
        <v>55</v>
      </c>
      <c r="H45" t="s">
        <v>465</v>
      </c>
      <c r="I45" s="4">
        <v>728.07</v>
      </c>
      <c r="J45" s="3">
        <v>5</v>
      </c>
      <c r="K45" s="1">
        <v>45356</v>
      </c>
      <c r="L45" s="1" t="str">
        <f>TEXT(Table1[[#This Row],[Purchase_Date]],"YYYY")</f>
        <v>2024</v>
      </c>
      <c r="M45" s="1" t="str">
        <f>TEXT(Table1[[#This Row],[Purchase_Date]],"MMM")</f>
        <v>Mar</v>
      </c>
      <c r="N45" s="1" t="str">
        <f>TEXT(Table1[[#This Row],[Purchase_Date]],"DD")</f>
        <v>05</v>
      </c>
      <c r="O45" s="2" t="s">
        <v>30</v>
      </c>
      <c r="P45" s="3">
        <v>3</v>
      </c>
      <c r="Q45" s="2" t="s">
        <v>23</v>
      </c>
      <c r="R45" s="2" t="s">
        <v>24</v>
      </c>
      <c r="S45">
        <f>Table1[[#This Row],[Purchase_Amount]]*Table1[[#This Row],[Quantity]]</f>
        <v>3640.3500000000004</v>
      </c>
      <c r="T45" t="str">
        <f>IF(Table1[[#This Row],[Age]]&lt;25,"&lt;25",IF(Table1[[#This Row],[Age]]&lt;=35,"25-35",IF(Table1[[#This Row],[Age]]&lt;=50,"36-50","50+")))</f>
        <v>50+</v>
      </c>
    </row>
    <row r="46" spans="1:20" x14ac:dyDescent="0.3">
      <c r="A46" s="2" t="s">
        <v>478</v>
      </c>
      <c r="B46" s="2" t="s">
        <v>54</v>
      </c>
      <c r="C46" s="3">
        <v>66</v>
      </c>
      <c r="D46" s="2" t="s">
        <v>60</v>
      </c>
      <c r="E46" s="2" t="s">
        <v>18</v>
      </c>
      <c r="F46" s="2" t="s">
        <v>27</v>
      </c>
      <c r="G46" t="s">
        <v>55</v>
      </c>
      <c r="H46" t="s">
        <v>479</v>
      </c>
      <c r="I46" s="4">
        <v>751.47</v>
      </c>
      <c r="J46" s="3">
        <v>5</v>
      </c>
      <c r="K46" s="1">
        <v>45514</v>
      </c>
      <c r="L46" s="1" t="str">
        <f>TEXT(Table1[[#This Row],[Purchase_Date]],"YYYY")</f>
        <v>2024</v>
      </c>
      <c r="M46" s="1" t="str">
        <f>TEXT(Table1[[#This Row],[Purchase_Date]],"MMM")</f>
        <v>Aug</v>
      </c>
      <c r="N46" s="1" t="str">
        <f>TEXT(Table1[[#This Row],[Purchase_Date]],"DD")</f>
        <v>10</v>
      </c>
      <c r="O46" s="2" t="s">
        <v>30</v>
      </c>
      <c r="P46" s="3">
        <v>3</v>
      </c>
      <c r="Q46" s="2" t="s">
        <v>23</v>
      </c>
      <c r="R46" s="2" t="s">
        <v>47</v>
      </c>
      <c r="S46">
        <f>Table1[[#This Row],[Purchase_Amount]]*Table1[[#This Row],[Quantity]]</f>
        <v>3757.3500000000004</v>
      </c>
      <c r="T46" t="str">
        <f>IF(Table1[[#This Row],[Age]]&lt;25,"&lt;25",IF(Table1[[#This Row],[Age]]&lt;=35,"25-35",IF(Table1[[#This Row],[Age]]&lt;=50,"36-50","50+")))</f>
        <v>50+</v>
      </c>
    </row>
    <row r="47" spans="1:20" x14ac:dyDescent="0.3">
      <c r="A47" s="2" t="s">
        <v>727</v>
      </c>
      <c r="B47" s="2" t="s">
        <v>54</v>
      </c>
      <c r="C47" s="3">
        <v>69</v>
      </c>
      <c r="D47" s="2" t="s">
        <v>43</v>
      </c>
      <c r="E47" s="2" t="s">
        <v>18</v>
      </c>
      <c r="F47" s="2" t="s">
        <v>27</v>
      </c>
      <c r="G47" t="s">
        <v>55</v>
      </c>
      <c r="H47" t="s">
        <v>728</v>
      </c>
      <c r="I47" s="4">
        <v>44.09</v>
      </c>
      <c r="J47" s="3">
        <v>1</v>
      </c>
      <c r="K47" s="1">
        <v>45054</v>
      </c>
      <c r="L47" s="1" t="str">
        <f>TEXT(Table1[[#This Row],[Purchase_Date]],"YYYY")</f>
        <v>2023</v>
      </c>
      <c r="M47" s="1" t="str">
        <f>TEXT(Table1[[#This Row],[Purchase_Date]],"MMM")</f>
        <v>May</v>
      </c>
      <c r="N47" s="1" t="str">
        <f>TEXT(Table1[[#This Row],[Purchase_Date]],"DD")</f>
        <v>08</v>
      </c>
      <c r="O47" s="2" t="s">
        <v>30</v>
      </c>
      <c r="P47" s="3">
        <v>4</v>
      </c>
      <c r="Q47" s="2" t="s">
        <v>23</v>
      </c>
      <c r="R47" s="2" t="s">
        <v>24</v>
      </c>
      <c r="S47">
        <f>Table1[[#This Row],[Purchase_Amount]]*Table1[[#This Row],[Quantity]]</f>
        <v>44.09</v>
      </c>
      <c r="T47" t="str">
        <f>IF(Table1[[#This Row],[Age]]&lt;25,"&lt;25",IF(Table1[[#This Row],[Age]]&lt;=35,"25-35",IF(Table1[[#This Row],[Age]]&lt;=50,"36-50","50+")))</f>
        <v>50+</v>
      </c>
    </row>
    <row r="48" spans="1:20" x14ac:dyDescent="0.3">
      <c r="A48" s="2" t="s">
        <v>463</v>
      </c>
      <c r="B48" s="2" t="s">
        <v>54</v>
      </c>
      <c r="C48" s="3">
        <v>69</v>
      </c>
      <c r="D48" s="2" t="s">
        <v>64</v>
      </c>
      <c r="E48" s="2" t="s">
        <v>33</v>
      </c>
      <c r="F48" s="2" t="s">
        <v>44</v>
      </c>
      <c r="G48" t="s">
        <v>55</v>
      </c>
      <c r="H48" t="s">
        <v>131</v>
      </c>
      <c r="I48" s="4">
        <v>369.62</v>
      </c>
      <c r="J48" s="3">
        <v>5</v>
      </c>
      <c r="K48" s="1">
        <v>45260</v>
      </c>
      <c r="L48" s="1" t="str">
        <f>TEXT(Table1[[#This Row],[Purchase_Date]],"YYYY")</f>
        <v>2023</v>
      </c>
      <c r="M48" s="1" t="str">
        <f>TEXT(Table1[[#This Row],[Purchase_Date]],"MMM")</f>
        <v>Nov</v>
      </c>
      <c r="N48" s="1" t="str">
        <f>TEXT(Table1[[#This Row],[Purchase_Date]],"DD")</f>
        <v>30</v>
      </c>
      <c r="O48" s="2" t="s">
        <v>30</v>
      </c>
      <c r="P48" s="3">
        <v>8</v>
      </c>
      <c r="Q48" s="2" t="s">
        <v>46</v>
      </c>
      <c r="R48" s="2" t="s">
        <v>24</v>
      </c>
      <c r="S48">
        <f>Table1[[#This Row],[Purchase_Amount]]*Table1[[#This Row],[Quantity]]</f>
        <v>1848.1</v>
      </c>
      <c r="T48" t="str">
        <f>IF(Table1[[#This Row],[Age]]&lt;25,"&lt;25",IF(Table1[[#This Row],[Age]]&lt;=35,"25-35",IF(Table1[[#This Row],[Age]]&lt;=50,"36-50","50+")))</f>
        <v>50+</v>
      </c>
    </row>
    <row r="49" spans="1:20" x14ac:dyDescent="0.3">
      <c r="A49" s="2" t="s">
        <v>1057</v>
      </c>
      <c r="B49" s="2" t="s">
        <v>54</v>
      </c>
      <c r="C49" s="3">
        <v>19</v>
      </c>
      <c r="D49" s="2" t="s">
        <v>17</v>
      </c>
      <c r="E49" s="2" t="s">
        <v>49</v>
      </c>
      <c r="F49" s="2" t="s">
        <v>27</v>
      </c>
      <c r="G49" t="s">
        <v>61</v>
      </c>
      <c r="H49" t="s">
        <v>520</v>
      </c>
      <c r="I49" s="4">
        <v>695.99</v>
      </c>
      <c r="J49" s="3">
        <v>1</v>
      </c>
      <c r="K49" s="1">
        <v>45554</v>
      </c>
      <c r="L49" s="1" t="str">
        <f>TEXT(Table1[[#This Row],[Purchase_Date]],"YYYY")</f>
        <v>2024</v>
      </c>
      <c r="M49" s="1" t="str">
        <f>TEXT(Table1[[#This Row],[Purchase_Date]],"MMM")</f>
        <v>Sep</v>
      </c>
      <c r="N49" s="1" t="str">
        <f>TEXT(Table1[[#This Row],[Purchase_Date]],"DD")</f>
        <v>19</v>
      </c>
      <c r="O49" s="2" t="s">
        <v>22</v>
      </c>
      <c r="P49" s="3">
        <v>4</v>
      </c>
      <c r="Q49" s="2" t="s">
        <v>23</v>
      </c>
      <c r="R49" s="2" t="s">
        <v>24</v>
      </c>
      <c r="S49">
        <f>Table1[[#This Row],[Purchase_Amount]]*Table1[[#This Row],[Quantity]]</f>
        <v>695.99</v>
      </c>
      <c r="T49" t="str">
        <f>IF(Table1[[#This Row],[Age]]&lt;25,"&lt;25",IF(Table1[[#This Row],[Age]]&lt;=35,"25-35",IF(Table1[[#This Row],[Age]]&lt;=50,"36-50","50+")))</f>
        <v>&lt;25</v>
      </c>
    </row>
    <row r="50" spans="1:20" x14ac:dyDescent="0.3">
      <c r="A50" s="2" t="s">
        <v>1187</v>
      </c>
      <c r="B50" s="2" t="s">
        <v>54</v>
      </c>
      <c r="C50" s="3">
        <v>20</v>
      </c>
      <c r="D50" s="2" t="s">
        <v>32</v>
      </c>
      <c r="E50" s="2" t="s">
        <v>33</v>
      </c>
      <c r="F50" s="2" t="s">
        <v>19</v>
      </c>
      <c r="G50" t="s">
        <v>61</v>
      </c>
      <c r="H50" t="s">
        <v>215</v>
      </c>
      <c r="I50" s="4">
        <v>252.21</v>
      </c>
      <c r="J50" s="3">
        <v>2</v>
      </c>
      <c r="K50" s="1">
        <v>45551</v>
      </c>
      <c r="L50" s="1" t="str">
        <f>TEXT(Table1[[#This Row],[Purchase_Date]],"YYYY")</f>
        <v>2024</v>
      </c>
      <c r="M50" s="1" t="str">
        <f>TEXT(Table1[[#This Row],[Purchase_Date]],"MMM")</f>
        <v>Sep</v>
      </c>
      <c r="N50" s="1" t="str">
        <f>TEXT(Table1[[#This Row],[Purchase_Date]],"DD")</f>
        <v>16</v>
      </c>
      <c r="O50" s="2" t="s">
        <v>22</v>
      </c>
      <c r="P50" s="3">
        <v>3</v>
      </c>
      <c r="Q50" s="2" t="s">
        <v>23</v>
      </c>
      <c r="R50" s="2" t="s">
        <v>47</v>
      </c>
      <c r="S50">
        <f>Table1[[#This Row],[Purchase_Amount]]*Table1[[#This Row],[Quantity]]</f>
        <v>504.42</v>
      </c>
      <c r="T50" t="str">
        <f>IF(Table1[[#This Row],[Age]]&lt;25,"&lt;25",IF(Table1[[#This Row],[Age]]&lt;=35,"25-35",IF(Table1[[#This Row],[Age]]&lt;=50,"36-50","50+")))</f>
        <v>&lt;25</v>
      </c>
    </row>
    <row r="51" spans="1:20" x14ac:dyDescent="0.3">
      <c r="A51" s="2" t="s">
        <v>137</v>
      </c>
      <c r="B51" s="2" t="s">
        <v>54</v>
      </c>
      <c r="C51" s="3">
        <v>20</v>
      </c>
      <c r="D51" s="2" t="s">
        <v>38</v>
      </c>
      <c r="E51" s="2" t="s">
        <v>33</v>
      </c>
      <c r="F51" s="2" t="s">
        <v>19</v>
      </c>
      <c r="G51" t="s">
        <v>61</v>
      </c>
      <c r="H51" t="s">
        <v>138</v>
      </c>
      <c r="I51" s="4">
        <v>351.57</v>
      </c>
      <c r="J51" s="3">
        <v>2</v>
      </c>
      <c r="K51" s="1">
        <v>45483</v>
      </c>
      <c r="L51" s="1" t="str">
        <f>TEXT(Table1[[#This Row],[Purchase_Date]],"YYYY")</f>
        <v>2024</v>
      </c>
      <c r="M51" s="1" t="str">
        <f>TEXT(Table1[[#This Row],[Purchase_Date]],"MMM")</f>
        <v>Jul</v>
      </c>
      <c r="N51" s="1" t="str">
        <f>TEXT(Table1[[#This Row],[Purchase_Date]],"DD")</f>
        <v>10</v>
      </c>
      <c r="O51" s="2" t="s">
        <v>30</v>
      </c>
      <c r="P51" s="3">
        <v>9</v>
      </c>
      <c r="Q51" s="2" t="s">
        <v>23</v>
      </c>
      <c r="R51" s="2" t="s">
        <v>47</v>
      </c>
      <c r="S51">
        <f>Table1[[#This Row],[Purchase_Amount]]*Table1[[#This Row],[Quantity]]</f>
        <v>703.14</v>
      </c>
      <c r="T51" t="str">
        <f>IF(Table1[[#This Row],[Age]]&lt;25,"&lt;25",IF(Table1[[#This Row],[Age]]&lt;=35,"25-35",IF(Table1[[#This Row],[Age]]&lt;=50,"36-50","50+")))</f>
        <v>&lt;25</v>
      </c>
    </row>
    <row r="52" spans="1:20" x14ac:dyDescent="0.3">
      <c r="A52" s="2" t="s">
        <v>660</v>
      </c>
      <c r="B52" s="2" t="s">
        <v>54</v>
      </c>
      <c r="C52" s="3">
        <v>23</v>
      </c>
      <c r="D52" s="2" t="s">
        <v>60</v>
      </c>
      <c r="E52" s="2" t="s">
        <v>33</v>
      </c>
      <c r="F52" s="2" t="s">
        <v>27</v>
      </c>
      <c r="G52" t="s">
        <v>61</v>
      </c>
      <c r="H52" t="s">
        <v>237</v>
      </c>
      <c r="I52" s="4">
        <v>604.78</v>
      </c>
      <c r="J52" s="3">
        <v>5</v>
      </c>
      <c r="K52" s="1">
        <v>45439</v>
      </c>
      <c r="L52" s="1" t="str">
        <f>TEXT(Table1[[#This Row],[Purchase_Date]],"YYYY")</f>
        <v>2024</v>
      </c>
      <c r="M52" s="1" t="str">
        <f>TEXT(Table1[[#This Row],[Purchase_Date]],"MMM")</f>
        <v>May</v>
      </c>
      <c r="N52" s="1" t="str">
        <f>TEXT(Table1[[#This Row],[Purchase_Date]],"DD")</f>
        <v>27</v>
      </c>
      <c r="O52" s="2" t="s">
        <v>36</v>
      </c>
      <c r="P52" s="3">
        <v>9</v>
      </c>
      <c r="Q52" s="2" t="s">
        <v>23</v>
      </c>
      <c r="R52" s="2" t="s">
        <v>24</v>
      </c>
      <c r="S52">
        <f>Table1[[#This Row],[Purchase_Amount]]*Table1[[#This Row],[Quantity]]</f>
        <v>3023.8999999999996</v>
      </c>
      <c r="T52" t="str">
        <f>IF(Table1[[#This Row],[Age]]&lt;25,"&lt;25",IF(Table1[[#This Row],[Age]]&lt;=35,"25-35",IF(Table1[[#This Row],[Age]]&lt;=50,"36-50","50+")))</f>
        <v>&lt;25</v>
      </c>
    </row>
    <row r="53" spans="1:20" x14ac:dyDescent="0.3">
      <c r="A53" s="2" t="s">
        <v>1072</v>
      </c>
      <c r="B53" s="2" t="s">
        <v>54</v>
      </c>
      <c r="C53" s="3">
        <v>23</v>
      </c>
      <c r="D53" s="2" t="s">
        <v>32</v>
      </c>
      <c r="E53" s="2" t="s">
        <v>33</v>
      </c>
      <c r="F53" s="2" t="s">
        <v>19</v>
      </c>
      <c r="G53" t="s">
        <v>61</v>
      </c>
      <c r="H53" t="s">
        <v>276</v>
      </c>
      <c r="I53" s="4">
        <v>635.41</v>
      </c>
      <c r="J53" s="3">
        <v>3</v>
      </c>
      <c r="K53" s="1">
        <v>45353</v>
      </c>
      <c r="L53" s="1" t="str">
        <f>TEXT(Table1[[#This Row],[Purchase_Date]],"YYYY")</f>
        <v>2024</v>
      </c>
      <c r="M53" s="1" t="str">
        <f>TEXT(Table1[[#This Row],[Purchase_Date]],"MMM")</f>
        <v>Mar</v>
      </c>
      <c r="N53" s="1" t="str">
        <f>TEXT(Table1[[#This Row],[Purchase_Date]],"DD")</f>
        <v>02</v>
      </c>
      <c r="O53" s="2" t="s">
        <v>36</v>
      </c>
      <c r="P53" s="3">
        <v>9</v>
      </c>
      <c r="Q53" s="2" t="s">
        <v>23</v>
      </c>
      <c r="R53" s="2" t="s">
        <v>47</v>
      </c>
      <c r="S53">
        <f>Table1[[#This Row],[Purchase_Amount]]*Table1[[#This Row],[Quantity]]</f>
        <v>1906.23</v>
      </c>
      <c r="T53" t="str">
        <f>IF(Table1[[#This Row],[Age]]&lt;25,"&lt;25",IF(Table1[[#This Row],[Age]]&lt;=35,"25-35",IF(Table1[[#This Row],[Age]]&lt;=50,"36-50","50+")))</f>
        <v>&lt;25</v>
      </c>
    </row>
    <row r="54" spans="1:20" x14ac:dyDescent="0.3">
      <c r="A54" s="2" t="s">
        <v>336</v>
      </c>
      <c r="B54" s="2" t="s">
        <v>54</v>
      </c>
      <c r="C54" s="3">
        <v>25</v>
      </c>
      <c r="D54" s="2" t="s">
        <v>78</v>
      </c>
      <c r="E54" s="2" t="s">
        <v>33</v>
      </c>
      <c r="F54" s="2" t="s">
        <v>44</v>
      </c>
      <c r="G54" t="s">
        <v>61</v>
      </c>
      <c r="H54" t="s">
        <v>296</v>
      </c>
      <c r="I54" s="4">
        <v>52.67</v>
      </c>
      <c r="J54" s="3">
        <v>5</v>
      </c>
      <c r="K54" s="1">
        <v>45491</v>
      </c>
      <c r="L54" s="1" t="str">
        <f>TEXT(Table1[[#This Row],[Purchase_Date]],"YYYY")</f>
        <v>2024</v>
      </c>
      <c r="M54" s="1" t="str">
        <f>TEXT(Table1[[#This Row],[Purchase_Date]],"MMM")</f>
        <v>Jul</v>
      </c>
      <c r="N54" s="1" t="str">
        <f>TEXT(Table1[[#This Row],[Purchase_Date]],"DD")</f>
        <v>18</v>
      </c>
      <c r="O54" s="2" t="s">
        <v>41</v>
      </c>
      <c r="P54" s="3">
        <v>10</v>
      </c>
      <c r="Q54" s="2" t="s">
        <v>46</v>
      </c>
      <c r="R54" s="2" t="s">
        <v>24</v>
      </c>
      <c r="S54">
        <f>Table1[[#This Row],[Purchase_Amount]]*Table1[[#This Row],[Quantity]]</f>
        <v>263.35000000000002</v>
      </c>
      <c r="T54" t="str">
        <f>IF(Table1[[#This Row],[Age]]&lt;25,"&lt;25",IF(Table1[[#This Row],[Age]]&lt;=35,"25-35",IF(Table1[[#This Row],[Age]]&lt;=50,"36-50","50+")))</f>
        <v>25-35</v>
      </c>
    </row>
    <row r="55" spans="1:20" x14ac:dyDescent="0.3">
      <c r="A55" s="2" t="s">
        <v>647</v>
      </c>
      <c r="B55" s="2" t="s">
        <v>54</v>
      </c>
      <c r="C55" s="3">
        <v>26</v>
      </c>
      <c r="D55" s="2" t="s">
        <v>32</v>
      </c>
      <c r="E55" s="2" t="s">
        <v>49</v>
      </c>
      <c r="F55" s="2" t="s">
        <v>19</v>
      </c>
      <c r="G55" t="s">
        <v>61</v>
      </c>
      <c r="H55" t="s">
        <v>592</v>
      </c>
      <c r="I55" s="4">
        <v>454.59</v>
      </c>
      <c r="J55" s="3">
        <v>4</v>
      </c>
      <c r="K55" s="1">
        <v>45039</v>
      </c>
      <c r="L55" s="1" t="str">
        <f>TEXT(Table1[[#This Row],[Purchase_Date]],"YYYY")</f>
        <v>2023</v>
      </c>
      <c r="M55" s="1" t="str">
        <f>TEXT(Table1[[#This Row],[Purchase_Date]],"MMM")</f>
        <v>Apr</v>
      </c>
      <c r="N55" s="1" t="str">
        <f>TEXT(Table1[[#This Row],[Purchase_Date]],"DD")</f>
        <v>23</v>
      </c>
      <c r="O55" s="2" t="s">
        <v>30</v>
      </c>
      <c r="P55" s="3">
        <v>7</v>
      </c>
      <c r="Q55" s="2" t="s">
        <v>46</v>
      </c>
      <c r="R55" s="2" t="s">
        <v>24</v>
      </c>
      <c r="S55">
        <f>Table1[[#This Row],[Purchase_Amount]]*Table1[[#This Row],[Quantity]]</f>
        <v>1818.36</v>
      </c>
      <c r="T55" t="str">
        <f>IF(Table1[[#This Row],[Age]]&lt;25,"&lt;25",IF(Table1[[#This Row],[Age]]&lt;=35,"25-35",IF(Table1[[#This Row],[Age]]&lt;=50,"36-50","50+")))</f>
        <v>25-35</v>
      </c>
    </row>
    <row r="56" spans="1:20" x14ac:dyDescent="0.3">
      <c r="A56" s="2" t="s">
        <v>739</v>
      </c>
      <c r="B56" s="2" t="s">
        <v>54</v>
      </c>
      <c r="C56" s="3">
        <v>26</v>
      </c>
      <c r="D56" s="2" t="s">
        <v>32</v>
      </c>
      <c r="E56" s="2" t="s">
        <v>49</v>
      </c>
      <c r="F56" s="2" t="s">
        <v>27</v>
      </c>
      <c r="G56" t="s">
        <v>61</v>
      </c>
      <c r="H56" t="s">
        <v>21</v>
      </c>
      <c r="I56" s="4">
        <v>936.04</v>
      </c>
      <c r="J56" s="3">
        <v>1</v>
      </c>
      <c r="K56" s="1">
        <v>45469</v>
      </c>
      <c r="L56" s="1" t="str">
        <f>TEXT(Table1[[#This Row],[Purchase_Date]],"YYYY")</f>
        <v>2024</v>
      </c>
      <c r="M56" s="1" t="str">
        <f>TEXT(Table1[[#This Row],[Purchase_Date]],"MMM")</f>
        <v>Jun</v>
      </c>
      <c r="N56" s="1" t="str">
        <f>TEXT(Table1[[#This Row],[Purchase_Date]],"DD")</f>
        <v>26</v>
      </c>
      <c r="O56" s="2" t="s">
        <v>36</v>
      </c>
      <c r="P56" s="3">
        <v>2</v>
      </c>
      <c r="Q56" s="2" t="s">
        <v>46</v>
      </c>
      <c r="R56" s="2" t="s">
        <v>47</v>
      </c>
      <c r="S56">
        <f>Table1[[#This Row],[Purchase_Amount]]*Table1[[#This Row],[Quantity]]</f>
        <v>936.04</v>
      </c>
      <c r="T56" t="str">
        <f>IF(Table1[[#This Row],[Age]]&lt;25,"&lt;25",IF(Table1[[#This Row],[Age]]&lt;=35,"25-35",IF(Table1[[#This Row],[Age]]&lt;=50,"36-50","50+")))</f>
        <v>25-35</v>
      </c>
    </row>
    <row r="57" spans="1:20" x14ac:dyDescent="0.3">
      <c r="A57" s="2" t="s">
        <v>769</v>
      </c>
      <c r="B57" s="2" t="s">
        <v>54</v>
      </c>
      <c r="C57" s="3">
        <v>27</v>
      </c>
      <c r="D57" s="2" t="s">
        <v>78</v>
      </c>
      <c r="E57" s="2" t="s">
        <v>33</v>
      </c>
      <c r="F57" s="2" t="s">
        <v>44</v>
      </c>
      <c r="G57" t="s">
        <v>61</v>
      </c>
      <c r="H57" t="s">
        <v>149</v>
      </c>
      <c r="I57" s="4">
        <v>188.85</v>
      </c>
      <c r="J57" s="3">
        <v>5</v>
      </c>
      <c r="K57" s="1">
        <v>45140</v>
      </c>
      <c r="L57" s="1" t="str">
        <f>TEXT(Table1[[#This Row],[Purchase_Date]],"YYYY")</f>
        <v>2023</v>
      </c>
      <c r="M57" s="1" t="str">
        <f>TEXT(Table1[[#This Row],[Purchase_Date]],"MMM")</f>
        <v>Aug</v>
      </c>
      <c r="N57" s="1" t="str">
        <f>TEXT(Table1[[#This Row],[Purchase_Date]],"DD")</f>
        <v>02</v>
      </c>
      <c r="O57" s="2" t="s">
        <v>36</v>
      </c>
      <c r="P57" s="3">
        <v>1</v>
      </c>
      <c r="Q57" s="2" t="s">
        <v>46</v>
      </c>
      <c r="R57" s="2" t="s">
        <v>24</v>
      </c>
      <c r="S57">
        <f>Table1[[#This Row],[Purchase_Amount]]*Table1[[#This Row],[Quantity]]</f>
        <v>944.25</v>
      </c>
      <c r="T57" t="str">
        <f>IF(Table1[[#This Row],[Age]]&lt;25,"&lt;25",IF(Table1[[#This Row],[Age]]&lt;=35,"25-35",IF(Table1[[#This Row],[Age]]&lt;=50,"36-50","50+")))</f>
        <v>25-35</v>
      </c>
    </row>
    <row r="58" spans="1:20" x14ac:dyDescent="0.3">
      <c r="A58" s="2" t="s">
        <v>983</v>
      </c>
      <c r="B58" s="2" t="s">
        <v>54</v>
      </c>
      <c r="C58" s="3">
        <v>28</v>
      </c>
      <c r="D58" s="2" t="s">
        <v>32</v>
      </c>
      <c r="E58" s="2" t="s">
        <v>49</v>
      </c>
      <c r="F58" s="2" t="s">
        <v>44</v>
      </c>
      <c r="G58" t="s">
        <v>61</v>
      </c>
      <c r="H58" t="s">
        <v>479</v>
      </c>
      <c r="I58" s="4">
        <v>61.14</v>
      </c>
      <c r="J58" s="3">
        <v>1</v>
      </c>
      <c r="K58" s="1">
        <v>45501</v>
      </c>
      <c r="L58" s="1" t="str">
        <f>TEXT(Table1[[#This Row],[Purchase_Date]],"YYYY")</f>
        <v>2024</v>
      </c>
      <c r="M58" s="1" t="str">
        <f>TEXT(Table1[[#This Row],[Purchase_Date]],"MMM")</f>
        <v>Jul</v>
      </c>
      <c r="N58" s="1" t="str">
        <f>TEXT(Table1[[#This Row],[Purchase_Date]],"DD")</f>
        <v>28</v>
      </c>
      <c r="O58" s="2" t="s">
        <v>36</v>
      </c>
      <c r="P58" s="3">
        <v>9</v>
      </c>
      <c r="Q58" s="2" t="s">
        <v>46</v>
      </c>
      <c r="R58" s="2" t="s">
        <v>24</v>
      </c>
      <c r="S58">
        <f>Table1[[#This Row],[Purchase_Amount]]*Table1[[#This Row],[Quantity]]</f>
        <v>61.14</v>
      </c>
      <c r="T58" t="str">
        <f>IF(Table1[[#This Row],[Age]]&lt;25,"&lt;25",IF(Table1[[#This Row],[Age]]&lt;=35,"25-35",IF(Table1[[#This Row],[Age]]&lt;=50,"36-50","50+")))</f>
        <v>25-35</v>
      </c>
    </row>
    <row r="59" spans="1:20" x14ac:dyDescent="0.3">
      <c r="A59" s="2" t="s">
        <v>707</v>
      </c>
      <c r="B59" s="2" t="s">
        <v>54</v>
      </c>
      <c r="C59" s="3">
        <v>28</v>
      </c>
      <c r="D59" s="2" t="s">
        <v>64</v>
      </c>
      <c r="E59" s="2" t="s">
        <v>18</v>
      </c>
      <c r="F59" s="2" t="s">
        <v>27</v>
      </c>
      <c r="G59" t="s">
        <v>61</v>
      </c>
      <c r="H59" t="s">
        <v>333</v>
      </c>
      <c r="I59" s="4">
        <v>679.63</v>
      </c>
      <c r="J59" s="3">
        <v>2</v>
      </c>
      <c r="K59" s="1">
        <v>45299</v>
      </c>
      <c r="L59" s="1" t="str">
        <f>TEXT(Table1[[#This Row],[Purchase_Date]],"YYYY")</f>
        <v>2024</v>
      </c>
      <c r="M59" s="1" t="str">
        <f>TEXT(Table1[[#This Row],[Purchase_Date]],"MMM")</f>
        <v>Jan</v>
      </c>
      <c r="N59" s="1" t="str">
        <f>TEXT(Table1[[#This Row],[Purchase_Date]],"DD")</f>
        <v>08</v>
      </c>
      <c r="O59" s="2" t="s">
        <v>41</v>
      </c>
      <c r="P59" s="3">
        <v>8</v>
      </c>
      <c r="Q59" s="2" t="s">
        <v>46</v>
      </c>
      <c r="R59" s="2" t="s">
        <v>24</v>
      </c>
      <c r="S59">
        <f>Table1[[#This Row],[Purchase_Amount]]*Table1[[#This Row],[Quantity]]</f>
        <v>1359.26</v>
      </c>
      <c r="T59" t="str">
        <f>IF(Table1[[#This Row],[Age]]&lt;25,"&lt;25",IF(Table1[[#This Row],[Age]]&lt;=35,"25-35",IF(Table1[[#This Row],[Age]]&lt;=50,"36-50","50+")))</f>
        <v>25-35</v>
      </c>
    </row>
    <row r="60" spans="1:20" x14ac:dyDescent="0.3">
      <c r="A60" s="2" t="s">
        <v>379</v>
      </c>
      <c r="B60" s="2" t="s">
        <v>54</v>
      </c>
      <c r="C60" s="3">
        <v>29</v>
      </c>
      <c r="D60" s="2" t="s">
        <v>32</v>
      </c>
      <c r="E60" s="2" t="s">
        <v>33</v>
      </c>
      <c r="F60" s="2" t="s">
        <v>44</v>
      </c>
      <c r="G60" t="s">
        <v>61</v>
      </c>
      <c r="H60" t="s">
        <v>380</v>
      </c>
      <c r="I60" s="4">
        <v>245.11</v>
      </c>
      <c r="J60" s="3">
        <v>2</v>
      </c>
      <c r="K60" s="1">
        <v>45125</v>
      </c>
      <c r="L60" s="1" t="str">
        <f>TEXT(Table1[[#This Row],[Purchase_Date]],"YYYY")</f>
        <v>2023</v>
      </c>
      <c r="M60" s="1" t="str">
        <f>TEXT(Table1[[#This Row],[Purchase_Date]],"MMM")</f>
        <v>Jul</v>
      </c>
      <c r="N60" s="1" t="str">
        <f>TEXT(Table1[[#This Row],[Purchase_Date]],"DD")</f>
        <v>18</v>
      </c>
      <c r="O60" s="2" t="s">
        <v>36</v>
      </c>
      <c r="P60" s="3">
        <v>8</v>
      </c>
      <c r="Q60" s="2" t="s">
        <v>23</v>
      </c>
      <c r="R60" s="2" t="s">
        <v>24</v>
      </c>
      <c r="S60">
        <f>Table1[[#This Row],[Purchase_Amount]]*Table1[[#This Row],[Quantity]]</f>
        <v>490.22</v>
      </c>
      <c r="T60" t="str">
        <f>IF(Table1[[#This Row],[Age]]&lt;25,"&lt;25",IF(Table1[[#This Row],[Age]]&lt;=35,"25-35",IF(Table1[[#This Row],[Age]]&lt;=50,"36-50","50+")))</f>
        <v>25-35</v>
      </c>
    </row>
    <row r="61" spans="1:20" x14ac:dyDescent="0.3">
      <c r="A61" s="2" t="s">
        <v>498</v>
      </c>
      <c r="B61" s="2" t="s">
        <v>54</v>
      </c>
      <c r="C61" s="3">
        <v>30</v>
      </c>
      <c r="D61" s="2" t="s">
        <v>78</v>
      </c>
      <c r="E61" s="2" t="s">
        <v>18</v>
      </c>
      <c r="F61" s="2" t="s">
        <v>27</v>
      </c>
      <c r="G61" t="s">
        <v>61</v>
      </c>
      <c r="H61" t="s">
        <v>467</v>
      </c>
      <c r="I61" s="4">
        <v>432.83</v>
      </c>
      <c r="J61" s="3">
        <v>4</v>
      </c>
      <c r="K61" s="1">
        <v>45571</v>
      </c>
      <c r="L61" s="1" t="str">
        <f>TEXT(Table1[[#This Row],[Purchase_Date]],"YYYY")</f>
        <v>2024</v>
      </c>
      <c r="M61" s="1" t="str">
        <f>TEXT(Table1[[#This Row],[Purchase_Date]],"MMM")</f>
        <v>Oct</v>
      </c>
      <c r="N61" s="1" t="str">
        <f>TEXT(Table1[[#This Row],[Purchase_Date]],"DD")</f>
        <v>06</v>
      </c>
      <c r="O61" s="2" t="s">
        <v>41</v>
      </c>
      <c r="P61" s="3">
        <v>7</v>
      </c>
      <c r="Q61" s="2" t="s">
        <v>46</v>
      </c>
      <c r="R61" s="2" t="s">
        <v>47</v>
      </c>
      <c r="S61">
        <f>Table1[[#This Row],[Purchase_Amount]]*Table1[[#This Row],[Quantity]]</f>
        <v>1731.32</v>
      </c>
      <c r="T61" t="str">
        <f>IF(Table1[[#This Row],[Age]]&lt;25,"&lt;25",IF(Table1[[#This Row],[Age]]&lt;=35,"25-35",IF(Table1[[#This Row],[Age]]&lt;=50,"36-50","50+")))</f>
        <v>25-35</v>
      </c>
    </row>
    <row r="62" spans="1:20" x14ac:dyDescent="0.3">
      <c r="A62" s="2" t="s">
        <v>636</v>
      </c>
      <c r="B62" s="2" t="s">
        <v>54</v>
      </c>
      <c r="C62" s="3">
        <v>34</v>
      </c>
      <c r="D62" s="2" t="s">
        <v>43</v>
      </c>
      <c r="E62" s="2" t="s">
        <v>33</v>
      </c>
      <c r="F62" s="2" t="s">
        <v>27</v>
      </c>
      <c r="G62" t="s">
        <v>61</v>
      </c>
      <c r="H62" t="s">
        <v>147</v>
      </c>
      <c r="I62" s="4">
        <v>128.02000000000001</v>
      </c>
      <c r="J62" s="3">
        <v>2</v>
      </c>
      <c r="K62" s="1">
        <v>45150</v>
      </c>
      <c r="L62" s="1" t="str">
        <f>TEXT(Table1[[#This Row],[Purchase_Date]],"YYYY")</f>
        <v>2023</v>
      </c>
      <c r="M62" s="1" t="str">
        <f>TEXT(Table1[[#This Row],[Purchase_Date]],"MMM")</f>
        <v>Aug</v>
      </c>
      <c r="N62" s="1" t="str">
        <f>TEXT(Table1[[#This Row],[Purchase_Date]],"DD")</f>
        <v>12</v>
      </c>
      <c r="O62" s="2" t="s">
        <v>41</v>
      </c>
      <c r="P62" s="3">
        <v>4</v>
      </c>
      <c r="Q62" s="2" t="s">
        <v>46</v>
      </c>
      <c r="R62" s="2" t="s">
        <v>24</v>
      </c>
      <c r="S62">
        <f>Table1[[#This Row],[Purchase_Amount]]*Table1[[#This Row],[Quantity]]</f>
        <v>256.04000000000002</v>
      </c>
      <c r="T62" t="str">
        <f>IF(Table1[[#This Row],[Age]]&lt;25,"&lt;25",IF(Table1[[#This Row],[Age]]&lt;=35,"25-35",IF(Table1[[#This Row],[Age]]&lt;=50,"36-50","50+")))</f>
        <v>25-35</v>
      </c>
    </row>
    <row r="63" spans="1:20" x14ac:dyDescent="0.3">
      <c r="A63" s="2" t="s">
        <v>596</v>
      </c>
      <c r="B63" s="2" t="s">
        <v>54</v>
      </c>
      <c r="C63" s="3">
        <v>38</v>
      </c>
      <c r="D63" s="2" t="s">
        <v>32</v>
      </c>
      <c r="E63" s="2" t="s">
        <v>33</v>
      </c>
      <c r="F63" s="2" t="s">
        <v>27</v>
      </c>
      <c r="G63" t="s">
        <v>61</v>
      </c>
      <c r="H63" t="s">
        <v>85</v>
      </c>
      <c r="I63" s="4">
        <v>193.92</v>
      </c>
      <c r="J63" s="3">
        <v>1</v>
      </c>
      <c r="K63" s="1">
        <v>45442</v>
      </c>
      <c r="L63" s="1" t="str">
        <f>TEXT(Table1[[#This Row],[Purchase_Date]],"YYYY")</f>
        <v>2024</v>
      </c>
      <c r="M63" s="1" t="str">
        <f>TEXT(Table1[[#This Row],[Purchase_Date]],"MMM")</f>
        <v>May</v>
      </c>
      <c r="N63" s="1" t="str">
        <f>TEXT(Table1[[#This Row],[Purchase_Date]],"DD")</f>
        <v>30</v>
      </c>
      <c r="O63" s="2" t="s">
        <v>22</v>
      </c>
      <c r="P63" s="3">
        <v>1</v>
      </c>
      <c r="Q63" s="2" t="s">
        <v>46</v>
      </c>
      <c r="R63" s="2" t="s">
        <v>24</v>
      </c>
      <c r="S63">
        <f>Table1[[#This Row],[Purchase_Amount]]*Table1[[#This Row],[Quantity]]</f>
        <v>193.92</v>
      </c>
      <c r="T63" t="str">
        <f>IF(Table1[[#This Row],[Age]]&lt;25,"&lt;25",IF(Table1[[#This Row],[Age]]&lt;=35,"25-35",IF(Table1[[#This Row],[Age]]&lt;=50,"36-50","50+")))</f>
        <v>36-50</v>
      </c>
    </row>
    <row r="64" spans="1:20" x14ac:dyDescent="0.3">
      <c r="A64" s="2" t="s">
        <v>678</v>
      </c>
      <c r="B64" s="2" t="s">
        <v>54</v>
      </c>
      <c r="C64" s="3">
        <v>38</v>
      </c>
      <c r="D64" s="2" t="s">
        <v>64</v>
      </c>
      <c r="E64" s="2" t="s">
        <v>49</v>
      </c>
      <c r="F64" s="2" t="s">
        <v>19</v>
      </c>
      <c r="G64" t="s">
        <v>61</v>
      </c>
      <c r="H64" t="s">
        <v>283</v>
      </c>
      <c r="I64" s="4">
        <v>349.84</v>
      </c>
      <c r="J64" s="3">
        <v>4</v>
      </c>
      <c r="K64" s="1">
        <v>45073</v>
      </c>
      <c r="L64" s="1" t="str">
        <f>TEXT(Table1[[#This Row],[Purchase_Date]],"YYYY")</f>
        <v>2023</v>
      </c>
      <c r="M64" s="1" t="str">
        <f>TEXT(Table1[[#This Row],[Purchase_Date]],"MMM")</f>
        <v>May</v>
      </c>
      <c r="N64" s="1" t="str">
        <f>TEXT(Table1[[#This Row],[Purchase_Date]],"DD")</f>
        <v>27</v>
      </c>
      <c r="O64" s="2" t="s">
        <v>22</v>
      </c>
      <c r="P64" s="3">
        <v>4</v>
      </c>
      <c r="Q64" s="2" t="s">
        <v>46</v>
      </c>
      <c r="R64" s="2" t="s">
        <v>24</v>
      </c>
      <c r="S64">
        <f>Table1[[#This Row],[Purchase_Amount]]*Table1[[#This Row],[Quantity]]</f>
        <v>1399.36</v>
      </c>
      <c r="T64" t="str">
        <f>IF(Table1[[#This Row],[Age]]&lt;25,"&lt;25",IF(Table1[[#This Row],[Age]]&lt;=35,"25-35",IF(Table1[[#This Row],[Age]]&lt;=50,"36-50","50+")))</f>
        <v>36-50</v>
      </c>
    </row>
    <row r="65" spans="1:20" x14ac:dyDescent="0.3">
      <c r="A65" s="2" t="s">
        <v>488</v>
      </c>
      <c r="B65" s="2" t="s">
        <v>54</v>
      </c>
      <c r="C65" s="3">
        <v>39</v>
      </c>
      <c r="D65" s="2" t="s">
        <v>43</v>
      </c>
      <c r="E65" s="2" t="s">
        <v>49</v>
      </c>
      <c r="F65" s="2" t="s">
        <v>27</v>
      </c>
      <c r="G65" t="s">
        <v>61</v>
      </c>
      <c r="H65" t="s">
        <v>380</v>
      </c>
      <c r="I65" s="4">
        <v>298.99</v>
      </c>
      <c r="J65" s="3">
        <v>2</v>
      </c>
      <c r="K65" s="1">
        <v>45259</v>
      </c>
      <c r="L65" s="1" t="str">
        <f>TEXT(Table1[[#This Row],[Purchase_Date]],"YYYY")</f>
        <v>2023</v>
      </c>
      <c r="M65" s="1" t="str">
        <f>TEXT(Table1[[#This Row],[Purchase_Date]],"MMM")</f>
        <v>Nov</v>
      </c>
      <c r="N65" s="1" t="str">
        <f>TEXT(Table1[[#This Row],[Purchase_Date]],"DD")</f>
        <v>29</v>
      </c>
      <c r="O65" s="2" t="s">
        <v>36</v>
      </c>
      <c r="P65" s="3">
        <v>7</v>
      </c>
      <c r="Q65" s="2" t="s">
        <v>46</v>
      </c>
      <c r="R65" s="2" t="s">
        <v>24</v>
      </c>
      <c r="S65">
        <f>Table1[[#This Row],[Purchase_Amount]]*Table1[[#This Row],[Quantity]]</f>
        <v>597.98</v>
      </c>
      <c r="T65" t="str">
        <f>IF(Table1[[#This Row],[Age]]&lt;25,"&lt;25",IF(Table1[[#This Row],[Age]]&lt;=35,"25-35",IF(Table1[[#This Row],[Age]]&lt;=50,"36-50","50+")))</f>
        <v>36-50</v>
      </c>
    </row>
    <row r="66" spans="1:20" x14ac:dyDescent="0.3">
      <c r="A66" s="2" t="s">
        <v>991</v>
      </c>
      <c r="B66" s="2" t="s">
        <v>54</v>
      </c>
      <c r="C66" s="3">
        <v>43</v>
      </c>
      <c r="D66" s="2" t="s">
        <v>109</v>
      </c>
      <c r="E66" s="2" t="s">
        <v>49</v>
      </c>
      <c r="F66" s="2" t="s">
        <v>44</v>
      </c>
      <c r="G66" t="s">
        <v>61</v>
      </c>
      <c r="H66" t="s">
        <v>351</v>
      </c>
      <c r="I66" s="4">
        <v>316.37</v>
      </c>
      <c r="J66" s="3">
        <v>3</v>
      </c>
      <c r="K66" s="1">
        <v>45313</v>
      </c>
      <c r="L66" s="1" t="str">
        <f>TEXT(Table1[[#This Row],[Purchase_Date]],"YYYY")</f>
        <v>2024</v>
      </c>
      <c r="M66" s="1" t="str">
        <f>TEXT(Table1[[#This Row],[Purchase_Date]],"MMM")</f>
        <v>Jan</v>
      </c>
      <c r="N66" s="1" t="str">
        <f>TEXT(Table1[[#This Row],[Purchase_Date]],"DD")</f>
        <v>22</v>
      </c>
      <c r="O66" s="2" t="s">
        <v>22</v>
      </c>
      <c r="P66" s="3">
        <v>7</v>
      </c>
      <c r="Q66" s="2" t="s">
        <v>46</v>
      </c>
      <c r="R66" s="2" t="s">
        <v>24</v>
      </c>
      <c r="S66">
        <f>Table1[[#This Row],[Purchase_Amount]]*Table1[[#This Row],[Quantity]]</f>
        <v>949.11</v>
      </c>
      <c r="T66" t="str">
        <f>IF(Table1[[#This Row],[Age]]&lt;25,"&lt;25",IF(Table1[[#This Row],[Age]]&lt;=35,"25-35",IF(Table1[[#This Row],[Age]]&lt;=50,"36-50","50+")))</f>
        <v>36-50</v>
      </c>
    </row>
    <row r="67" spans="1:20" x14ac:dyDescent="0.3">
      <c r="A67" s="2" t="s">
        <v>106</v>
      </c>
      <c r="B67" s="2" t="s">
        <v>54</v>
      </c>
      <c r="C67" s="3">
        <v>43</v>
      </c>
      <c r="D67" s="2" t="s">
        <v>17</v>
      </c>
      <c r="E67" s="2" t="s">
        <v>18</v>
      </c>
      <c r="F67" s="2" t="s">
        <v>44</v>
      </c>
      <c r="G67" t="s">
        <v>61</v>
      </c>
      <c r="H67" t="s">
        <v>107</v>
      </c>
      <c r="I67" s="4">
        <v>666.51</v>
      </c>
      <c r="J67" s="3">
        <v>3</v>
      </c>
      <c r="K67" s="1">
        <v>45234</v>
      </c>
      <c r="L67" s="1" t="str">
        <f>TEXT(Table1[[#This Row],[Purchase_Date]],"YYYY")</f>
        <v>2023</v>
      </c>
      <c r="M67" s="1" t="str">
        <f>TEXT(Table1[[#This Row],[Purchase_Date]],"MMM")</f>
        <v>Nov</v>
      </c>
      <c r="N67" s="1" t="str">
        <f>TEXT(Table1[[#This Row],[Purchase_Date]],"DD")</f>
        <v>04</v>
      </c>
      <c r="O67" s="2" t="s">
        <v>41</v>
      </c>
      <c r="P67" s="3">
        <v>6</v>
      </c>
      <c r="Q67" s="2" t="s">
        <v>46</v>
      </c>
      <c r="R67" s="2" t="s">
        <v>24</v>
      </c>
      <c r="S67">
        <f>Table1[[#This Row],[Purchase_Amount]]*Table1[[#This Row],[Quantity]]</f>
        <v>1999.53</v>
      </c>
      <c r="T67" t="str">
        <f>IF(Table1[[#This Row],[Age]]&lt;25,"&lt;25",IF(Table1[[#This Row],[Age]]&lt;=35,"25-35",IF(Table1[[#This Row],[Age]]&lt;=50,"36-50","50+")))</f>
        <v>36-50</v>
      </c>
    </row>
    <row r="68" spans="1:20" x14ac:dyDescent="0.3">
      <c r="A68" s="2" t="s">
        <v>1105</v>
      </c>
      <c r="B68" s="2" t="s">
        <v>54</v>
      </c>
      <c r="C68" s="3">
        <v>46</v>
      </c>
      <c r="D68" s="2" t="s">
        <v>32</v>
      </c>
      <c r="E68" s="2" t="s">
        <v>18</v>
      </c>
      <c r="F68" s="2" t="s">
        <v>44</v>
      </c>
      <c r="G68" t="s">
        <v>61</v>
      </c>
      <c r="H68" t="s">
        <v>302</v>
      </c>
      <c r="I68" s="4">
        <v>694.73</v>
      </c>
      <c r="J68" s="3">
        <v>3</v>
      </c>
      <c r="K68" s="1">
        <v>45142</v>
      </c>
      <c r="L68" s="1" t="str">
        <f>TEXT(Table1[[#This Row],[Purchase_Date]],"YYYY")</f>
        <v>2023</v>
      </c>
      <c r="M68" s="1" t="str">
        <f>TEXT(Table1[[#This Row],[Purchase_Date]],"MMM")</f>
        <v>Aug</v>
      </c>
      <c r="N68" s="1" t="str">
        <f>TEXT(Table1[[#This Row],[Purchase_Date]],"DD")</f>
        <v>04</v>
      </c>
      <c r="O68" s="2" t="s">
        <v>22</v>
      </c>
      <c r="P68" s="3">
        <v>2</v>
      </c>
      <c r="Q68" s="2" t="s">
        <v>23</v>
      </c>
      <c r="R68" s="2" t="s">
        <v>47</v>
      </c>
      <c r="S68">
        <f>Table1[[#This Row],[Purchase_Amount]]*Table1[[#This Row],[Quantity]]</f>
        <v>2084.19</v>
      </c>
      <c r="T68" t="str">
        <f>IF(Table1[[#This Row],[Age]]&lt;25,"&lt;25",IF(Table1[[#This Row],[Age]]&lt;=35,"25-35",IF(Table1[[#This Row],[Age]]&lt;=50,"36-50","50+")))</f>
        <v>36-50</v>
      </c>
    </row>
    <row r="69" spans="1:20" x14ac:dyDescent="0.3">
      <c r="A69" s="2" t="s">
        <v>632</v>
      </c>
      <c r="B69" s="2" t="s">
        <v>54</v>
      </c>
      <c r="C69" s="3">
        <v>47</v>
      </c>
      <c r="D69" s="2" t="s">
        <v>43</v>
      </c>
      <c r="E69" s="2" t="s">
        <v>18</v>
      </c>
      <c r="F69" s="2" t="s">
        <v>27</v>
      </c>
      <c r="G69" t="s">
        <v>61</v>
      </c>
      <c r="H69" t="s">
        <v>481</v>
      </c>
      <c r="I69" s="4">
        <v>509.86</v>
      </c>
      <c r="J69" s="3">
        <v>2</v>
      </c>
      <c r="K69" s="1">
        <v>45337</v>
      </c>
      <c r="L69" s="1" t="str">
        <f>TEXT(Table1[[#This Row],[Purchase_Date]],"YYYY")</f>
        <v>2024</v>
      </c>
      <c r="M69" s="1" t="str">
        <f>TEXT(Table1[[#This Row],[Purchase_Date]],"MMM")</f>
        <v>Feb</v>
      </c>
      <c r="N69" s="1" t="str">
        <f>TEXT(Table1[[#This Row],[Purchase_Date]],"DD")</f>
        <v>15</v>
      </c>
      <c r="O69" s="2" t="s">
        <v>30</v>
      </c>
      <c r="P69" s="3">
        <v>1</v>
      </c>
      <c r="Q69" s="2" t="s">
        <v>46</v>
      </c>
      <c r="R69" s="2" t="s">
        <v>24</v>
      </c>
      <c r="S69">
        <f>Table1[[#This Row],[Purchase_Amount]]*Table1[[#This Row],[Quantity]]</f>
        <v>1019.72</v>
      </c>
      <c r="T69" t="str">
        <f>IF(Table1[[#This Row],[Age]]&lt;25,"&lt;25",IF(Table1[[#This Row],[Age]]&lt;=35,"25-35",IF(Table1[[#This Row],[Age]]&lt;=50,"36-50","50+")))</f>
        <v>36-50</v>
      </c>
    </row>
    <row r="70" spans="1:20" x14ac:dyDescent="0.3">
      <c r="A70" s="2" t="s">
        <v>80</v>
      </c>
      <c r="B70" s="2" t="s">
        <v>54</v>
      </c>
      <c r="C70" s="3">
        <v>47</v>
      </c>
      <c r="D70" s="2" t="s">
        <v>32</v>
      </c>
      <c r="E70" s="2" t="s">
        <v>18</v>
      </c>
      <c r="F70" s="2" t="s">
        <v>44</v>
      </c>
      <c r="G70" t="s">
        <v>61</v>
      </c>
      <c r="H70" t="s">
        <v>81</v>
      </c>
      <c r="I70" s="4">
        <v>976.02</v>
      </c>
      <c r="J70" s="3">
        <v>3</v>
      </c>
      <c r="K70" s="1">
        <v>45412</v>
      </c>
      <c r="L70" s="1" t="str">
        <f>TEXT(Table1[[#This Row],[Purchase_Date]],"YYYY")</f>
        <v>2024</v>
      </c>
      <c r="M70" s="1" t="str">
        <f>TEXT(Table1[[#This Row],[Purchase_Date]],"MMM")</f>
        <v>Apr</v>
      </c>
      <c r="N70" s="1" t="str">
        <f>TEXT(Table1[[#This Row],[Purchase_Date]],"DD")</f>
        <v>30</v>
      </c>
      <c r="O70" s="2" t="s">
        <v>36</v>
      </c>
      <c r="P70" s="3">
        <v>8</v>
      </c>
      <c r="Q70" s="2" t="s">
        <v>23</v>
      </c>
      <c r="R70" s="2" t="s">
        <v>24</v>
      </c>
      <c r="S70">
        <f>Table1[[#This Row],[Purchase_Amount]]*Table1[[#This Row],[Quantity]]</f>
        <v>2928.06</v>
      </c>
      <c r="T70" t="str">
        <f>IF(Table1[[#This Row],[Age]]&lt;25,"&lt;25",IF(Table1[[#This Row],[Age]]&lt;=35,"25-35",IF(Table1[[#This Row],[Age]]&lt;=50,"36-50","50+")))</f>
        <v>36-50</v>
      </c>
    </row>
    <row r="71" spans="1:20" x14ac:dyDescent="0.3">
      <c r="A71" s="2" t="s">
        <v>778</v>
      </c>
      <c r="B71" s="2" t="s">
        <v>54</v>
      </c>
      <c r="C71" s="3">
        <v>48</v>
      </c>
      <c r="D71" s="2" t="s">
        <v>43</v>
      </c>
      <c r="E71" s="2" t="s">
        <v>18</v>
      </c>
      <c r="F71" s="2" t="s">
        <v>19</v>
      </c>
      <c r="G71" t="s">
        <v>61</v>
      </c>
      <c r="H71" t="s">
        <v>314</v>
      </c>
      <c r="I71" s="4">
        <v>744.95</v>
      </c>
      <c r="J71" s="3">
        <v>1</v>
      </c>
      <c r="K71" s="1">
        <v>45280</v>
      </c>
      <c r="L71" s="1" t="str">
        <f>TEXT(Table1[[#This Row],[Purchase_Date]],"YYYY")</f>
        <v>2023</v>
      </c>
      <c r="M71" s="1" t="str">
        <f>TEXT(Table1[[#This Row],[Purchase_Date]],"MMM")</f>
        <v>Dec</v>
      </c>
      <c r="N71" s="1" t="str">
        <f>TEXT(Table1[[#This Row],[Purchase_Date]],"DD")</f>
        <v>20</v>
      </c>
      <c r="O71" s="2" t="s">
        <v>36</v>
      </c>
      <c r="P71" s="3">
        <v>5</v>
      </c>
      <c r="Q71" s="2" t="s">
        <v>23</v>
      </c>
      <c r="R71" s="2" t="s">
        <v>24</v>
      </c>
      <c r="S71">
        <f>Table1[[#This Row],[Purchase_Amount]]*Table1[[#This Row],[Quantity]]</f>
        <v>744.95</v>
      </c>
      <c r="T71" t="str">
        <f>IF(Table1[[#This Row],[Age]]&lt;25,"&lt;25",IF(Table1[[#This Row],[Age]]&lt;=35,"25-35",IF(Table1[[#This Row],[Age]]&lt;=50,"36-50","50+")))</f>
        <v>36-50</v>
      </c>
    </row>
    <row r="72" spans="1:20" x14ac:dyDescent="0.3">
      <c r="A72" s="2" t="s">
        <v>955</v>
      </c>
      <c r="B72" s="2" t="s">
        <v>54</v>
      </c>
      <c r="C72" s="3">
        <v>49</v>
      </c>
      <c r="D72" s="2" t="s">
        <v>17</v>
      </c>
      <c r="E72" s="2" t="s">
        <v>49</v>
      </c>
      <c r="F72" s="2" t="s">
        <v>44</v>
      </c>
      <c r="G72" t="s">
        <v>61</v>
      </c>
      <c r="H72" t="s">
        <v>940</v>
      </c>
      <c r="I72" s="4">
        <v>451.06</v>
      </c>
      <c r="J72" s="3">
        <v>4</v>
      </c>
      <c r="K72" s="1">
        <v>45222</v>
      </c>
      <c r="L72" s="1" t="str">
        <f>TEXT(Table1[[#This Row],[Purchase_Date]],"YYYY")</f>
        <v>2023</v>
      </c>
      <c r="M72" s="1" t="str">
        <f>TEXT(Table1[[#This Row],[Purchase_Date]],"MMM")</f>
        <v>Oct</v>
      </c>
      <c r="N72" s="1" t="str">
        <f>TEXT(Table1[[#This Row],[Purchase_Date]],"DD")</f>
        <v>23</v>
      </c>
      <c r="O72" s="2" t="s">
        <v>22</v>
      </c>
      <c r="P72" s="3">
        <v>5</v>
      </c>
      <c r="Q72" s="2" t="s">
        <v>46</v>
      </c>
      <c r="R72" s="2" t="s">
        <v>47</v>
      </c>
      <c r="S72">
        <f>Table1[[#This Row],[Purchase_Amount]]*Table1[[#This Row],[Quantity]]</f>
        <v>1804.24</v>
      </c>
      <c r="T72" t="str">
        <f>IF(Table1[[#This Row],[Age]]&lt;25,"&lt;25",IF(Table1[[#This Row],[Age]]&lt;=35,"25-35",IF(Table1[[#This Row],[Age]]&lt;=50,"36-50","50+")))</f>
        <v>36-50</v>
      </c>
    </row>
    <row r="73" spans="1:20" x14ac:dyDescent="0.3">
      <c r="A73" s="2" t="s">
        <v>1088</v>
      </c>
      <c r="B73" s="2" t="s">
        <v>54</v>
      </c>
      <c r="C73" s="3">
        <v>49</v>
      </c>
      <c r="D73" s="2" t="s">
        <v>32</v>
      </c>
      <c r="E73" s="2" t="s">
        <v>33</v>
      </c>
      <c r="F73" s="2" t="s">
        <v>44</v>
      </c>
      <c r="G73" t="s">
        <v>61</v>
      </c>
      <c r="H73" t="s">
        <v>131</v>
      </c>
      <c r="I73" s="4">
        <v>778.12</v>
      </c>
      <c r="J73" s="3">
        <v>1</v>
      </c>
      <c r="K73" s="1">
        <v>45234</v>
      </c>
      <c r="L73" s="1" t="str">
        <f>TEXT(Table1[[#This Row],[Purchase_Date]],"YYYY")</f>
        <v>2023</v>
      </c>
      <c r="M73" s="1" t="str">
        <f>TEXT(Table1[[#This Row],[Purchase_Date]],"MMM")</f>
        <v>Nov</v>
      </c>
      <c r="N73" s="1" t="str">
        <f>TEXT(Table1[[#This Row],[Purchase_Date]],"DD")</f>
        <v>04</v>
      </c>
      <c r="O73" s="2" t="s">
        <v>22</v>
      </c>
      <c r="P73" s="3">
        <v>6</v>
      </c>
      <c r="Q73" s="2" t="s">
        <v>46</v>
      </c>
      <c r="R73" s="2" t="s">
        <v>24</v>
      </c>
      <c r="S73">
        <f>Table1[[#This Row],[Purchase_Amount]]*Table1[[#This Row],[Quantity]]</f>
        <v>778.12</v>
      </c>
      <c r="T73" t="str">
        <f>IF(Table1[[#This Row],[Age]]&lt;25,"&lt;25",IF(Table1[[#This Row],[Age]]&lt;=35,"25-35",IF(Table1[[#This Row],[Age]]&lt;=50,"36-50","50+")))</f>
        <v>36-50</v>
      </c>
    </row>
    <row r="74" spans="1:20" x14ac:dyDescent="0.3">
      <c r="A74" s="2" t="s">
        <v>721</v>
      </c>
      <c r="B74" s="2" t="s">
        <v>54</v>
      </c>
      <c r="C74" s="3">
        <v>50</v>
      </c>
      <c r="D74" s="2" t="s">
        <v>17</v>
      </c>
      <c r="E74" s="2" t="s">
        <v>33</v>
      </c>
      <c r="F74" s="2" t="s">
        <v>27</v>
      </c>
      <c r="G74" t="s">
        <v>61</v>
      </c>
      <c r="H74" t="s">
        <v>97</v>
      </c>
      <c r="I74" s="4">
        <v>139.05000000000001</v>
      </c>
      <c r="J74" s="3">
        <v>1</v>
      </c>
      <c r="K74" s="1">
        <v>45260</v>
      </c>
      <c r="L74" s="1" t="str">
        <f>TEXT(Table1[[#This Row],[Purchase_Date]],"YYYY")</f>
        <v>2023</v>
      </c>
      <c r="M74" s="1" t="str">
        <f>TEXT(Table1[[#This Row],[Purchase_Date]],"MMM")</f>
        <v>Nov</v>
      </c>
      <c r="N74" s="1" t="str">
        <f>TEXT(Table1[[#This Row],[Purchase_Date]],"DD")</f>
        <v>30</v>
      </c>
      <c r="O74" s="2" t="s">
        <v>36</v>
      </c>
      <c r="P74" s="3">
        <v>10</v>
      </c>
      <c r="Q74" s="2" t="s">
        <v>23</v>
      </c>
      <c r="R74" s="2" t="s">
        <v>47</v>
      </c>
      <c r="S74">
        <f>Table1[[#This Row],[Purchase_Amount]]*Table1[[#This Row],[Quantity]]</f>
        <v>139.05000000000001</v>
      </c>
      <c r="T74" t="str">
        <f>IF(Table1[[#This Row],[Age]]&lt;25,"&lt;25",IF(Table1[[#This Row],[Age]]&lt;=35,"25-35",IF(Table1[[#This Row],[Age]]&lt;=50,"36-50","50+")))</f>
        <v>36-50</v>
      </c>
    </row>
    <row r="75" spans="1:20" x14ac:dyDescent="0.3">
      <c r="A75" s="2" t="s">
        <v>975</v>
      </c>
      <c r="B75" s="2" t="s">
        <v>54</v>
      </c>
      <c r="C75" s="3">
        <v>51</v>
      </c>
      <c r="D75" s="2" t="s">
        <v>32</v>
      </c>
      <c r="E75" s="2" t="s">
        <v>18</v>
      </c>
      <c r="F75" s="2" t="s">
        <v>27</v>
      </c>
      <c r="G75" t="s">
        <v>61</v>
      </c>
      <c r="H75" t="s">
        <v>328</v>
      </c>
      <c r="I75" s="4">
        <v>896.6</v>
      </c>
      <c r="J75" s="3">
        <v>3</v>
      </c>
      <c r="K75" s="1">
        <v>45026</v>
      </c>
      <c r="L75" s="1" t="str">
        <f>TEXT(Table1[[#This Row],[Purchase_Date]],"YYYY")</f>
        <v>2023</v>
      </c>
      <c r="M75" s="1" t="str">
        <f>TEXT(Table1[[#This Row],[Purchase_Date]],"MMM")</f>
        <v>Apr</v>
      </c>
      <c r="N75" s="1" t="str">
        <f>TEXT(Table1[[#This Row],[Purchase_Date]],"DD")</f>
        <v>10</v>
      </c>
      <c r="O75" s="2" t="s">
        <v>22</v>
      </c>
      <c r="P75" s="3">
        <v>3</v>
      </c>
      <c r="Q75" s="2" t="s">
        <v>46</v>
      </c>
      <c r="R75" s="2" t="s">
        <v>24</v>
      </c>
      <c r="S75">
        <f>Table1[[#This Row],[Purchase_Amount]]*Table1[[#This Row],[Quantity]]</f>
        <v>2689.8</v>
      </c>
      <c r="T75" t="str">
        <f>IF(Table1[[#This Row],[Age]]&lt;25,"&lt;25",IF(Table1[[#This Row],[Age]]&lt;=35,"25-35",IF(Table1[[#This Row],[Age]]&lt;=50,"36-50","50+")))</f>
        <v>50+</v>
      </c>
    </row>
    <row r="76" spans="1:20" x14ac:dyDescent="0.3">
      <c r="A76" s="2" t="s">
        <v>945</v>
      </c>
      <c r="B76" s="2" t="s">
        <v>54</v>
      </c>
      <c r="C76" s="3">
        <v>52</v>
      </c>
      <c r="D76" s="2" t="s">
        <v>64</v>
      </c>
      <c r="E76" s="2" t="s">
        <v>18</v>
      </c>
      <c r="F76" s="2" t="s">
        <v>27</v>
      </c>
      <c r="G76" t="s">
        <v>61</v>
      </c>
      <c r="H76" t="s">
        <v>103</v>
      </c>
      <c r="I76" s="4">
        <v>580.72</v>
      </c>
      <c r="J76" s="3">
        <v>1</v>
      </c>
      <c r="K76" s="1">
        <v>45081</v>
      </c>
      <c r="L76" s="1" t="str">
        <f>TEXT(Table1[[#This Row],[Purchase_Date]],"YYYY")</f>
        <v>2023</v>
      </c>
      <c r="M76" s="1" t="str">
        <f>TEXT(Table1[[#This Row],[Purchase_Date]],"MMM")</f>
        <v>Jun</v>
      </c>
      <c r="N76" s="1" t="str">
        <f>TEXT(Table1[[#This Row],[Purchase_Date]],"DD")</f>
        <v>04</v>
      </c>
      <c r="O76" s="2" t="s">
        <v>22</v>
      </c>
      <c r="P76" s="3">
        <v>5</v>
      </c>
      <c r="Q76" s="2" t="s">
        <v>46</v>
      </c>
      <c r="R76" s="2" t="s">
        <v>24</v>
      </c>
      <c r="S76">
        <f>Table1[[#This Row],[Purchase_Amount]]*Table1[[#This Row],[Quantity]]</f>
        <v>580.72</v>
      </c>
      <c r="T76" t="str">
        <f>IF(Table1[[#This Row],[Age]]&lt;25,"&lt;25",IF(Table1[[#This Row],[Age]]&lt;=35,"25-35",IF(Table1[[#This Row],[Age]]&lt;=50,"36-50","50+")))</f>
        <v>50+</v>
      </c>
    </row>
    <row r="77" spans="1:20" x14ac:dyDescent="0.3">
      <c r="A77" s="2" t="s">
        <v>702</v>
      </c>
      <c r="B77" s="2" t="s">
        <v>54</v>
      </c>
      <c r="C77" s="3">
        <v>53</v>
      </c>
      <c r="D77" s="2" t="s">
        <v>60</v>
      </c>
      <c r="E77" s="2" t="s">
        <v>49</v>
      </c>
      <c r="F77" s="2" t="s">
        <v>19</v>
      </c>
      <c r="G77" t="s">
        <v>61</v>
      </c>
      <c r="H77" t="s">
        <v>467</v>
      </c>
      <c r="I77" s="4">
        <v>139.97999999999999</v>
      </c>
      <c r="J77" s="3">
        <v>4</v>
      </c>
      <c r="K77" s="1">
        <v>45326</v>
      </c>
      <c r="L77" s="1" t="str">
        <f>TEXT(Table1[[#This Row],[Purchase_Date]],"YYYY")</f>
        <v>2024</v>
      </c>
      <c r="M77" s="1" t="str">
        <f>TEXT(Table1[[#This Row],[Purchase_Date]],"MMM")</f>
        <v>Feb</v>
      </c>
      <c r="N77" s="1" t="str">
        <f>TEXT(Table1[[#This Row],[Purchase_Date]],"DD")</f>
        <v>04</v>
      </c>
      <c r="O77" s="2" t="s">
        <v>36</v>
      </c>
      <c r="P77" s="3">
        <v>1</v>
      </c>
      <c r="Q77" s="2" t="s">
        <v>23</v>
      </c>
      <c r="R77" s="2" t="s">
        <v>24</v>
      </c>
      <c r="S77">
        <f>Table1[[#This Row],[Purchase_Amount]]*Table1[[#This Row],[Quantity]]</f>
        <v>559.91999999999996</v>
      </c>
      <c r="T77" t="str">
        <f>IF(Table1[[#This Row],[Age]]&lt;25,"&lt;25",IF(Table1[[#This Row],[Age]]&lt;=35,"25-35",IF(Table1[[#This Row],[Age]]&lt;=50,"36-50","50+")))</f>
        <v>50+</v>
      </c>
    </row>
    <row r="78" spans="1:20" x14ac:dyDescent="0.3">
      <c r="A78" s="2" t="s">
        <v>1040</v>
      </c>
      <c r="B78" s="2" t="s">
        <v>54</v>
      </c>
      <c r="C78" s="3">
        <v>59</v>
      </c>
      <c r="D78" s="2" t="s">
        <v>38</v>
      </c>
      <c r="E78" s="2" t="s">
        <v>18</v>
      </c>
      <c r="F78" s="2" t="s">
        <v>27</v>
      </c>
      <c r="G78" t="s">
        <v>61</v>
      </c>
      <c r="H78" t="s">
        <v>74</v>
      </c>
      <c r="I78" s="4">
        <v>366.08</v>
      </c>
      <c r="J78" s="3">
        <v>4</v>
      </c>
      <c r="K78" s="1">
        <v>45050</v>
      </c>
      <c r="L78" s="1" t="str">
        <f>TEXT(Table1[[#This Row],[Purchase_Date]],"YYYY")</f>
        <v>2023</v>
      </c>
      <c r="M78" s="1" t="str">
        <f>TEXT(Table1[[#This Row],[Purchase_Date]],"MMM")</f>
        <v>May</v>
      </c>
      <c r="N78" s="1" t="str">
        <f>TEXT(Table1[[#This Row],[Purchase_Date]],"DD")</f>
        <v>04</v>
      </c>
      <c r="O78" s="2" t="s">
        <v>36</v>
      </c>
      <c r="P78" s="3">
        <v>3</v>
      </c>
      <c r="Q78" s="2" t="s">
        <v>23</v>
      </c>
      <c r="R78" s="2" t="s">
        <v>24</v>
      </c>
      <c r="S78">
        <f>Table1[[#This Row],[Purchase_Amount]]*Table1[[#This Row],[Quantity]]</f>
        <v>1464.32</v>
      </c>
      <c r="T78" t="str">
        <f>IF(Table1[[#This Row],[Age]]&lt;25,"&lt;25",IF(Table1[[#This Row],[Age]]&lt;=35,"25-35",IF(Table1[[#This Row],[Age]]&lt;=50,"36-50","50+")))</f>
        <v>50+</v>
      </c>
    </row>
    <row r="79" spans="1:20" x14ac:dyDescent="0.3">
      <c r="A79" s="2" t="s">
        <v>1026</v>
      </c>
      <c r="B79" s="2" t="s">
        <v>54</v>
      </c>
      <c r="C79" s="3">
        <v>60</v>
      </c>
      <c r="D79" s="2" t="s">
        <v>17</v>
      </c>
      <c r="E79" s="2" t="s">
        <v>49</v>
      </c>
      <c r="F79" s="2" t="s">
        <v>27</v>
      </c>
      <c r="G79" t="s">
        <v>61</v>
      </c>
      <c r="H79" t="s">
        <v>776</v>
      </c>
      <c r="I79" s="4">
        <v>225.28</v>
      </c>
      <c r="J79" s="3">
        <v>3</v>
      </c>
      <c r="K79" s="1">
        <v>45011</v>
      </c>
      <c r="L79" s="1" t="str">
        <f>TEXT(Table1[[#This Row],[Purchase_Date]],"YYYY")</f>
        <v>2023</v>
      </c>
      <c r="M79" s="1" t="str">
        <f>TEXT(Table1[[#This Row],[Purchase_Date]],"MMM")</f>
        <v>Mar</v>
      </c>
      <c r="N79" s="1" t="str">
        <f>TEXT(Table1[[#This Row],[Purchase_Date]],"DD")</f>
        <v>26</v>
      </c>
      <c r="O79" s="2" t="s">
        <v>41</v>
      </c>
      <c r="P79" s="3">
        <v>2</v>
      </c>
      <c r="Q79" s="2" t="s">
        <v>46</v>
      </c>
      <c r="R79" s="2" t="s">
        <v>47</v>
      </c>
      <c r="S79">
        <f>Table1[[#This Row],[Purchase_Amount]]*Table1[[#This Row],[Quantity]]</f>
        <v>675.84</v>
      </c>
      <c r="T79" t="str">
        <f>IF(Table1[[#This Row],[Age]]&lt;25,"&lt;25",IF(Table1[[#This Row],[Age]]&lt;=35,"25-35",IF(Table1[[#This Row],[Age]]&lt;=50,"36-50","50+")))</f>
        <v>50+</v>
      </c>
    </row>
    <row r="80" spans="1:20" x14ac:dyDescent="0.3">
      <c r="A80" s="2" t="s">
        <v>327</v>
      </c>
      <c r="B80" s="2" t="s">
        <v>54</v>
      </c>
      <c r="C80" s="3">
        <v>62</v>
      </c>
      <c r="D80" s="2" t="s">
        <v>32</v>
      </c>
      <c r="E80" s="2" t="s">
        <v>49</v>
      </c>
      <c r="F80" s="2" t="s">
        <v>27</v>
      </c>
      <c r="G80" t="s">
        <v>61</v>
      </c>
      <c r="H80" t="s">
        <v>328</v>
      </c>
      <c r="I80" s="4">
        <v>49.41</v>
      </c>
      <c r="J80" s="3">
        <v>5</v>
      </c>
      <c r="K80" s="1">
        <v>45309</v>
      </c>
      <c r="L80" s="1" t="str">
        <f>TEXT(Table1[[#This Row],[Purchase_Date]],"YYYY")</f>
        <v>2024</v>
      </c>
      <c r="M80" s="1" t="str">
        <f>TEXT(Table1[[#This Row],[Purchase_Date]],"MMM")</f>
        <v>Jan</v>
      </c>
      <c r="N80" s="1" t="str">
        <f>TEXT(Table1[[#This Row],[Purchase_Date]],"DD")</f>
        <v>18</v>
      </c>
      <c r="O80" s="2" t="s">
        <v>36</v>
      </c>
      <c r="P80" s="3">
        <v>4</v>
      </c>
      <c r="Q80" s="2" t="s">
        <v>46</v>
      </c>
      <c r="R80" s="2" t="s">
        <v>47</v>
      </c>
      <c r="S80">
        <f>Table1[[#This Row],[Purchase_Amount]]*Table1[[#This Row],[Quantity]]</f>
        <v>247.04999999999998</v>
      </c>
      <c r="T80" t="str">
        <f>IF(Table1[[#This Row],[Age]]&lt;25,"&lt;25",IF(Table1[[#This Row],[Age]]&lt;=35,"25-35",IF(Table1[[#This Row],[Age]]&lt;=50,"36-50","50+")))</f>
        <v>50+</v>
      </c>
    </row>
    <row r="81" spans="1:20" x14ac:dyDescent="0.3">
      <c r="A81" s="2" t="s">
        <v>890</v>
      </c>
      <c r="B81" s="2" t="s">
        <v>54</v>
      </c>
      <c r="C81" s="3">
        <v>62</v>
      </c>
      <c r="D81" s="2" t="s">
        <v>17</v>
      </c>
      <c r="E81" s="2" t="s">
        <v>33</v>
      </c>
      <c r="F81" s="2" t="s">
        <v>44</v>
      </c>
      <c r="G81" t="s">
        <v>61</v>
      </c>
      <c r="H81" t="s">
        <v>298</v>
      </c>
      <c r="I81" s="4">
        <v>64.42</v>
      </c>
      <c r="J81" s="3">
        <v>3</v>
      </c>
      <c r="K81" s="1">
        <v>45271</v>
      </c>
      <c r="L81" s="1" t="str">
        <f>TEXT(Table1[[#This Row],[Purchase_Date]],"YYYY")</f>
        <v>2023</v>
      </c>
      <c r="M81" s="1" t="str">
        <f>TEXT(Table1[[#This Row],[Purchase_Date]],"MMM")</f>
        <v>Dec</v>
      </c>
      <c r="N81" s="1" t="str">
        <f>TEXT(Table1[[#This Row],[Purchase_Date]],"DD")</f>
        <v>11</v>
      </c>
      <c r="O81" s="2" t="s">
        <v>36</v>
      </c>
      <c r="P81" s="3">
        <v>7</v>
      </c>
      <c r="Q81" s="2" t="s">
        <v>46</v>
      </c>
      <c r="R81" s="2" t="s">
        <v>24</v>
      </c>
      <c r="S81">
        <f>Table1[[#This Row],[Purchase_Amount]]*Table1[[#This Row],[Quantity]]</f>
        <v>193.26</v>
      </c>
      <c r="T81" t="str">
        <f>IF(Table1[[#This Row],[Age]]&lt;25,"&lt;25",IF(Table1[[#This Row],[Age]]&lt;=35,"25-35",IF(Table1[[#This Row],[Age]]&lt;=50,"36-50","50+")))</f>
        <v>50+</v>
      </c>
    </row>
    <row r="82" spans="1:20" x14ac:dyDescent="0.3">
      <c r="A82" s="2" t="s">
        <v>655</v>
      </c>
      <c r="B82" s="2" t="s">
        <v>54</v>
      </c>
      <c r="C82" s="3">
        <v>62</v>
      </c>
      <c r="D82" s="2" t="s">
        <v>17</v>
      </c>
      <c r="E82" s="2" t="s">
        <v>33</v>
      </c>
      <c r="F82" s="2" t="s">
        <v>27</v>
      </c>
      <c r="G82" t="s">
        <v>61</v>
      </c>
      <c r="H82" t="s">
        <v>369</v>
      </c>
      <c r="I82" s="4">
        <v>108.5</v>
      </c>
      <c r="J82" s="3">
        <v>1</v>
      </c>
      <c r="K82" s="1">
        <v>45339</v>
      </c>
      <c r="L82" s="1" t="str">
        <f>TEXT(Table1[[#This Row],[Purchase_Date]],"YYYY")</f>
        <v>2024</v>
      </c>
      <c r="M82" s="1" t="str">
        <f>TEXT(Table1[[#This Row],[Purchase_Date]],"MMM")</f>
        <v>Feb</v>
      </c>
      <c r="N82" s="1" t="str">
        <f>TEXT(Table1[[#This Row],[Purchase_Date]],"DD")</f>
        <v>17</v>
      </c>
      <c r="O82" s="2" t="s">
        <v>22</v>
      </c>
      <c r="P82" s="3">
        <v>8</v>
      </c>
      <c r="Q82" s="2" t="s">
        <v>46</v>
      </c>
      <c r="R82" s="2" t="s">
        <v>47</v>
      </c>
      <c r="S82">
        <f>Table1[[#This Row],[Purchase_Amount]]*Table1[[#This Row],[Quantity]]</f>
        <v>108.5</v>
      </c>
      <c r="T82" t="str">
        <f>IF(Table1[[#This Row],[Age]]&lt;25,"&lt;25",IF(Table1[[#This Row],[Age]]&lt;=35,"25-35",IF(Table1[[#This Row],[Age]]&lt;=50,"36-50","50+")))</f>
        <v>50+</v>
      </c>
    </row>
    <row r="83" spans="1:20" x14ac:dyDescent="0.3">
      <c r="A83" s="2" t="s">
        <v>323</v>
      </c>
      <c r="B83" s="2" t="s">
        <v>54</v>
      </c>
      <c r="C83" s="3">
        <v>64</v>
      </c>
      <c r="D83" s="2" t="s">
        <v>43</v>
      </c>
      <c r="E83" s="2" t="s">
        <v>33</v>
      </c>
      <c r="F83" s="2" t="s">
        <v>19</v>
      </c>
      <c r="G83" t="s">
        <v>61</v>
      </c>
      <c r="H83" t="s">
        <v>324</v>
      </c>
      <c r="I83" s="4">
        <v>383.59</v>
      </c>
      <c r="J83" s="3">
        <v>4</v>
      </c>
      <c r="K83" s="1">
        <v>45279</v>
      </c>
      <c r="L83" s="1" t="str">
        <f>TEXT(Table1[[#This Row],[Purchase_Date]],"YYYY")</f>
        <v>2023</v>
      </c>
      <c r="M83" s="1" t="str">
        <f>TEXT(Table1[[#This Row],[Purchase_Date]],"MMM")</f>
        <v>Dec</v>
      </c>
      <c r="N83" s="1" t="str">
        <f>TEXT(Table1[[#This Row],[Purchase_Date]],"DD")</f>
        <v>19</v>
      </c>
      <c r="O83" s="2" t="s">
        <v>30</v>
      </c>
      <c r="P83" s="3">
        <v>10</v>
      </c>
      <c r="Q83" s="2" t="s">
        <v>46</v>
      </c>
      <c r="R83" s="2" t="s">
        <v>24</v>
      </c>
      <c r="S83">
        <f>Table1[[#This Row],[Purchase_Amount]]*Table1[[#This Row],[Quantity]]</f>
        <v>1534.36</v>
      </c>
      <c r="T83" t="str">
        <f>IF(Table1[[#This Row],[Age]]&lt;25,"&lt;25",IF(Table1[[#This Row],[Age]]&lt;=35,"25-35",IF(Table1[[#This Row],[Age]]&lt;=50,"36-50","50+")))</f>
        <v>50+</v>
      </c>
    </row>
    <row r="84" spans="1:20" x14ac:dyDescent="0.3">
      <c r="A84" s="2" t="s">
        <v>523</v>
      </c>
      <c r="B84" s="2" t="s">
        <v>54</v>
      </c>
      <c r="C84" s="3">
        <v>64</v>
      </c>
      <c r="D84" s="2" t="s">
        <v>60</v>
      </c>
      <c r="E84" s="2" t="s">
        <v>18</v>
      </c>
      <c r="F84" s="2" t="s">
        <v>44</v>
      </c>
      <c r="G84" t="s">
        <v>61</v>
      </c>
      <c r="H84" t="s">
        <v>191</v>
      </c>
      <c r="I84" s="4">
        <v>733.94</v>
      </c>
      <c r="J84" s="3">
        <v>2</v>
      </c>
      <c r="K84" s="1">
        <v>45304</v>
      </c>
      <c r="L84" s="1" t="str">
        <f>TEXT(Table1[[#This Row],[Purchase_Date]],"YYYY")</f>
        <v>2024</v>
      </c>
      <c r="M84" s="1" t="str">
        <f>TEXT(Table1[[#This Row],[Purchase_Date]],"MMM")</f>
        <v>Jan</v>
      </c>
      <c r="N84" s="1" t="str">
        <f>TEXT(Table1[[#This Row],[Purchase_Date]],"DD")</f>
        <v>13</v>
      </c>
      <c r="O84" s="2" t="s">
        <v>22</v>
      </c>
      <c r="P84" s="3">
        <v>7</v>
      </c>
      <c r="Q84" s="2" t="s">
        <v>23</v>
      </c>
      <c r="R84" s="2" t="s">
        <v>47</v>
      </c>
      <c r="S84">
        <f>Table1[[#This Row],[Purchase_Amount]]*Table1[[#This Row],[Quantity]]</f>
        <v>1467.88</v>
      </c>
      <c r="T84" t="str">
        <f>IF(Table1[[#This Row],[Age]]&lt;25,"&lt;25",IF(Table1[[#This Row],[Age]]&lt;=35,"25-35",IF(Table1[[#This Row],[Age]]&lt;=50,"36-50","50+")))</f>
        <v>50+</v>
      </c>
    </row>
    <row r="85" spans="1:20" x14ac:dyDescent="0.3">
      <c r="A85" s="2" t="s">
        <v>588</v>
      </c>
      <c r="B85" s="2" t="s">
        <v>54</v>
      </c>
      <c r="C85" s="3">
        <v>65</v>
      </c>
      <c r="D85" s="2" t="s">
        <v>43</v>
      </c>
      <c r="E85" s="2" t="s">
        <v>18</v>
      </c>
      <c r="F85" s="2" t="s">
        <v>27</v>
      </c>
      <c r="G85" t="s">
        <v>61</v>
      </c>
      <c r="H85" t="s">
        <v>93</v>
      </c>
      <c r="I85" s="4">
        <v>606.44000000000005</v>
      </c>
      <c r="J85" s="3">
        <v>5</v>
      </c>
      <c r="K85" s="1">
        <v>45316</v>
      </c>
      <c r="L85" s="1" t="str">
        <f>TEXT(Table1[[#This Row],[Purchase_Date]],"YYYY")</f>
        <v>2024</v>
      </c>
      <c r="M85" s="1" t="str">
        <f>TEXT(Table1[[#This Row],[Purchase_Date]],"MMM")</f>
        <v>Jan</v>
      </c>
      <c r="N85" s="1" t="str">
        <f>TEXT(Table1[[#This Row],[Purchase_Date]],"DD")</f>
        <v>25</v>
      </c>
      <c r="O85" s="2" t="s">
        <v>41</v>
      </c>
      <c r="P85" s="3">
        <v>10</v>
      </c>
      <c r="Q85" s="2" t="s">
        <v>23</v>
      </c>
      <c r="R85" s="2" t="s">
        <v>24</v>
      </c>
      <c r="S85">
        <f>Table1[[#This Row],[Purchase_Amount]]*Table1[[#This Row],[Quantity]]</f>
        <v>3032.2000000000003</v>
      </c>
      <c r="T85" t="str">
        <f>IF(Table1[[#This Row],[Age]]&lt;25,"&lt;25",IF(Table1[[#This Row],[Age]]&lt;=35,"25-35",IF(Table1[[#This Row],[Age]]&lt;=50,"36-50","50+")))</f>
        <v>50+</v>
      </c>
    </row>
    <row r="86" spans="1:20" x14ac:dyDescent="0.3">
      <c r="A86" s="2" t="s">
        <v>604</v>
      </c>
      <c r="B86" s="2" t="s">
        <v>54</v>
      </c>
      <c r="C86" s="3">
        <v>19</v>
      </c>
      <c r="D86" s="2" t="s">
        <v>64</v>
      </c>
      <c r="E86" s="2" t="s">
        <v>49</v>
      </c>
      <c r="F86" s="2" t="s">
        <v>27</v>
      </c>
      <c r="G86" t="s">
        <v>28</v>
      </c>
      <c r="H86" t="s">
        <v>605</v>
      </c>
      <c r="I86" s="4">
        <v>353.53</v>
      </c>
      <c r="J86" s="3">
        <v>4</v>
      </c>
      <c r="K86" s="1">
        <v>44979</v>
      </c>
      <c r="L86" s="1" t="str">
        <f>TEXT(Table1[[#This Row],[Purchase_Date]],"YYYY")</f>
        <v>2023</v>
      </c>
      <c r="M86" s="1" t="str">
        <f>TEXT(Table1[[#This Row],[Purchase_Date]],"MMM")</f>
        <v>Feb</v>
      </c>
      <c r="N86" s="1" t="str">
        <f>TEXT(Table1[[#This Row],[Purchase_Date]],"DD")</f>
        <v>22</v>
      </c>
      <c r="O86" s="2" t="s">
        <v>36</v>
      </c>
      <c r="P86" s="3">
        <v>10</v>
      </c>
      <c r="Q86" s="2" t="s">
        <v>23</v>
      </c>
      <c r="R86" s="2" t="s">
        <v>47</v>
      </c>
      <c r="S86">
        <f>Table1[[#This Row],[Purchase_Amount]]*Table1[[#This Row],[Quantity]]</f>
        <v>1414.12</v>
      </c>
      <c r="T86" t="str">
        <f>IF(Table1[[#This Row],[Age]]&lt;25,"&lt;25",IF(Table1[[#This Row],[Age]]&lt;=35,"25-35",IF(Table1[[#This Row],[Age]]&lt;=50,"36-50","50+")))</f>
        <v>&lt;25</v>
      </c>
    </row>
    <row r="87" spans="1:20" x14ac:dyDescent="0.3">
      <c r="A87" s="2" t="s">
        <v>750</v>
      </c>
      <c r="B87" s="2" t="s">
        <v>54</v>
      </c>
      <c r="C87" s="3">
        <v>20</v>
      </c>
      <c r="D87" s="2" t="s">
        <v>17</v>
      </c>
      <c r="E87" s="2" t="s">
        <v>33</v>
      </c>
      <c r="F87" s="2" t="s">
        <v>19</v>
      </c>
      <c r="G87" t="s">
        <v>28</v>
      </c>
      <c r="H87" t="s">
        <v>160</v>
      </c>
      <c r="I87" s="4">
        <v>212.75</v>
      </c>
      <c r="J87" s="3">
        <v>4</v>
      </c>
      <c r="K87" s="1">
        <v>44943</v>
      </c>
      <c r="L87" s="1" t="str">
        <f>TEXT(Table1[[#This Row],[Purchase_Date]],"YYYY")</f>
        <v>2023</v>
      </c>
      <c r="M87" s="1" t="str">
        <f>TEXT(Table1[[#This Row],[Purchase_Date]],"MMM")</f>
        <v>Jan</v>
      </c>
      <c r="N87" s="1" t="str">
        <f>TEXT(Table1[[#This Row],[Purchase_Date]],"DD")</f>
        <v>17</v>
      </c>
      <c r="O87" s="2" t="s">
        <v>22</v>
      </c>
      <c r="P87" s="3">
        <v>1</v>
      </c>
      <c r="Q87" s="2" t="s">
        <v>23</v>
      </c>
      <c r="R87" s="2" t="s">
        <v>24</v>
      </c>
      <c r="S87">
        <f>Table1[[#This Row],[Purchase_Amount]]*Table1[[#This Row],[Quantity]]</f>
        <v>851</v>
      </c>
      <c r="T87" t="str">
        <f>IF(Table1[[#This Row],[Age]]&lt;25,"&lt;25",IF(Table1[[#This Row],[Age]]&lt;=35,"25-35",IF(Table1[[#This Row],[Age]]&lt;=50,"36-50","50+")))</f>
        <v>&lt;25</v>
      </c>
    </row>
    <row r="88" spans="1:20" x14ac:dyDescent="0.3">
      <c r="A88" s="2" t="s">
        <v>895</v>
      </c>
      <c r="B88" s="2" t="s">
        <v>54</v>
      </c>
      <c r="C88" s="3">
        <v>21</v>
      </c>
      <c r="D88" s="2" t="s">
        <v>17</v>
      </c>
      <c r="E88" s="2" t="s">
        <v>33</v>
      </c>
      <c r="F88" s="2" t="s">
        <v>44</v>
      </c>
      <c r="G88" t="s">
        <v>28</v>
      </c>
      <c r="H88" t="s">
        <v>896</v>
      </c>
      <c r="I88" s="4">
        <v>445.17</v>
      </c>
      <c r="J88" s="3">
        <v>2</v>
      </c>
      <c r="K88" s="1">
        <v>45022</v>
      </c>
      <c r="L88" s="1" t="str">
        <f>TEXT(Table1[[#This Row],[Purchase_Date]],"YYYY")</f>
        <v>2023</v>
      </c>
      <c r="M88" s="1" t="str">
        <f>TEXT(Table1[[#This Row],[Purchase_Date]],"MMM")</f>
        <v>Apr</v>
      </c>
      <c r="N88" s="1" t="str">
        <f>TEXT(Table1[[#This Row],[Purchase_Date]],"DD")</f>
        <v>06</v>
      </c>
      <c r="O88" s="2" t="s">
        <v>41</v>
      </c>
      <c r="P88" s="3">
        <v>8</v>
      </c>
      <c r="Q88" s="2" t="s">
        <v>23</v>
      </c>
      <c r="R88" s="2" t="s">
        <v>47</v>
      </c>
      <c r="S88">
        <f>Table1[[#This Row],[Purchase_Amount]]*Table1[[#This Row],[Quantity]]</f>
        <v>890.34</v>
      </c>
      <c r="T88" t="str">
        <f>IF(Table1[[#This Row],[Age]]&lt;25,"&lt;25",IF(Table1[[#This Row],[Age]]&lt;=35,"25-35",IF(Table1[[#This Row],[Age]]&lt;=50,"36-50","50+")))</f>
        <v>&lt;25</v>
      </c>
    </row>
    <row r="89" spans="1:20" x14ac:dyDescent="0.3">
      <c r="A89" s="2" t="s">
        <v>397</v>
      </c>
      <c r="B89" s="2" t="s">
        <v>54</v>
      </c>
      <c r="C89" s="3">
        <v>22</v>
      </c>
      <c r="D89" s="2" t="s">
        <v>32</v>
      </c>
      <c r="E89" s="2" t="s">
        <v>33</v>
      </c>
      <c r="F89" s="2" t="s">
        <v>44</v>
      </c>
      <c r="G89" t="s">
        <v>28</v>
      </c>
      <c r="H89" t="s">
        <v>129</v>
      </c>
      <c r="I89" s="4">
        <v>35.1</v>
      </c>
      <c r="J89" s="3">
        <v>1</v>
      </c>
      <c r="K89" s="1">
        <v>45117</v>
      </c>
      <c r="L89" s="1" t="str">
        <f>TEXT(Table1[[#This Row],[Purchase_Date]],"YYYY")</f>
        <v>2023</v>
      </c>
      <c r="M89" s="1" t="str">
        <f>TEXT(Table1[[#This Row],[Purchase_Date]],"MMM")</f>
        <v>Jul</v>
      </c>
      <c r="N89" s="1" t="str">
        <f>TEXT(Table1[[#This Row],[Purchase_Date]],"DD")</f>
        <v>10</v>
      </c>
      <c r="O89" s="2" t="s">
        <v>22</v>
      </c>
      <c r="P89" s="3">
        <v>4</v>
      </c>
      <c r="Q89" s="2" t="s">
        <v>23</v>
      </c>
      <c r="R89" s="2" t="s">
        <v>47</v>
      </c>
      <c r="S89">
        <f>Table1[[#This Row],[Purchase_Amount]]*Table1[[#This Row],[Quantity]]</f>
        <v>35.1</v>
      </c>
      <c r="T89" t="str">
        <f>IF(Table1[[#This Row],[Age]]&lt;25,"&lt;25",IF(Table1[[#This Row],[Age]]&lt;=35,"25-35",IF(Table1[[#This Row],[Age]]&lt;=50,"36-50","50+")))</f>
        <v>&lt;25</v>
      </c>
    </row>
    <row r="90" spans="1:20" x14ac:dyDescent="0.3">
      <c r="A90" s="2" t="s">
        <v>181</v>
      </c>
      <c r="B90" s="2" t="s">
        <v>54</v>
      </c>
      <c r="C90" s="3">
        <v>22</v>
      </c>
      <c r="D90" s="2" t="s">
        <v>78</v>
      </c>
      <c r="E90" s="2" t="s">
        <v>49</v>
      </c>
      <c r="F90" s="2" t="s">
        <v>27</v>
      </c>
      <c r="G90" t="s">
        <v>28</v>
      </c>
      <c r="H90" t="s">
        <v>134</v>
      </c>
      <c r="I90" s="4">
        <v>48.57</v>
      </c>
      <c r="J90" s="3">
        <v>4</v>
      </c>
      <c r="K90" s="1">
        <v>44989</v>
      </c>
      <c r="L90" s="1" t="str">
        <f>TEXT(Table1[[#This Row],[Purchase_Date]],"YYYY")</f>
        <v>2023</v>
      </c>
      <c r="M90" s="1" t="str">
        <f>TEXT(Table1[[#This Row],[Purchase_Date]],"MMM")</f>
        <v>Mar</v>
      </c>
      <c r="N90" s="1" t="str">
        <f>TEXT(Table1[[#This Row],[Purchase_Date]],"DD")</f>
        <v>04</v>
      </c>
      <c r="O90" s="2" t="s">
        <v>30</v>
      </c>
      <c r="P90" s="3">
        <v>8</v>
      </c>
      <c r="Q90" s="2" t="s">
        <v>46</v>
      </c>
      <c r="R90" s="2" t="s">
        <v>24</v>
      </c>
      <c r="S90">
        <f>Table1[[#This Row],[Purchase_Amount]]*Table1[[#This Row],[Quantity]]</f>
        <v>194.28</v>
      </c>
      <c r="T90" t="str">
        <f>IF(Table1[[#This Row],[Age]]&lt;25,"&lt;25",IF(Table1[[#This Row],[Age]]&lt;=35,"25-35",IF(Table1[[#This Row],[Age]]&lt;=50,"36-50","50+")))</f>
        <v>&lt;25</v>
      </c>
    </row>
    <row r="91" spans="1:20" x14ac:dyDescent="0.3">
      <c r="A91" s="2" t="s">
        <v>140</v>
      </c>
      <c r="B91" s="2" t="s">
        <v>54</v>
      </c>
      <c r="C91" s="3">
        <v>23</v>
      </c>
      <c r="D91" s="2" t="s">
        <v>38</v>
      </c>
      <c r="E91" s="2" t="s">
        <v>33</v>
      </c>
      <c r="F91" s="2" t="s">
        <v>19</v>
      </c>
      <c r="G91" t="s">
        <v>28</v>
      </c>
      <c r="H91" t="s">
        <v>141</v>
      </c>
      <c r="I91" s="4">
        <v>212.2</v>
      </c>
      <c r="J91" s="3">
        <v>4</v>
      </c>
      <c r="K91" s="1">
        <v>45206</v>
      </c>
      <c r="L91" s="1" t="str">
        <f>TEXT(Table1[[#This Row],[Purchase_Date]],"YYYY")</f>
        <v>2023</v>
      </c>
      <c r="M91" s="1" t="str">
        <f>TEXT(Table1[[#This Row],[Purchase_Date]],"MMM")</f>
        <v>Oct</v>
      </c>
      <c r="N91" s="1" t="str">
        <f>TEXT(Table1[[#This Row],[Purchase_Date]],"DD")</f>
        <v>07</v>
      </c>
      <c r="O91" s="2" t="s">
        <v>30</v>
      </c>
      <c r="P91" s="3">
        <v>3</v>
      </c>
      <c r="Q91" s="2" t="s">
        <v>23</v>
      </c>
      <c r="R91" s="2" t="s">
        <v>24</v>
      </c>
      <c r="S91">
        <f>Table1[[#This Row],[Purchase_Amount]]*Table1[[#This Row],[Quantity]]</f>
        <v>848.8</v>
      </c>
      <c r="T91" t="str">
        <f>IF(Table1[[#This Row],[Age]]&lt;25,"&lt;25",IF(Table1[[#This Row],[Age]]&lt;=35,"25-35",IF(Table1[[#This Row],[Age]]&lt;=50,"36-50","50+")))</f>
        <v>&lt;25</v>
      </c>
    </row>
    <row r="92" spans="1:20" x14ac:dyDescent="0.3">
      <c r="A92" s="2" t="s">
        <v>534</v>
      </c>
      <c r="B92" s="2" t="s">
        <v>54</v>
      </c>
      <c r="C92" s="3">
        <v>25</v>
      </c>
      <c r="D92" s="2" t="s">
        <v>32</v>
      </c>
      <c r="E92" s="2" t="s">
        <v>49</v>
      </c>
      <c r="F92" s="2" t="s">
        <v>19</v>
      </c>
      <c r="G92" t="s">
        <v>28</v>
      </c>
      <c r="H92" t="s">
        <v>249</v>
      </c>
      <c r="I92" s="4">
        <v>601.34</v>
      </c>
      <c r="J92" s="3">
        <v>1</v>
      </c>
      <c r="K92" s="1">
        <v>44991</v>
      </c>
      <c r="L92" s="1" t="str">
        <f>TEXT(Table1[[#This Row],[Purchase_Date]],"YYYY")</f>
        <v>2023</v>
      </c>
      <c r="M92" s="1" t="str">
        <f>TEXT(Table1[[#This Row],[Purchase_Date]],"MMM")</f>
        <v>Mar</v>
      </c>
      <c r="N92" s="1" t="str">
        <f>TEXT(Table1[[#This Row],[Purchase_Date]],"DD")</f>
        <v>06</v>
      </c>
      <c r="O92" s="2" t="s">
        <v>41</v>
      </c>
      <c r="P92" s="3">
        <v>1</v>
      </c>
      <c r="Q92" s="2" t="s">
        <v>23</v>
      </c>
      <c r="R92" s="2" t="s">
        <v>47</v>
      </c>
      <c r="S92">
        <f>Table1[[#This Row],[Purchase_Amount]]*Table1[[#This Row],[Quantity]]</f>
        <v>601.34</v>
      </c>
      <c r="T92" t="str">
        <f>IF(Table1[[#This Row],[Age]]&lt;25,"&lt;25",IF(Table1[[#This Row],[Age]]&lt;=35,"25-35",IF(Table1[[#This Row],[Age]]&lt;=50,"36-50","50+")))</f>
        <v>25-35</v>
      </c>
    </row>
    <row r="93" spans="1:20" x14ac:dyDescent="0.3">
      <c r="A93" s="2" t="s">
        <v>365</v>
      </c>
      <c r="B93" s="2" t="s">
        <v>54</v>
      </c>
      <c r="C93" s="3">
        <v>27</v>
      </c>
      <c r="D93" s="2" t="s">
        <v>43</v>
      </c>
      <c r="E93" s="2" t="s">
        <v>33</v>
      </c>
      <c r="F93" s="2" t="s">
        <v>27</v>
      </c>
      <c r="G93" t="s">
        <v>28</v>
      </c>
      <c r="H93" t="s">
        <v>366</v>
      </c>
      <c r="I93" s="4">
        <v>341.44</v>
      </c>
      <c r="J93" s="3">
        <v>5</v>
      </c>
      <c r="K93" s="1">
        <v>45249</v>
      </c>
      <c r="L93" s="1" t="str">
        <f>TEXT(Table1[[#This Row],[Purchase_Date]],"YYYY")</f>
        <v>2023</v>
      </c>
      <c r="M93" s="1" t="str">
        <f>TEXT(Table1[[#This Row],[Purchase_Date]],"MMM")</f>
        <v>Nov</v>
      </c>
      <c r="N93" s="1" t="str">
        <f>TEXT(Table1[[#This Row],[Purchase_Date]],"DD")</f>
        <v>19</v>
      </c>
      <c r="O93" s="2" t="s">
        <v>30</v>
      </c>
      <c r="P93" s="3">
        <v>10</v>
      </c>
      <c r="Q93" s="2" t="s">
        <v>23</v>
      </c>
      <c r="R93" s="2" t="s">
        <v>24</v>
      </c>
      <c r="S93">
        <f>Table1[[#This Row],[Purchase_Amount]]*Table1[[#This Row],[Quantity]]</f>
        <v>1707.2</v>
      </c>
      <c r="T93" t="str">
        <f>IF(Table1[[#This Row],[Age]]&lt;25,"&lt;25",IF(Table1[[#This Row],[Age]]&lt;=35,"25-35",IF(Table1[[#This Row],[Age]]&lt;=50,"36-50","50+")))</f>
        <v>25-35</v>
      </c>
    </row>
    <row r="94" spans="1:20" x14ac:dyDescent="0.3">
      <c r="A94" s="2" t="s">
        <v>880</v>
      </c>
      <c r="B94" s="2" t="s">
        <v>54</v>
      </c>
      <c r="C94" s="3">
        <v>27</v>
      </c>
      <c r="D94" s="2" t="s">
        <v>78</v>
      </c>
      <c r="E94" s="2" t="s">
        <v>33</v>
      </c>
      <c r="F94" s="2" t="s">
        <v>27</v>
      </c>
      <c r="G94" t="s">
        <v>28</v>
      </c>
      <c r="H94" t="s">
        <v>119</v>
      </c>
      <c r="I94" s="4">
        <v>513.87</v>
      </c>
      <c r="J94" s="3">
        <v>4</v>
      </c>
      <c r="K94" s="1">
        <v>45360</v>
      </c>
      <c r="L94" s="1" t="str">
        <f>TEXT(Table1[[#This Row],[Purchase_Date]],"YYYY")</f>
        <v>2024</v>
      </c>
      <c r="M94" s="1" t="str">
        <f>TEXT(Table1[[#This Row],[Purchase_Date]],"MMM")</f>
        <v>Mar</v>
      </c>
      <c r="N94" s="1" t="str">
        <f>TEXT(Table1[[#This Row],[Purchase_Date]],"DD")</f>
        <v>09</v>
      </c>
      <c r="O94" s="2" t="s">
        <v>36</v>
      </c>
      <c r="P94" s="3">
        <v>5</v>
      </c>
      <c r="Q94" s="2" t="s">
        <v>46</v>
      </c>
      <c r="R94" s="2" t="s">
        <v>24</v>
      </c>
      <c r="S94">
        <f>Table1[[#This Row],[Purchase_Amount]]*Table1[[#This Row],[Quantity]]</f>
        <v>2055.48</v>
      </c>
      <c r="T94" t="str">
        <f>IF(Table1[[#This Row],[Age]]&lt;25,"&lt;25",IF(Table1[[#This Row],[Age]]&lt;=35,"25-35",IF(Table1[[#This Row],[Age]]&lt;=50,"36-50","50+")))</f>
        <v>25-35</v>
      </c>
    </row>
    <row r="95" spans="1:20" x14ac:dyDescent="0.3">
      <c r="A95" s="2" t="s">
        <v>772</v>
      </c>
      <c r="B95" s="2" t="s">
        <v>54</v>
      </c>
      <c r="C95" s="3">
        <v>29</v>
      </c>
      <c r="D95" s="2" t="s">
        <v>60</v>
      </c>
      <c r="E95" s="2" t="s">
        <v>18</v>
      </c>
      <c r="F95" s="2" t="s">
        <v>27</v>
      </c>
      <c r="G95" t="s">
        <v>28</v>
      </c>
      <c r="H95" t="s">
        <v>215</v>
      </c>
      <c r="I95" s="4">
        <v>332.96</v>
      </c>
      <c r="J95" s="3">
        <v>4</v>
      </c>
      <c r="K95" s="1">
        <v>45575</v>
      </c>
      <c r="L95" s="1" t="str">
        <f>TEXT(Table1[[#This Row],[Purchase_Date]],"YYYY")</f>
        <v>2024</v>
      </c>
      <c r="M95" s="1" t="str">
        <f>TEXT(Table1[[#This Row],[Purchase_Date]],"MMM")</f>
        <v>Oct</v>
      </c>
      <c r="N95" s="1" t="str">
        <f>TEXT(Table1[[#This Row],[Purchase_Date]],"DD")</f>
        <v>10</v>
      </c>
      <c r="O95" s="2" t="s">
        <v>36</v>
      </c>
      <c r="P95" s="3">
        <v>4</v>
      </c>
      <c r="Q95" s="2" t="s">
        <v>23</v>
      </c>
      <c r="R95" s="2" t="s">
        <v>47</v>
      </c>
      <c r="S95">
        <f>Table1[[#This Row],[Purchase_Amount]]*Table1[[#This Row],[Quantity]]</f>
        <v>1331.84</v>
      </c>
      <c r="T95" t="str">
        <f>IF(Table1[[#This Row],[Age]]&lt;25,"&lt;25",IF(Table1[[#This Row],[Age]]&lt;=35,"25-35",IF(Table1[[#This Row],[Age]]&lt;=50,"36-50","50+")))</f>
        <v>25-35</v>
      </c>
    </row>
    <row r="96" spans="1:20" x14ac:dyDescent="0.3">
      <c r="A96" s="2" t="s">
        <v>674</v>
      </c>
      <c r="B96" s="2" t="s">
        <v>54</v>
      </c>
      <c r="C96" s="3">
        <v>29</v>
      </c>
      <c r="D96" s="2" t="s">
        <v>109</v>
      </c>
      <c r="E96" s="2" t="s">
        <v>49</v>
      </c>
      <c r="F96" s="2" t="s">
        <v>19</v>
      </c>
      <c r="G96" t="s">
        <v>28</v>
      </c>
      <c r="H96" t="s">
        <v>458</v>
      </c>
      <c r="I96" s="4">
        <v>913.67</v>
      </c>
      <c r="J96" s="3">
        <v>1</v>
      </c>
      <c r="K96" s="1">
        <v>45391</v>
      </c>
      <c r="L96" s="1" t="str">
        <f>TEXT(Table1[[#This Row],[Purchase_Date]],"YYYY")</f>
        <v>2024</v>
      </c>
      <c r="M96" s="1" t="str">
        <f>TEXT(Table1[[#This Row],[Purchase_Date]],"MMM")</f>
        <v>Apr</v>
      </c>
      <c r="N96" s="1" t="str">
        <f>TEXT(Table1[[#This Row],[Purchase_Date]],"DD")</f>
        <v>09</v>
      </c>
      <c r="O96" s="2" t="s">
        <v>41</v>
      </c>
      <c r="P96" s="3">
        <v>4</v>
      </c>
      <c r="Q96" s="2" t="s">
        <v>23</v>
      </c>
      <c r="R96" s="2" t="s">
        <v>24</v>
      </c>
      <c r="S96">
        <f>Table1[[#This Row],[Purchase_Amount]]*Table1[[#This Row],[Quantity]]</f>
        <v>913.67</v>
      </c>
      <c r="T96" t="str">
        <f>IF(Table1[[#This Row],[Age]]&lt;25,"&lt;25",IF(Table1[[#This Row],[Age]]&lt;=35,"25-35",IF(Table1[[#This Row],[Age]]&lt;=50,"36-50","50+")))</f>
        <v>25-35</v>
      </c>
    </row>
    <row r="97" spans="1:20" x14ac:dyDescent="0.3">
      <c r="A97" s="2" t="s">
        <v>320</v>
      </c>
      <c r="B97" s="2" t="s">
        <v>54</v>
      </c>
      <c r="C97" s="3">
        <v>30</v>
      </c>
      <c r="D97" s="2" t="s">
        <v>60</v>
      </c>
      <c r="E97" s="2" t="s">
        <v>18</v>
      </c>
      <c r="F97" s="2" t="s">
        <v>19</v>
      </c>
      <c r="G97" t="s">
        <v>28</v>
      </c>
      <c r="H97" t="s">
        <v>321</v>
      </c>
      <c r="I97" s="4">
        <v>551.57000000000005</v>
      </c>
      <c r="J97" s="3">
        <v>4</v>
      </c>
      <c r="K97" s="1">
        <v>45537</v>
      </c>
      <c r="L97" s="1" t="str">
        <f>TEXT(Table1[[#This Row],[Purchase_Date]],"YYYY")</f>
        <v>2024</v>
      </c>
      <c r="M97" s="1" t="str">
        <f>TEXT(Table1[[#This Row],[Purchase_Date]],"MMM")</f>
        <v>Sep</v>
      </c>
      <c r="N97" s="1" t="str">
        <f>TEXT(Table1[[#This Row],[Purchase_Date]],"DD")</f>
        <v>02</v>
      </c>
      <c r="O97" s="2" t="s">
        <v>22</v>
      </c>
      <c r="P97" s="3">
        <v>5</v>
      </c>
      <c r="Q97" s="2" t="s">
        <v>23</v>
      </c>
      <c r="R97" s="2" t="s">
        <v>47</v>
      </c>
      <c r="S97">
        <f>Table1[[#This Row],[Purchase_Amount]]*Table1[[#This Row],[Quantity]]</f>
        <v>2206.2800000000002</v>
      </c>
      <c r="T97" t="str">
        <f>IF(Table1[[#This Row],[Age]]&lt;25,"&lt;25",IF(Table1[[#This Row],[Age]]&lt;=35,"25-35",IF(Table1[[#This Row],[Age]]&lt;=50,"36-50","50+")))</f>
        <v>25-35</v>
      </c>
    </row>
    <row r="98" spans="1:20" x14ac:dyDescent="0.3">
      <c r="A98" s="2" t="s">
        <v>1130</v>
      </c>
      <c r="B98" s="2" t="s">
        <v>54</v>
      </c>
      <c r="C98" s="3">
        <v>30</v>
      </c>
      <c r="D98" s="2" t="s">
        <v>38</v>
      </c>
      <c r="E98" s="2" t="s">
        <v>33</v>
      </c>
      <c r="F98" s="2" t="s">
        <v>44</v>
      </c>
      <c r="G98" t="s">
        <v>28</v>
      </c>
      <c r="H98" t="s">
        <v>893</v>
      </c>
      <c r="I98" s="4">
        <v>738.56</v>
      </c>
      <c r="J98" s="3">
        <v>1</v>
      </c>
      <c r="K98" s="1">
        <v>45267</v>
      </c>
      <c r="L98" s="1" t="str">
        <f>TEXT(Table1[[#This Row],[Purchase_Date]],"YYYY")</f>
        <v>2023</v>
      </c>
      <c r="M98" s="1" t="str">
        <f>TEXT(Table1[[#This Row],[Purchase_Date]],"MMM")</f>
        <v>Dec</v>
      </c>
      <c r="N98" s="1" t="str">
        <f>TEXT(Table1[[#This Row],[Purchase_Date]],"DD")</f>
        <v>07</v>
      </c>
      <c r="O98" s="2" t="s">
        <v>36</v>
      </c>
      <c r="P98" s="3">
        <v>8</v>
      </c>
      <c r="Q98" s="2" t="s">
        <v>23</v>
      </c>
      <c r="R98" s="2" t="s">
        <v>24</v>
      </c>
      <c r="S98">
        <f>Table1[[#This Row],[Purchase_Amount]]*Table1[[#This Row],[Quantity]]</f>
        <v>738.56</v>
      </c>
      <c r="T98" t="str">
        <f>IF(Table1[[#This Row],[Age]]&lt;25,"&lt;25",IF(Table1[[#This Row],[Age]]&lt;=35,"25-35",IF(Table1[[#This Row],[Age]]&lt;=50,"36-50","50+")))</f>
        <v>25-35</v>
      </c>
    </row>
    <row r="99" spans="1:20" x14ac:dyDescent="0.3">
      <c r="A99" s="2" t="s">
        <v>575</v>
      </c>
      <c r="B99" s="2" t="s">
        <v>54</v>
      </c>
      <c r="C99" s="3">
        <v>31</v>
      </c>
      <c r="D99" s="2" t="s">
        <v>32</v>
      </c>
      <c r="E99" s="2" t="s">
        <v>49</v>
      </c>
      <c r="F99" s="2" t="s">
        <v>44</v>
      </c>
      <c r="G99" t="s">
        <v>28</v>
      </c>
      <c r="H99" t="s">
        <v>573</v>
      </c>
      <c r="I99" s="4">
        <v>174.59</v>
      </c>
      <c r="J99" s="3">
        <v>1</v>
      </c>
      <c r="K99" s="1">
        <v>45360</v>
      </c>
      <c r="L99" s="1" t="str">
        <f>TEXT(Table1[[#This Row],[Purchase_Date]],"YYYY")</f>
        <v>2024</v>
      </c>
      <c r="M99" s="1" t="str">
        <f>TEXT(Table1[[#This Row],[Purchase_Date]],"MMM")</f>
        <v>Mar</v>
      </c>
      <c r="N99" s="1" t="str">
        <f>TEXT(Table1[[#This Row],[Purchase_Date]],"DD")</f>
        <v>09</v>
      </c>
      <c r="O99" s="2" t="s">
        <v>36</v>
      </c>
      <c r="P99" s="3">
        <v>1</v>
      </c>
      <c r="Q99" s="2" t="s">
        <v>23</v>
      </c>
      <c r="R99" s="2" t="s">
        <v>47</v>
      </c>
      <c r="S99">
        <f>Table1[[#This Row],[Purchase_Amount]]*Table1[[#This Row],[Quantity]]</f>
        <v>174.59</v>
      </c>
      <c r="T99" t="str">
        <f>IF(Table1[[#This Row],[Age]]&lt;25,"&lt;25",IF(Table1[[#This Row],[Age]]&lt;=35,"25-35",IF(Table1[[#This Row],[Age]]&lt;=50,"36-50","50+")))</f>
        <v>25-35</v>
      </c>
    </row>
    <row r="100" spans="1:20" x14ac:dyDescent="0.3">
      <c r="A100" s="2" t="s">
        <v>952</v>
      </c>
      <c r="B100" s="2" t="s">
        <v>54</v>
      </c>
      <c r="C100" s="3">
        <v>34</v>
      </c>
      <c r="D100" s="2" t="s">
        <v>60</v>
      </c>
      <c r="E100" s="2" t="s">
        <v>18</v>
      </c>
      <c r="F100" s="2" t="s">
        <v>44</v>
      </c>
      <c r="G100" t="s">
        <v>28</v>
      </c>
      <c r="H100" t="s">
        <v>149</v>
      </c>
      <c r="I100" s="4">
        <v>19</v>
      </c>
      <c r="J100" s="3">
        <v>4</v>
      </c>
      <c r="K100" s="1">
        <v>45081</v>
      </c>
      <c r="L100" s="1" t="str">
        <f>TEXT(Table1[[#This Row],[Purchase_Date]],"YYYY")</f>
        <v>2023</v>
      </c>
      <c r="M100" s="1" t="str">
        <f>TEXT(Table1[[#This Row],[Purchase_Date]],"MMM")</f>
        <v>Jun</v>
      </c>
      <c r="N100" s="1" t="str">
        <f>TEXT(Table1[[#This Row],[Purchase_Date]],"DD")</f>
        <v>04</v>
      </c>
      <c r="O100" s="2" t="s">
        <v>22</v>
      </c>
      <c r="P100" s="3">
        <v>4</v>
      </c>
      <c r="Q100" s="2" t="s">
        <v>23</v>
      </c>
      <c r="R100" s="2" t="s">
        <v>24</v>
      </c>
      <c r="S100">
        <f>Table1[[#This Row],[Purchase_Amount]]*Table1[[#This Row],[Quantity]]</f>
        <v>76</v>
      </c>
      <c r="T100" t="str">
        <f>IF(Table1[[#This Row],[Age]]&lt;25,"&lt;25",IF(Table1[[#This Row],[Age]]&lt;=35,"25-35",IF(Table1[[#This Row],[Age]]&lt;=50,"36-50","50+")))</f>
        <v>25-35</v>
      </c>
    </row>
    <row r="101" spans="1:20" x14ac:dyDescent="0.3">
      <c r="A101" s="2" t="s">
        <v>165</v>
      </c>
      <c r="B101" s="2" t="s">
        <v>54</v>
      </c>
      <c r="C101" s="3">
        <v>34</v>
      </c>
      <c r="D101" s="2" t="s">
        <v>109</v>
      </c>
      <c r="E101" s="2" t="s">
        <v>18</v>
      </c>
      <c r="F101" s="2" t="s">
        <v>44</v>
      </c>
      <c r="G101" t="s">
        <v>28</v>
      </c>
      <c r="H101" t="s">
        <v>122</v>
      </c>
      <c r="I101" s="4">
        <v>355.34</v>
      </c>
      <c r="J101" s="3">
        <v>1</v>
      </c>
      <c r="K101" s="1">
        <v>45261</v>
      </c>
      <c r="L101" s="1" t="str">
        <f>TEXT(Table1[[#This Row],[Purchase_Date]],"YYYY")</f>
        <v>2023</v>
      </c>
      <c r="M101" s="1" t="str">
        <f>TEXT(Table1[[#This Row],[Purchase_Date]],"MMM")</f>
        <v>Dec</v>
      </c>
      <c r="N101" s="1" t="str">
        <f>TEXT(Table1[[#This Row],[Purchase_Date]],"DD")</f>
        <v>01</v>
      </c>
      <c r="O101" s="2" t="s">
        <v>22</v>
      </c>
      <c r="P101" s="3">
        <v>9</v>
      </c>
      <c r="Q101" s="2" t="s">
        <v>46</v>
      </c>
      <c r="R101" s="2" t="s">
        <v>24</v>
      </c>
      <c r="S101">
        <f>Table1[[#This Row],[Purchase_Amount]]*Table1[[#This Row],[Quantity]]</f>
        <v>355.34</v>
      </c>
      <c r="T101" t="str">
        <f>IF(Table1[[#This Row],[Age]]&lt;25,"&lt;25",IF(Table1[[#This Row],[Age]]&lt;=35,"25-35",IF(Table1[[#This Row],[Age]]&lt;=50,"36-50","50+")))</f>
        <v>25-35</v>
      </c>
    </row>
    <row r="102" spans="1:20" x14ac:dyDescent="0.3">
      <c r="A102" s="2" t="s">
        <v>822</v>
      </c>
      <c r="B102" s="2" t="s">
        <v>54</v>
      </c>
      <c r="C102" s="3">
        <v>35</v>
      </c>
      <c r="D102" s="2" t="s">
        <v>78</v>
      </c>
      <c r="E102" s="2" t="s">
        <v>49</v>
      </c>
      <c r="F102" s="2" t="s">
        <v>44</v>
      </c>
      <c r="G102" t="s">
        <v>28</v>
      </c>
      <c r="H102" t="s">
        <v>253</v>
      </c>
      <c r="I102" s="4">
        <v>828.2</v>
      </c>
      <c r="J102" s="3">
        <v>1</v>
      </c>
      <c r="K102" s="1">
        <v>45477</v>
      </c>
      <c r="L102" s="1" t="str">
        <f>TEXT(Table1[[#This Row],[Purchase_Date]],"YYYY")</f>
        <v>2024</v>
      </c>
      <c r="M102" s="1" t="str">
        <f>TEXT(Table1[[#This Row],[Purchase_Date]],"MMM")</f>
        <v>Jul</v>
      </c>
      <c r="N102" s="1" t="str">
        <f>TEXT(Table1[[#This Row],[Purchase_Date]],"DD")</f>
        <v>04</v>
      </c>
      <c r="O102" s="2" t="s">
        <v>22</v>
      </c>
      <c r="P102" s="3">
        <v>5</v>
      </c>
      <c r="Q102" s="2" t="s">
        <v>23</v>
      </c>
      <c r="R102" s="2" t="s">
        <v>47</v>
      </c>
      <c r="S102">
        <f>Table1[[#This Row],[Purchase_Amount]]*Table1[[#This Row],[Quantity]]</f>
        <v>828.2</v>
      </c>
      <c r="T102" t="str">
        <f>IF(Table1[[#This Row],[Age]]&lt;25,"&lt;25",IF(Table1[[#This Row],[Age]]&lt;=35,"25-35",IF(Table1[[#This Row],[Age]]&lt;=50,"36-50","50+")))</f>
        <v>25-35</v>
      </c>
    </row>
    <row r="103" spans="1:20" x14ac:dyDescent="0.3">
      <c r="A103" s="2" t="s">
        <v>386</v>
      </c>
      <c r="B103" s="2" t="s">
        <v>54</v>
      </c>
      <c r="C103" s="3">
        <v>42</v>
      </c>
      <c r="D103" s="2" t="s">
        <v>43</v>
      </c>
      <c r="E103" s="2" t="s">
        <v>18</v>
      </c>
      <c r="F103" s="2" t="s">
        <v>27</v>
      </c>
      <c r="G103" t="s">
        <v>28</v>
      </c>
      <c r="H103" t="s">
        <v>127</v>
      </c>
      <c r="I103" s="4">
        <v>368.88</v>
      </c>
      <c r="J103" s="3">
        <v>4</v>
      </c>
      <c r="K103" s="1">
        <v>45329</v>
      </c>
      <c r="L103" s="1" t="str">
        <f>TEXT(Table1[[#This Row],[Purchase_Date]],"YYYY")</f>
        <v>2024</v>
      </c>
      <c r="M103" s="1" t="str">
        <f>TEXT(Table1[[#This Row],[Purchase_Date]],"MMM")</f>
        <v>Feb</v>
      </c>
      <c r="N103" s="1" t="str">
        <f>TEXT(Table1[[#This Row],[Purchase_Date]],"DD")</f>
        <v>07</v>
      </c>
      <c r="O103" s="2" t="s">
        <v>30</v>
      </c>
      <c r="P103" s="3">
        <v>10</v>
      </c>
      <c r="Q103" s="2" t="s">
        <v>46</v>
      </c>
      <c r="R103" s="2" t="s">
        <v>47</v>
      </c>
      <c r="S103">
        <f>Table1[[#This Row],[Purchase_Amount]]*Table1[[#This Row],[Quantity]]</f>
        <v>1475.52</v>
      </c>
      <c r="T103" t="str">
        <f>IF(Table1[[#This Row],[Age]]&lt;25,"&lt;25",IF(Table1[[#This Row],[Age]]&lt;=35,"25-35",IF(Table1[[#This Row],[Age]]&lt;=50,"36-50","50+")))</f>
        <v>36-50</v>
      </c>
    </row>
    <row r="104" spans="1:20" x14ac:dyDescent="0.3">
      <c r="A104" s="2" t="s">
        <v>788</v>
      </c>
      <c r="B104" s="2" t="s">
        <v>54</v>
      </c>
      <c r="C104" s="3">
        <v>42</v>
      </c>
      <c r="D104" s="2" t="s">
        <v>17</v>
      </c>
      <c r="E104" s="2" t="s">
        <v>49</v>
      </c>
      <c r="F104" s="2" t="s">
        <v>27</v>
      </c>
      <c r="G104" t="s">
        <v>28</v>
      </c>
      <c r="H104" t="s">
        <v>87</v>
      </c>
      <c r="I104" s="4">
        <v>885.5</v>
      </c>
      <c r="J104" s="3">
        <v>5</v>
      </c>
      <c r="K104" s="1">
        <v>45000</v>
      </c>
      <c r="L104" s="1" t="str">
        <f>TEXT(Table1[[#This Row],[Purchase_Date]],"YYYY")</f>
        <v>2023</v>
      </c>
      <c r="M104" s="1" t="str">
        <f>TEXT(Table1[[#This Row],[Purchase_Date]],"MMM")</f>
        <v>Mar</v>
      </c>
      <c r="N104" s="1" t="str">
        <f>TEXT(Table1[[#This Row],[Purchase_Date]],"DD")</f>
        <v>15</v>
      </c>
      <c r="O104" s="2" t="s">
        <v>36</v>
      </c>
      <c r="P104" s="3">
        <v>10</v>
      </c>
      <c r="Q104" s="2" t="s">
        <v>46</v>
      </c>
      <c r="R104" s="2" t="s">
        <v>47</v>
      </c>
      <c r="S104">
        <f>Table1[[#This Row],[Purchase_Amount]]*Table1[[#This Row],[Quantity]]</f>
        <v>4427.5</v>
      </c>
      <c r="T104" t="str">
        <f>IF(Table1[[#This Row],[Age]]&lt;25,"&lt;25",IF(Table1[[#This Row],[Age]]&lt;=35,"25-35",IF(Table1[[#This Row],[Age]]&lt;=50,"36-50","50+")))</f>
        <v>36-50</v>
      </c>
    </row>
    <row r="105" spans="1:20" x14ac:dyDescent="0.3">
      <c r="A105" s="2" t="s">
        <v>1100</v>
      </c>
      <c r="B105" s="2" t="s">
        <v>54</v>
      </c>
      <c r="C105" s="3">
        <v>43</v>
      </c>
      <c r="D105" s="2" t="s">
        <v>109</v>
      </c>
      <c r="E105" s="2" t="s">
        <v>49</v>
      </c>
      <c r="F105" s="2" t="s">
        <v>27</v>
      </c>
      <c r="G105" t="s">
        <v>28</v>
      </c>
      <c r="H105" t="s">
        <v>573</v>
      </c>
      <c r="I105" s="4">
        <v>90.63</v>
      </c>
      <c r="J105" s="3">
        <v>4</v>
      </c>
      <c r="K105" s="1">
        <v>44978</v>
      </c>
      <c r="L105" s="1" t="str">
        <f>TEXT(Table1[[#This Row],[Purchase_Date]],"YYYY")</f>
        <v>2023</v>
      </c>
      <c r="M105" s="1" t="str">
        <f>TEXT(Table1[[#This Row],[Purchase_Date]],"MMM")</f>
        <v>Feb</v>
      </c>
      <c r="N105" s="1" t="str">
        <f>TEXT(Table1[[#This Row],[Purchase_Date]],"DD")</f>
        <v>21</v>
      </c>
      <c r="O105" s="2" t="s">
        <v>22</v>
      </c>
      <c r="P105" s="3">
        <v>1</v>
      </c>
      <c r="Q105" s="2" t="s">
        <v>23</v>
      </c>
      <c r="R105" s="2" t="s">
        <v>24</v>
      </c>
      <c r="S105">
        <f>Table1[[#This Row],[Purchase_Amount]]*Table1[[#This Row],[Quantity]]</f>
        <v>362.52</v>
      </c>
      <c r="T105" t="str">
        <f>IF(Table1[[#This Row],[Age]]&lt;25,"&lt;25",IF(Table1[[#This Row],[Age]]&lt;=35,"25-35",IF(Table1[[#This Row],[Age]]&lt;=50,"36-50","50+")))</f>
        <v>36-50</v>
      </c>
    </row>
    <row r="106" spans="1:20" x14ac:dyDescent="0.3">
      <c r="A106" s="2" t="s">
        <v>451</v>
      </c>
      <c r="B106" s="2" t="s">
        <v>54</v>
      </c>
      <c r="C106" s="3">
        <v>44</v>
      </c>
      <c r="D106" s="2" t="s">
        <v>32</v>
      </c>
      <c r="E106" s="2" t="s">
        <v>33</v>
      </c>
      <c r="F106" s="2" t="s">
        <v>27</v>
      </c>
      <c r="G106" t="s">
        <v>28</v>
      </c>
      <c r="H106" t="s">
        <v>452</v>
      </c>
      <c r="I106" s="4">
        <v>450.4</v>
      </c>
      <c r="J106" s="3">
        <v>3</v>
      </c>
      <c r="K106" s="1">
        <v>45380</v>
      </c>
      <c r="L106" s="1" t="str">
        <f>TEXT(Table1[[#This Row],[Purchase_Date]],"YYYY")</f>
        <v>2024</v>
      </c>
      <c r="M106" s="1" t="str">
        <f>TEXT(Table1[[#This Row],[Purchase_Date]],"MMM")</f>
        <v>Mar</v>
      </c>
      <c r="N106" s="1" t="str">
        <f>TEXT(Table1[[#This Row],[Purchase_Date]],"DD")</f>
        <v>29</v>
      </c>
      <c r="O106" s="2" t="s">
        <v>36</v>
      </c>
      <c r="P106" s="3">
        <v>4</v>
      </c>
      <c r="Q106" s="2" t="s">
        <v>46</v>
      </c>
      <c r="R106" s="2" t="s">
        <v>47</v>
      </c>
      <c r="S106">
        <f>Table1[[#This Row],[Purchase_Amount]]*Table1[[#This Row],[Quantity]]</f>
        <v>1351.1999999999998</v>
      </c>
      <c r="T106" t="str">
        <f>IF(Table1[[#This Row],[Age]]&lt;25,"&lt;25",IF(Table1[[#This Row],[Age]]&lt;=35,"25-35",IF(Table1[[#This Row],[Age]]&lt;=50,"36-50","50+")))</f>
        <v>36-50</v>
      </c>
    </row>
    <row r="107" spans="1:20" x14ac:dyDescent="0.3">
      <c r="A107" s="2" t="s">
        <v>407</v>
      </c>
      <c r="B107" s="2" t="s">
        <v>54</v>
      </c>
      <c r="C107" s="3">
        <v>46</v>
      </c>
      <c r="D107" s="2" t="s">
        <v>64</v>
      </c>
      <c r="E107" s="2" t="s">
        <v>33</v>
      </c>
      <c r="F107" s="2" t="s">
        <v>44</v>
      </c>
      <c r="G107" t="s">
        <v>28</v>
      </c>
      <c r="H107" t="s">
        <v>391</v>
      </c>
      <c r="I107" s="4">
        <v>305</v>
      </c>
      <c r="J107" s="3">
        <v>4</v>
      </c>
      <c r="K107" s="1">
        <v>45463</v>
      </c>
      <c r="L107" s="1" t="str">
        <f>TEXT(Table1[[#This Row],[Purchase_Date]],"YYYY")</f>
        <v>2024</v>
      </c>
      <c r="M107" s="1" t="str">
        <f>TEXT(Table1[[#This Row],[Purchase_Date]],"MMM")</f>
        <v>Jun</v>
      </c>
      <c r="N107" s="1" t="str">
        <f>TEXT(Table1[[#This Row],[Purchase_Date]],"DD")</f>
        <v>20</v>
      </c>
      <c r="O107" s="2" t="s">
        <v>36</v>
      </c>
      <c r="P107" s="3">
        <v>3</v>
      </c>
      <c r="Q107" s="2" t="s">
        <v>23</v>
      </c>
      <c r="R107" s="2" t="s">
        <v>47</v>
      </c>
      <c r="S107">
        <f>Table1[[#This Row],[Purchase_Amount]]*Table1[[#This Row],[Quantity]]</f>
        <v>1220</v>
      </c>
      <c r="T107" t="str">
        <f>IF(Table1[[#This Row],[Age]]&lt;25,"&lt;25",IF(Table1[[#This Row],[Age]]&lt;=35,"25-35",IF(Table1[[#This Row],[Age]]&lt;=50,"36-50","50+")))</f>
        <v>36-50</v>
      </c>
    </row>
    <row r="108" spans="1:20" x14ac:dyDescent="0.3">
      <c r="A108" s="2" t="s">
        <v>334</v>
      </c>
      <c r="B108" s="2" t="s">
        <v>54</v>
      </c>
      <c r="C108" s="3">
        <v>46</v>
      </c>
      <c r="D108" s="2" t="s">
        <v>64</v>
      </c>
      <c r="E108" s="2" t="s">
        <v>33</v>
      </c>
      <c r="F108" s="2" t="s">
        <v>27</v>
      </c>
      <c r="G108" t="s">
        <v>28</v>
      </c>
      <c r="H108" t="s">
        <v>335</v>
      </c>
      <c r="I108" s="4">
        <v>358.8</v>
      </c>
      <c r="J108" s="3">
        <v>5</v>
      </c>
      <c r="K108" s="1">
        <v>45483</v>
      </c>
      <c r="L108" s="1" t="str">
        <f>TEXT(Table1[[#This Row],[Purchase_Date]],"YYYY")</f>
        <v>2024</v>
      </c>
      <c r="M108" s="1" t="str">
        <f>TEXT(Table1[[#This Row],[Purchase_Date]],"MMM")</f>
        <v>Jul</v>
      </c>
      <c r="N108" s="1" t="str">
        <f>TEXT(Table1[[#This Row],[Purchase_Date]],"DD")</f>
        <v>10</v>
      </c>
      <c r="O108" s="2" t="s">
        <v>36</v>
      </c>
      <c r="P108" s="3">
        <v>10</v>
      </c>
      <c r="Q108" s="2" t="s">
        <v>46</v>
      </c>
      <c r="R108" s="2" t="s">
        <v>47</v>
      </c>
      <c r="S108">
        <f>Table1[[#This Row],[Purchase_Amount]]*Table1[[#This Row],[Quantity]]</f>
        <v>1794</v>
      </c>
      <c r="T108" t="str">
        <f>IF(Table1[[#This Row],[Age]]&lt;25,"&lt;25",IF(Table1[[#This Row],[Age]]&lt;=35,"25-35",IF(Table1[[#This Row],[Age]]&lt;=50,"36-50","50+")))</f>
        <v>36-50</v>
      </c>
    </row>
    <row r="109" spans="1:20" x14ac:dyDescent="0.3">
      <c r="A109" s="2" t="s">
        <v>654</v>
      </c>
      <c r="B109" s="2" t="s">
        <v>54</v>
      </c>
      <c r="C109" s="3">
        <v>46</v>
      </c>
      <c r="D109" s="2" t="s">
        <v>17</v>
      </c>
      <c r="E109" s="2" t="s">
        <v>49</v>
      </c>
      <c r="F109" s="2" t="s">
        <v>19</v>
      </c>
      <c r="G109" t="s">
        <v>28</v>
      </c>
      <c r="H109" t="s">
        <v>479</v>
      </c>
      <c r="I109" s="4">
        <v>373.13</v>
      </c>
      <c r="J109" s="3">
        <v>1</v>
      </c>
      <c r="K109" s="1">
        <v>45471</v>
      </c>
      <c r="L109" s="1" t="str">
        <f>TEXT(Table1[[#This Row],[Purchase_Date]],"YYYY")</f>
        <v>2024</v>
      </c>
      <c r="M109" s="1" t="str">
        <f>TEXT(Table1[[#This Row],[Purchase_Date]],"MMM")</f>
        <v>Jun</v>
      </c>
      <c r="N109" s="1" t="str">
        <f>TEXT(Table1[[#This Row],[Purchase_Date]],"DD")</f>
        <v>28</v>
      </c>
      <c r="O109" s="2" t="s">
        <v>36</v>
      </c>
      <c r="P109" s="3">
        <v>1</v>
      </c>
      <c r="Q109" s="2" t="s">
        <v>23</v>
      </c>
      <c r="R109" s="2" t="s">
        <v>24</v>
      </c>
      <c r="S109">
        <f>Table1[[#This Row],[Purchase_Amount]]*Table1[[#This Row],[Quantity]]</f>
        <v>373.13</v>
      </c>
      <c r="T109" t="str">
        <f>IF(Table1[[#This Row],[Age]]&lt;25,"&lt;25",IF(Table1[[#This Row],[Age]]&lt;=35,"25-35",IF(Table1[[#This Row],[Age]]&lt;=50,"36-50","50+")))</f>
        <v>36-50</v>
      </c>
    </row>
    <row r="110" spans="1:20" x14ac:dyDescent="0.3">
      <c r="A110" s="2" t="s">
        <v>204</v>
      </c>
      <c r="B110" s="2" t="s">
        <v>54</v>
      </c>
      <c r="C110" s="3">
        <v>46</v>
      </c>
      <c r="D110" s="2" t="s">
        <v>60</v>
      </c>
      <c r="E110" s="2" t="s">
        <v>18</v>
      </c>
      <c r="F110" s="2" t="s">
        <v>44</v>
      </c>
      <c r="G110" t="s">
        <v>28</v>
      </c>
      <c r="H110" t="s">
        <v>56</v>
      </c>
      <c r="I110" s="4">
        <v>488.4</v>
      </c>
      <c r="J110" s="3">
        <v>2</v>
      </c>
      <c r="K110" s="1">
        <v>45335</v>
      </c>
      <c r="L110" s="1" t="str">
        <f>TEXT(Table1[[#This Row],[Purchase_Date]],"YYYY")</f>
        <v>2024</v>
      </c>
      <c r="M110" s="1" t="str">
        <f>TEXT(Table1[[#This Row],[Purchase_Date]],"MMM")</f>
        <v>Feb</v>
      </c>
      <c r="N110" s="1" t="str">
        <f>TEXT(Table1[[#This Row],[Purchase_Date]],"DD")</f>
        <v>13</v>
      </c>
      <c r="O110" s="2" t="s">
        <v>36</v>
      </c>
      <c r="P110" s="3">
        <v>5</v>
      </c>
      <c r="Q110" s="2" t="s">
        <v>23</v>
      </c>
      <c r="R110" s="2" t="s">
        <v>47</v>
      </c>
      <c r="S110">
        <f>Table1[[#This Row],[Purchase_Amount]]*Table1[[#This Row],[Quantity]]</f>
        <v>976.8</v>
      </c>
      <c r="T110" t="str">
        <f>IF(Table1[[#This Row],[Age]]&lt;25,"&lt;25",IF(Table1[[#This Row],[Age]]&lt;=35,"25-35",IF(Table1[[#This Row],[Age]]&lt;=50,"36-50","50+")))</f>
        <v>36-50</v>
      </c>
    </row>
    <row r="111" spans="1:20" x14ac:dyDescent="0.3">
      <c r="A111" s="2" t="s">
        <v>847</v>
      </c>
      <c r="B111" s="2" t="s">
        <v>54</v>
      </c>
      <c r="C111" s="3">
        <v>46</v>
      </c>
      <c r="D111" s="2" t="s">
        <v>64</v>
      </c>
      <c r="E111" s="2" t="s">
        <v>33</v>
      </c>
      <c r="F111" s="2" t="s">
        <v>27</v>
      </c>
      <c r="G111" t="s">
        <v>28</v>
      </c>
      <c r="H111" t="s">
        <v>522</v>
      </c>
      <c r="I111" s="4">
        <v>892.23</v>
      </c>
      <c r="J111" s="3">
        <v>2</v>
      </c>
      <c r="K111" s="1">
        <v>45309</v>
      </c>
      <c r="L111" s="1" t="str">
        <f>TEXT(Table1[[#This Row],[Purchase_Date]],"YYYY")</f>
        <v>2024</v>
      </c>
      <c r="M111" s="1" t="str">
        <f>TEXT(Table1[[#This Row],[Purchase_Date]],"MMM")</f>
        <v>Jan</v>
      </c>
      <c r="N111" s="1" t="str">
        <f>TEXT(Table1[[#This Row],[Purchase_Date]],"DD")</f>
        <v>18</v>
      </c>
      <c r="O111" s="2" t="s">
        <v>22</v>
      </c>
      <c r="P111" s="3">
        <v>1</v>
      </c>
      <c r="Q111" s="2" t="s">
        <v>46</v>
      </c>
      <c r="R111" s="2" t="s">
        <v>47</v>
      </c>
      <c r="S111">
        <f>Table1[[#This Row],[Purchase_Amount]]*Table1[[#This Row],[Quantity]]</f>
        <v>1784.46</v>
      </c>
      <c r="T111" t="str">
        <f>IF(Table1[[#This Row],[Age]]&lt;25,"&lt;25",IF(Table1[[#This Row],[Age]]&lt;=35,"25-35",IF(Table1[[#This Row],[Age]]&lt;=50,"36-50","50+")))</f>
        <v>36-50</v>
      </c>
    </row>
    <row r="112" spans="1:20" x14ac:dyDescent="0.3">
      <c r="A112" s="2" t="s">
        <v>1238</v>
      </c>
      <c r="B112" s="2" t="s">
        <v>54</v>
      </c>
      <c r="C112" s="3">
        <v>49</v>
      </c>
      <c r="D112" s="2" t="s">
        <v>43</v>
      </c>
      <c r="E112" s="2" t="s">
        <v>49</v>
      </c>
      <c r="F112" s="2" t="s">
        <v>27</v>
      </c>
      <c r="G112" t="s">
        <v>28</v>
      </c>
      <c r="H112" t="s">
        <v>553</v>
      </c>
      <c r="I112" s="4">
        <v>622.1</v>
      </c>
      <c r="J112" s="3">
        <v>2</v>
      </c>
      <c r="K112" s="1">
        <v>45243</v>
      </c>
      <c r="L112" s="1" t="str">
        <f>TEXT(Table1[[#This Row],[Purchase_Date]],"YYYY")</f>
        <v>2023</v>
      </c>
      <c r="M112" s="1" t="str">
        <f>TEXT(Table1[[#This Row],[Purchase_Date]],"MMM")</f>
        <v>Nov</v>
      </c>
      <c r="N112" s="1" t="str">
        <f>TEXT(Table1[[#This Row],[Purchase_Date]],"DD")</f>
        <v>13</v>
      </c>
      <c r="O112" s="2" t="s">
        <v>22</v>
      </c>
      <c r="P112" s="3">
        <v>6</v>
      </c>
      <c r="Q112" s="2" t="s">
        <v>23</v>
      </c>
      <c r="R112" s="2" t="s">
        <v>24</v>
      </c>
      <c r="S112">
        <f>Table1[[#This Row],[Purchase_Amount]]*Table1[[#This Row],[Quantity]]</f>
        <v>1244.2</v>
      </c>
      <c r="T112" t="str">
        <f>IF(Table1[[#This Row],[Age]]&lt;25,"&lt;25",IF(Table1[[#This Row],[Age]]&lt;=35,"25-35",IF(Table1[[#This Row],[Age]]&lt;=50,"36-50","50+")))</f>
        <v>36-50</v>
      </c>
    </row>
    <row r="113" spans="1:20" x14ac:dyDescent="0.3">
      <c r="A113" s="2" t="s">
        <v>570</v>
      </c>
      <c r="B113" s="2" t="s">
        <v>54</v>
      </c>
      <c r="C113" s="3">
        <v>51</v>
      </c>
      <c r="D113" s="2" t="s">
        <v>43</v>
      </c>
      <c r="E113" s="2" t="s">
        <v>49</v>
      </c>
      <c r="F113" s="2" t="s">
        <v>27</v>
      </c>
      <c r="G113" t="s">
        <v>28</v>
      </c>
      <c r="H113" t="s">
        <v>103</v>
      </c>
      <c r="I113" s="4">
        <v>309.75</v>
      </c>
      <c r="J113" s="3">
        <v>2</v>
      </c>
      <c r="K113" s="1">
        <v>45272</v>
      </c>
      <c r="L113" s="1" t="str">
        <f>TEXT(Table1[[#This Row],[Purchase_Date]],"YYYY")</f>
        <v>2023</v>
      </c>
      <c r="M113" s="1" t="str">
        <f>TEXT(Table1[[#This Row],[Purchase_Date]],"MMM")</f>
        <v>Dec</v>
      </c>
      <c r="N113" s="1" t="str">
        <f>TEXT(Table1[[#This Row],[Purchase_Date]],"DD")</f>
        <v>12</v>
      </c>
      <c r="O113" s="2" t="s">
        <v>41</v>
      </c>
      <c r="P113" s="3">
        <v>10</v>
      </c>
      <c r="Q113" s="2" t="s">
        <v>46</v>
      </c>
      <c r="R113" s="2" t="s">
        <v>47</v>
      </c>
      <c r="S113">
        <f>Table1[[#This Row],[Purchase_Amount]]*Table1[[#This Row],[Quantity]]</f>
        <v>619.5</v>
      </c>
      <c r="T113" t="str">
        <f>IF(Table1[[#This Row],[Age]]&lt;25,"&lt;25",IF(Table1[[#This Row],[Age]]&lt;=35,"25-35",IF(Table1[[#This Row],[Age]]&lt;=50,"36-50","50+")))</f>
        <v>50+</v>
      </c>
    </row>
    <row r="114" spans="1:20" x14ac:dyDescent="0.3">
      <c r="A114" s="2" t="s">
        <v>1067</v>
      </c>
      <c r="B114" s="2" t="s">
        <v>54</v>
      </c>
      <c r="C114" s="3">
        <v>51</v>
      </c>
      <c r="D114" s="2" t="s">
        <v>60</v>
      </c>
      <c r="E114" s="2" t="s">
        <v>33</v>
      </c>
      <c r="F114" s="2" t="s">
        <v>19</v>
      </c>
      <c r="G114" t="s">
        <v>28</v>
      </c>
      <c r="H114" t="s">
        <v>522</v>
      </c>
      <c r="I114" s="4">
        <v>479.69</v>
      </c>
      <c r="J114" s="3">
        <v>5</v>
      </c>
      <c r="K114" s="1">
        <v>45215</v>
      </c>
      <c r="L114" s="1" t="str">
        <f>TEXT(Table1[[#This Row],[Purchase_Date]],"YYYY")</f>
        <v>2023</v>
      </c>
      <c r="M114" s="1" t="str">
        <f>TEXT(Table1[[#This Row],[Purchase_Date]],"MMM")</f>
        <v>Oct</v>
      </c>
      <c r="N114" s="1" t="str">
        <f>TEXT(Table1[[#This Row],[Purchase_Date]],"DD")</f>
        <v>16</v>
      </c>
      <c r="O114" s="2" t="s">
        <v>22</v>
      </c>
      <c r="P114" s="3">
        <v>1</v>
      </c>
      <c r="Q114" s="2" t="s">
        <v>23</v>
      </c>
      <c r="R114" s="2" t="s">
        <v>24</v>
      </c>
      <c r="S114">
        <f>Table1[[#This Row],[Purchase_Amount]]*Table1[[#This Row],[Quantity]]</f>
        <v>2398.4499999999998</v>
      </c>
      <c r="T114" t="str">
        <f>IF(Table1[[#This Row],[Age]]&lt;25,"&lt;25",IF(Table1[[#This Row],[Age]]&lt;=35,"25-35",IF(Table1[[#This Row],[Age]]&lt;=50,"36-50","50+")))</f>
        <v>50+</v>
      </c>
    </row>
    <row r="115" spans="1:20" x14ac:dyDescent="0.3">
      <c r="A115" s="2" t="s">
        <v>869</v>
      </c>
      <c r="B115" s="2" t="s">
        <v>54</v>
      </c>
      <c r="C115" s="3">
        <v>52</v>
      </c>
      <c r="D115" s="2" t="s">
        <v>17</v>
      </c>
      <c r="E115" s="2" t="s">
        <v>18</v>
      </c>
      <c r="F115" s="2" t="s">
        <v>27</v>
      </c>
      <c r="G115" t="s">
        <v>28</v>
      </c>
      <c r="H115" t="s">
        <v>452</v>
      </c>
      <c r="I115" s="4">
        <v>894.37</v>
      </c>
      <c r="J115" s="3">
        <v>2</v>
      </c>
      <c r="K115" s="1">
        <v>44946</v>
      </c>
      <c r="L115" s="1" t="str">
        <f>TEXT(Table1[[#This Row],[Purchase_Date]],"YYYY")</f>
        <v>2023</v>
      </c>
      <c r="M115" s="1" t="str">
        <f>TEXT(Table1[[#This Row],[Purchase_Date]],"MMM")</f>
        <v>Jan</v>
      </c>
      <c r="N115" s="1" t="str">
        <f>TEXT(Table1[[#This Row],[Purchase_Date]],"DD")</f>
        <v>20</v>
      </c>
      <c r="O115" s="2" t="s">
        <v>41</v>
      </c>
      <c r="P115" s="3">
        <v>3</v>
      </c>
      <c r="Q115" s="2" t="s">
        <v>46</v>
      </c>
      <c r="R115" s="2" t="s">
        <v>24</v>
      </c>
      <c r="S115">
        <f>Table1[[#This Row],[Purchase_Amount]]*Table1[[#This Row],[Quantity]]</f>
        <v>1788.74</v>
      </c>
      <c r="T115" t="str">
        <f>IF(Table1[[#This Row],[Age]]&lt;25,"&lt;25",IF(Table1[[#This Row],[Age]]&lt;=35,"25-35",IF(Table1[[#This Row],[Age]]&lt;=50,"36-50","50+")))</f>
        <v>50+</v>
      </c>
    </row>
    <row r="116" spans="1:20" x14ac:dyDescent="0.3">
      <c r="A116" s="2" t="s">
        <v>174</v>
      </c>
      <c r="B116" s="2" t="s">
        <v>54</v>
      </c>
      <c r="C116" s="3">
        <v>52</v>
      </c>
      <c r="D116" s="2" t="s">
        <v>109</v>
      </c>
      <c r="E116" s="2" t="s">
        <v>33</v>
      </c>
      <c r="F116" s="2" t="s">
        <v>44</v>
      </c>
      <c r="G116" t="s">
        <v>28</v>
      </c>
      <c r="H116" t="s">
        <v>175</v>
      </c>
      <c r="I116" s="4">
        <v>994.39</v>
      </c>
      <c r="J116" s="3">
        <v>5</v>
      </c>
      <c r="K116" s="1">
        <v>45062</v>
      </c>
      <c r="L116" s="1" t="str">
        <f>TEXT(Table1[[#This Row],[Purchase_Date]],"YYYY")</f>
        <v>2023</v>
      </c>
      <c r="M116" s="1" t="str">
        <f>TEXT(Table1[[#This Row],[Purchase_Date]],"MMM")</f>
        <v>May</v>
      </c>
      <c r="N116" s="1" t="str">
        <f>TEXT(Table1[[#This Row],[Purchase_Date]],"DD")</f>
        <v>16</v>
      </c>
      <c r="O116" s="2" t="s">
        <v>30</v>
      </c>
      <c r="P116" s="3">
        <v>1</v>
      </c>
      <c r="Q116" s="2" t="s">
        <v>23</v>
      </c>
      <c r="R116" s="2" t="s">
        <v>24</v>
      </c>
      <c r="S116">
        <f>Table1[[#This Row],[Purchase_Amount]]*Table1[[#This Row],[Quantity]]</f>
        <v>4971.95</v>
      </c>
      <c r="T116" t="str">
        <f>IF(Table1[[#This Row],[Age]]&lt;25,"&lt;25",IF(Table1[[#This Row],[Age]]&lt;=35,"25-35",IF(Table1[[#This Row],[Age]]&lt;=50,"36-50","50+")))</f>
        <v>50+</v>
      </c>
    </row>
    <row r="117" spans="1:20" x14ac:dyDescent="0.3">
      <c r="A117" s="2" t="s">
        <v>618</v>
      </c>
      <c r="B117" s="2" t="s">
        <v>54</v>
      </c>
      <c r="C117" s="3">
        <v>54</v>
      </c>
      <c r="D117" s="2" t="s">
        <v>78</v>
      </c>
      <c r="E117" s="2" t="s">
        <v>33</v>
      </c>
      <c r="F117" s="2" t="s">
        <v>44</v>
      </c>
      <c r="G117" t="s">
        <v>28</v>
      </c>
      <c r="H117" t="s">
        <v>253</v>
      </c>
      <c r="I117" s="4">
        <v>490.17</v>
      </c>
      <c r="J117" s="3">
        <v>3</v>
      </c>
      <c r="K117" s="1">
        <v>44986</v>
      </c>
      <c r="L117" s="1" t="str">
        <f>TEXT(Table1[[#This Row],[Purchase_Date]],"YYYY")</f>
        <v>2023</v>
      </c>
      <c r="M117" s="1" t="str">
        <f>TEXT(Table1[[#This Row],[Purchase_Date]],"MMM")</f>
        <v>Mar</v>
      </c>
      <c r="N117" s="1" t="str">
        <f>TEXT(Table1[[#This Row],[Purchase_Date]],"DD")</f>
        <v>01</v>
      </c>
      <c r="O117" s="2" t="s">
        <v>41</v>
      </c>
      <c r="P117" s="3">
        <v>9</v>
      </c>
      <c r="Q117" s="2" t="s">
        <v>46</v>
      </c>
      <c r="R117" s="2" t="s">
        <v>24</v>
      </c>
      <c r="S117">
        <f>Table1[[#This Row],[Purchase_Amount]]*Table1[[#This Row],[Quantity]]</f>
        <v>1470.51</v>
      </c>
      <c r="T117" t="str">
        <f>IF(Table1[[#This Row],[Age]]&lt;25,"&lt;25",IF(Table1[[#This Row],[Age]]&lt;=35,"25-35",IF(Table1[[#This Row],[Age]]&lt;=50,"36-50","50+")))</f>
        <v>50+</v>
      </c>
    </row>
    <row r="118" spans="1:20" x14ac:dyDescent="0.3">
      <c r="A118" s="2" t="s">
        <v>82</v>
      </c>
      <c r="B118" s="2" t="s">
        <v>54</v>
      </c>
      <c r="C118" s="3">
        <v>55</v>
      </c>
      <c r="D118" s="2" t="s">
        <v>64</v>
      </c>
      <c r="E118" s="2" t="s">
        <v>18</v>
      </c>
      <c r="F118" s="2" t="s">
        <v>27</v>
      </c>
      <c r="G118" t="s">
        <v>28</v>
      </c>
      <c r="H118" t="s">
        <v>83</v>
      </c>
      <c r="I118" s="4">
        <v>375.44</v>
      </c>
      <c r="J118" s="3">
        <v>4</v>
      </c>
      <c r="K118" s="1">
        <v>45303</v>
      </c>
      <c r="L118" s="1" t="str">
        <f>TEXT(Table1[[#This Row],[Purchase_Date]],"YYYY")</f>
        <v>2024</v>
      </c>
      <c r="M118" s="1" t="str">
        <f>TEXT(Table1[[#This Row],[Purchase_Date]],"MMM")</f>
        <v>Jan</v>
      </c>
      <c r="N118" s="1" t="str">
        <f>TEXT(Table1[[#This Row],[Purchase_Date]],"DD")</f>
        <v>12</v>
      </c>
      <c r="O118" s="2" t="s">
        <v>36</v>
      </c>
      <c r="P118" s="3">
        <v>9</v>
      </c>
      <c r="Q118" s="2" t="s">
        <v>46</v>
      </c>
      <c r="R118" s="2" t="s">
        <v>24</v>
      </c>
      <c r="S118">
        <f>Table1[[#This Row],[Purchase_Amount]]*Table1[[#This Row],[Quantity]]</f>
        <v>1501.76</v>
      </c>
      <c r="T118" t="str">
        <f>IF(Table1[[#This Row],[Age]]&lt;25,"&lt;25",IF(Table1[[#This Row],[Age]]&lt;=35,"25-35",IF(Table1[[#This Row],[Age]]&lt;=50,"36-50","50+")))</f>
        <v>50+</v>
      </c>
    </row>
    <row r="119" spans="1:20" x14ac:dyDescent="0.3">
      <c r="A119" s="2" t="s">
        <v>1056</v>
      </c>
      <c r="B119" s="2" t="s">
        <v>54</v>
      </c>
      <c r="C119" s="3">
        <v>56</v>
      </c>
      <c r="D119" s="2" t="s">
        <v>64</v>
      </c>
      <c r="E119" s="2" t="s">
        <v>49</v>
      </c>
      <c r="F119" s="2" t="s">
        <v>27</v>
      </c>
      <c r="G119" t="s">
        <v>28</v>
      </c>
      <c r="H119" t="s">
        <v>351</v>
      </c>
      <c r="I119" s="4">
        <v>729.75</v>
      </c>
      <c r="J119" s="3">
        <v>4</v>
      </c>
      <c r="K119" s="1">
        <v>45273</v>
      </c>
      <c r="L119" s="1" t="str">
        <f>TEXT(Table1[[#This Row],[Purchase_Date]],"YYYY")</f>
        <v>2023</v>
      </c>
      <c r="M119" s="1" t="str">
        <f>TEXT(Table1[[#This Row],[Purchase_Date]],"MMM")</f>
        <v>Dec</v>
      </c>
      <c r="N119" s="1" t="str">
        <f>TEXT(Table1[[#This Row],[Purchase_Date]],"DD")</f>
        <v>13</v>
      </c>
      <c r="O119" s="2" t="s">
        <v>22</v>
      </c>
      <c r="P119" s="3">
        <v>6</v>
      </c>
      <c r="Q119" s="2" t="s">
        <v>46</v>
      </c>
      <c r="R119" s="2" t="s">
        <v>24</v>
      </c>
      <c r="S119">
        <f>Table1[[#This Row],[Purchase_Amount]]*Table1[[#This Row],[Quantity]]</f>
        <v>2919</v>
      </c>
      <c r="T119" t="str">
        <f>IF(Table1[[#This Row],[Age]]&lt;25,"&lt;25",IF(Table1[[#This Row],[Age]]&lt;=35,"25-35",IF(Table1[[#This Row],[Age]]&lt;=50,"36-50","50+")))</f>
        <v>50+</v>
      </c>
    </row>
    <row r="120" spans="1:20" x14ac:dyDescent="0.3">
      <c r="A120" s="2" t="s">
        <v>1228</v>
      </c>
      <c r="B120" s="2" t="s">
        <v>54</v>
      </c>
      <c r="C120" s="3">
        <v>58</v>
      </c>
      <c r="D120" s="2" t="s">
        <v>17</v>
      </c>
      <c r="E120" s="2" t="s">
        <v>33</v>
      </c>
      <c r="F120" s="2" t="s">
        <v>19</v>
      </c>
      <c r="G120" t="s">
        <v>28</v>
      </c>
      <c r="H120" t="s">
        <v>273</v>
      </c>
      <c r="I120" s="4">
        <v>134.85</v>
      </c>
      <c r="J120" s="3">
        <v>5</v>
      </c>
      <c r="K120" s="1">
        <v>45446</v>
      </c>
      <c r="L120" s="1" t="str">
        <f>TEXT(Table1[[#This Row],[Purchase_Date]],"YYYY")</f>
        <v>2024</v>
      </c>
      <c r="M120" s="1" t="str">
        <f>TEXT(Table1[[#This Row],[Purchase_Date]],"MMM")</f>
        <v>Jun</v>
      </c>
      <c r="N120" s="1" t="str">
        <f>TEXT(Table1[[#This Row],[Purchase_Date]],"DD")</f>
        <v>03</v>
      </c>
      <c r="O120" s="2" t="s">
        <v>22</v>
      </c>
      <c r="P120" s="3">
        <v>9</v>
      </c>
      <c r="Q120" s="2" t="s">
        <v>23</v>
      </c>
      <c r="R120" s="2" t="s">
        <v>47</v>
      </c>
      <c r="S120">
        <f>Table1[[#This Row],[Purchase_Amount]]*Table1[[#This Row],[Quantity]]</f>
        <v>674.25</v>
      </c>
      <c r="T120" t="str">
        <f>IF(Table1[[#This Row],[Age]]&lt;25,"&lt;25",IF(Table1[[#This Row],[Age]]&lt;=35,"25-35",IF(Table1[[#This Row],[Age]]&lt;=50,"36-50","50+")))</f>
        <v>50+</v>
      </c>
    </row>
    <row r="121" spans="1:20" x14ac:dyDescent="0.3">
      <c r="A121" s="2" t="s">
        <v>699</v>
      </c>
      <c r="B121" s="2" t="s">
        <v>54</v>
      </c>
      <c r="C121" s="3">
        <v>60</v>
      </c>
      <c r="D121" s="2" t="s">
        <v>109</v>
      </c>
      <c r="E121" s="2" t="s">
        <v>18</v>
      </c>
      <c r="F121" s="2" t="s">
        <v>44</v>
      </c>
      <c r="G121" t="s">
        <v>28</v>
      </c>
      <c r="H121" t="s">
        <v>21</v>
      </c>
      <c r="I121" s="4">
        <v>652.20000000000005</v>
      </c>
      <c r="J121" s="3">
        <v>4</v>
      </c>
      <c r="K121" s="1">
        <v>45374</v>
      </c>
      <c r="L121" s="1" t="str">
        <f>TEXT(Table1[[#This Row],[Purchase_Date]],"YYYY")</f>
        <v>2024</v>
      </c>
      <c r="M121" s="1" t="str">
        <f>TEXT(Table1[[#This Row],[Purchase_Date]],"MMM")</f>
        <v>Mar</v>
      </c>
      <c r="N121" s="1" t="str">
        <f>TEXT(Table1[[#This Row],[Purchase_Date]],"DD")</f>
        <v>23</v>
      </c>
      <c r="O121" s="2" t="s">
        <v>22</v>
      </c>
      <c r="P121" s="3">
        <v>4</v>
      </c>
      <c r="Q121" s="2" t="s">
        <v>46</v>
      </c>
      <c r="R121" s="2" t="s">
        <v>24</v>
      </c>
      <c r="S121">
        <f>Table1[[#This Row],[Purchase_Amount]]*Table1[[#This Row],[Quantity]]</f>
        <v>2608.8000000000002</v>
      </c>
      <c r="T121" t="str">
        <f>IF(Table1[[#This Row],[Age]]&lt;25,"&lt;25",IF(Table1[[#This Row],[Age]]&lt;=35,"25-35",IF(Table1[[#This Row],[Age]]&lt;=50,"36-50","50+")))</f>
        <v>50+</v>
      </c>
    </row>
    <row r="122" spans="1:20" x14ac:dyDescent="0.3">
      <c r="A122" s="2" t="s">
        <v>633</v>
      </c>
      <c r="B122" s="2" t="s">
        <v>54</v>
      </c>
      <c r="C122" s="3">
        <v>63</v>
      </c>
      <c r="D122" s="2" t="s">
        <v>43</v>
      </c>
      <c r="E122" s="2" t="s">
        <v>49</v>
      </c>
      <c r="F122" s="2" t="s">
        <v>27</v>
      </c>
      <c r="G122" t="s">
        <v>28</v>
      </c>
      <c r="H122" t="s">
        <v>206</v>
      </c>
      <c r="I122" s="4">
        <v>771.06</v>
      </c>
      <c r="J122" s="3">
        <v>1</v>
      </c>
      <c r="K122" s="1">
        <v>45580</v>
      </c>
      <c r="L122" s="1" t="str">
        <f>TEXT(Table1[[#This Row],[Purchase_Date]],"YYYY")</f>
        <v>2024</v>
      </c>
      <c r="M122" s="1" t="str">
        <f>TEXT(Table1[[#This Row],[Purchase_Date]],"MMM")</f>
        <v>Oct</v>
      </c>
      <c r="N122" s="1" t="str">
        <f>TEXT(Table1[[#This Row],[Purchase_Date]],"DD")</f>
        <v>15</v>
      </c>
      <c r="O122" s="2" t="s">
        <v>30</v>
      </c>
      <c r="P122" s="3">
        <v>4</v>
      </c>
      <c r="Q122" s="2" t="s">
        <v>23</v>
      </c>
      <c r="R122" s="2" t="s">
        <v>24</v>
      </c>
      <c r="S122">
        <f>Table1[[#This Row],[Purchase_Amount]]*Table1[[#This Row],[Quantity]]</f>
        <v>771.06</v>
      </c>
      <c r="T122" t="str">
        <f>IF(Table1[[#This Row],[Age]]&lt;25,"&lt;25",IF(Table1[[#This Row],[Age]]&lt;=35,"25-35",IF(Table1[[#This Row],[Age]]&lt;=50,"36-50","50+")))</f>
        <v>50+</v>
      </c>
    </row>
    <row r="123" spans="1:20" x14ac:dyDescent="0.3">
      <c r="A123" s="2" t="s">
        <v>716</v>
      </c>
      <c r="B123" s="2" t="s">
        <v>54</v>
      </c>
      <c r="C123" s="3">
        <v>64</v>
      </c>
      <c r="D123" s="2" t="s">
        <v>78</v>
      </c>
      <c r="E123" s="2" t="s">
        <v>49</v>
      </c>
      <c r="F123" s="2" t="s">
        <v>27</v>
      </c>
      <c r="G123" t="s">
        <v>28</v>
      </c>
      <c r="H123" t="s">
        <v>179</v>
      </c>
      <c r="I123" s="4">
        <v>473.87</v>
      </c>
      <c r="J123" s="3">
        <v>2</v>
      </c>
      <c r="K123" s="1">
        <v>45183</v>
      </c>
      <c r="L123" s="1" t="str">
        <f>TEXT(Table1[[#This Row],[Purchase_Date]],"YYYY")</f>
        <v>2023</v>
      </c>
      <c r="M123" s="1" t="str">
        <f>TEXT(Table1[[#This Row],[Purchase_Date]],"MMM")</f>
        <v>Sep</v>
      </c>
      <c r="N123" s="1" t="str">
        <f>TEXT(Table1[[#This Row],[Purchase_Date]],"DD")</f>
        <v>14</v>
      </c>
      <c r="O123" s="2" t="s">
        <v>41</v>
      </c>
      <c r="P123" s="3">
        <v>9</v>
      </c>
      <c r="Q123" s="2" t="s">
        <v>46</v>
      </c>
      <c r="R123" s="2" t="s">
        <v>24</v>
      </c>
      <c r="S123">
        <f>Table1[[#This Row],[Purchase_Amount]]*Table1[[#This Row],[Quantity]]</f>
        <v>947.74</v>
      </c>
      <c r="T123" t="str">
        <f>IF(Table1[[#This Row],[Age]]&lt;25,"&lt;25",IF(Table1[[#This Row],[Age]]&lt;=35,"25-35",IF(Table1[[#This Row],[Age]]&lt;=50,"36-50","50+")))</f>
        <v>50+</v>
      </c>
    </row>
    <row r="124" spans="1:20" x14ac:dyDescent="0.3">
      <c r="A124" s="2" t="s">
        <v>507</v>
      </c>
      <c r="B124" s="2" t="s">
        <v>54</v>
      </c>
      <c r="C124" s="3">
        <v>66</v>
      </c>
      <c r="D124" s="2" t="s">
        <v>17</v>
      </c>
      <c r="E124" s="2" t="s">
        <v>33</v>
      </c>
      <c r="F124" s="2" t="s">
        <v>27</v>
      </c>
      <c r="G124" t="s">
        <v>28</v>
      </c>
      <c r="H124" t="s">
        <v>249</v>
      </c>
      <c r="I124" s="4">
        <v>213.92</v>
      </c>
      <c r="J124" s="3">
        <v>3</v>
      </c>
      <c r="K124" s="1">
        <v>45568</v>
      </c>
      <c r="L124" s="1" t="str">
        <f>TEXT(Table1[[#This Row],[Purchase_Date]],"YYYY")</f>
        <v>2024</v>
      </c>
      <c r="M124" s="1" t="str">
        <f>TEXT(Table1[[#This Row],[Purchase_Date]],"MMM")</f>
        <v>Oct</v>
      </c>
      <c r="N124" s="1" t="str">
        <f>TEXT(Table1[[#This Row],[Purchase_Date]],"DD")</f>
        <v>03</v>
      </c>
      <c r="O124" s="2" t="s">
        <v>41</v>
      </c>
      <c r="P124" s="3">
        <v>9</v>
      </c>
      <c r="Q124" s="2" t="s">
        <v>46</v>
      </c>
      <c r="R124" s="2" t="s">
        <v>24</v>
      </c>
      <c r="S124">
        <f>Table1[[#This Row],[Purchase_Amount]]*Table1[[#This Row],[Quantity]]</f>
        <v>641.76</v>
      </c>
      <c r="T124" t="str">
        <f>IF(Table1[[#This Row],[Age]]&lt;25,"&lt;25",IF(Table1[[#This Row],[Age]]&lt;=35,"25-35",IF(Table1[[#This Row],[Age]]&lt;=50,"36-50","50+")))</f>
        <v>50+</v>
      </c>
    </row>
    <row r="125" spans="1:20" x14ac:dyDescent="0.3">
      <c r="A125" s="2" t="s">
        <v>770</v>
      </c>
      <c r="B125" s="2" t="s">
        <v>54</v>
      </c>
      <c r="C125" s="3">
        <v>66</v>
      </c>
      <c r="D125" s="2" t="s">
        <v>64</v>
      </c>
      <c r="E125" s="2" t="s">
        <v>49</v>
      </c>
      <c r="F125" s="2" t="s">
        <v>19</v>
      </c>
      <c r="G125" t="s">
        <v>28</v>
      </c>
      <c r="H125" t="s">
        <v>493</v>
      </c>
      <c r="I125" s="4">
        <v>948.21</v>
      </c>
      <c r="J125" s="3">
        <v>2</v>
      </c>
      <c r="K125" s="1">
        <v>45371</v>
      </c>
      <c r="L125" s="1" t="str">
        <f>TEXT(Table1[[#This Row],[Purchase_Date]],"YYYY")</f>
        <v>2024</v>
      </c>
      <c r="M125" s="1" t="str">
        <f>TEXT(Table1[[#This Row],[Purchase_Date]],"MMM")</f>
        <v>Mar</v>
      </c>
      <c r="N125" s="1" t="str">
        <f>TEXT(Table1[[#This Row],[Purchase_Date]],"DD")</f>
        <v>20</v>
      </c>
      <c r="O125" s="2" t="s">
        <v>36</v>
      </c>
      <c r="P125" s="3">
        <v>7</v>
      </c>
      <c r="Q125" s="2" t="s">
        <v>46</v>
      </c>
      <c r="R125" s="2" t="s">
        <v>24</v>
      </c>
      <c r="S125">
        <f>Table1[[#This Row],[Purchase_Amount]]*Table1[[#This Row],[Quantity]]</f>
        <v>1896.42</v>
      </c>
      <c r="T125" t="str">
        <f>IF(Table1[[#This Row],[Age]]&lt;25,"&lt;25",IF(Table1[[#This Row],[Age]]&lt;=35,"25-35",IF(Table1[[#This Row],[Age]]&lt;=50,"36-50","50+")))</f>
        <v>50+</v>
      </c>
    </row>
    <row r="126" spans="1:20" x14ac:dyDescent="0.3">
      <c r="A126" s="2" t="s">
        <v>894</v>
      </c>
      <c r="B126" s="2" t="s">
        <v>54</v>
      </c>
      <c r="C126" s="3">
        <v>67</v>
      </c>
      <c r="D126" s="2" t="s">
        <v>64</v>
      </c>
      <c r="E126" s="2" t="s">
        <v>33</v>
      </c>
      <c r="F126" s="2" t="s">
        <v>27</v>
      </c>
      <c r="G126" t="s">
        <v>28</v>
      </c>
      <c r="H126" t="s">
        <v>728</v>
      </c>
      <c r="I126" s="4">
        <v>162.97999999999999</v>
      </c>
      <c r="J126" s="3">
        <v>3</v>
      </c>
      <c r="K126" s="1">
        <v>45569</v>
      </c>
      <c r="L126" s="1" t="str">
        <f>TEXT(Table1[[#This Row],[Purchase_Date]],"YYYY")</f>
        <v>2024</v>
      </c>
      <c r="M126" s="1" t="str">
        <f>TEXT(Table1[[#This Row],[Purchase_Date]],"MMM")</f>
        <v>Oct</v>
      </c>
      <c r="N126" s="1" t="str">
        <f>TEXT(Table1[[#This Row],[Purchase_Date]],"DD")</f>
        <v>04</v>
      </c>
      <c r="O126" s="2" t="s">
        <v>36</v>
      </c>
      <c r="P126" s="3">
        <v>1</v>
      </c>
      <c r="Q126" s="2" t="s">
        <v>23</v>
      </c>
      <c r="R126" s="2" t="s">
        <v>24</v>
      </c>
      <c r="S126">
        <f>Table1[[#This Row],[Purchase_Amount]]*Table1[[#This Row],[Quantity]]</f>
        <v>488.93999999999994</v>
      </c>
      <c r="T126" t="str">
        <f>IF(Table1[[#This Row],[Age]]&lt;25,"&lt;25",IF(Table1[[#This Row],[Age]]&lt;=35,"25-35",IF(Table1[[#This Row],[Age]]&lt;=50,"36-50","50+")))</f>
        <v>50+</v>
      </c>
    </row>
    <row r="127" spans="1:20" x14ac:dyDescent="0.3">
      <c r="A127" s="2" t="s">
        <v>550</v>
      </c>
      <c r="B127" s="2" t="s">
        <v>54</v>
      </c>
      <c r="C127" s="3">
        <v>67</v>
      </c>
      <c r="D127" s="2" t="s">
        <v>17</v>
      </c>
      <c r="E127" s="2" t="s">
        <v>33</v>
      </c>
      <c r="F127" s="2" t="s">
        <v>19</v>
      </c>
      <c r="G127" t="s">
        <v>28</v>
      </c>
      <c r="H127" t="s">
        <v>347</v>
      </c>
      <c r="I127" s="4">
        <v>638.97</v>
      </c>
      <c r="J127" s="3">
        <v>3</v>
      </c>
      <c r="K127" s="1">
        <v>45137</v>
      </c>
      <c r="L127" s="1" t="str">
        <f>TEXT(Table1[[#This Row],[Purchase_Date]],"YYYY")</f>
        <v>2023</v>
      </c>
      <c r="M127" s="1" t="str">
        <f>TEXT(Table1[[#This Row],[Purchase_Date]],"MMM")</f>
        <v>Jul</v>
      </c>
      <c r="N127" s="1" t="str">
        <f>TEXT(Table1[[#This Row],[Purchase_Date]],"DD")</f>
        <v>30</v>
      </c>
      <c r="O127" s="2" t="s">
        <v>36</v>
      </c>
      <c r="P127" s="3">
        <v>2</v>
      </c>
      <c r="Q127" s="2" t="s">
        <v>23</v>
      </c>
      <c r="R127" s="2" t="s">
        <v>47</v>
      </c>
      <c r="S127">
        <f>Table1[[#This Row],[Purchase_Amount]]*Table1[[#This Row],[Quantity]]</f>
        <v>1916.91</v>
      </c>
      <c r="T127" t="str">
        <f>IF(Table1[[#This Row],[Age]]&lt;25,"&lt;25",IF(Table1[[#This Row],[Age]]&lt;=35,"25-35",IF(Table1[[#This Row],[Age]]&lt;=50,"36-50","50+")))</f>
        <v>50+</v>
      </c>
    </row>
    <row r="128" spans="1:20" x14ac:dyDescent="0.3">
      <c r="A128" s="2" t="s">
        <v>810</v>
      </c>
      <c r="B128" s="2" t="s">
        <v>54</v>
      </c>
      <c r="C128" s="3">
        <v>68</v>
      </c>
      <c r="D128" s="2" t="s">
        <v>78</v>
      </c>
      <c r="E128" s="2" t="s">
        <v>49</v>
      </c>
      <c r="F128" s="2" t="s">
        <v>44</v>
      </c>
      <c r="G128" t="s">
        <v>28</v>
      </c>
      <c r="H128" t="s">
        <v>542</v>
      </c>
      <c r="I128" s="4">
        <v>480.36</v>
      </c>
      <c r="J128" s="3">
        <v>2</v>
      </c>
      <c r="K128" s="1">
        <v>45292</v>
      </c>
      <c r="L128" s="1" t="str">
        <f>TEXT(Table1[[#This Row],[Purchase_Date]],"YYYY")</f>
        <v>2024</v>
      </c>
      <c r="M128" s="1" t="str">
        <f>TEXT(Table1[[#This Row],[Purchase_Date]],"MMM")</f>
        <v>Jan</v>
      </c>
      <c r="N128" s="1" t="str">
        <f>TEXT(Table1[[#This Row],[Purchase_Date]],"DD")</f>
        <v>01</v>
      </c>
      <c r="O128" s="2" t="s">
        <v>36</v>
      </c>
      <c r="P128" s="3">
        <v>9</v>
      </c>
      <c r="Q128" s="2" t="s">
        <v>46</v>
      </c>
      <c r="R128" s="2" t="s">
        <v>24</v>
      </c>
      <c r="S128">
        <f>Table1[[#This Row],[Purchase_Amount]]*Table1[[#This Row],[Quantity]]</f>
        <v>960.72</v>
      </c>
      <c r="T128" t="str">
        <f>IF(Table1[[#This Row],[Age]]&lt;25,"&lt;25",IF(Table1[[#This Row],[Age]]&lt;=35,"25-35",IF(Table1[[#This Row],[Age]]&lt;=50,"36-50","50+")))</f>
        <v>50+</v>
      </c>
    </row>
    <row r="129" spans="1:20" x14ac:dyDescent="0.3">
      <c r="A129" s="2" t="s">
        <v>1037</v>
      </c>
      <c r="B129" s="2" t="s">
        <v>54</v>
      </c>
      <c r="C129" s="3">
        <v>68</v>
      </c>
      <c r="D129" s="2" t="s">
        <v>109</v>
      </c>
      <c r="E129" s="2" t="s">
        <v>18</v>
      </c>
      <c r="F129" s="2" t="s">
        <v>44</v>
      </c>
      <c r="G129" t="s">
        <v>28</v>
      </c>
      <c r="H129" t="s">
        <v>147</v>
      </c>
      <c r="I129" s="4">
        <v>779.95</v>
      </c>
      <c r="J129" s="3">
        <v>3</v>
      </c>
      <c r="K129" s="1">
        <v>45444</v>
      </c>
      <c r="L129" s="1" t="str">
        <f>TEXT(Table1[[#This Row],[Purchase_Date]],"YYYY")</f>
        <v>2024</v>
      </c>
      <c r="M129" s="1" t="str">
        <f>TEXT(Table1[[#This Row],[Purchase_Date]],"MMM")</f>
        <v>Jun</v>
      </c>
      <c r="N129" s="1" t="str">
        <f>TEXT(Table1[[#This Row],[Purchase_Date]],"DD")</f>
        <v>01</v>
      </c>
      <c r="O129" s="2" t="s">
        <v>41</v>
      </c>
      <c r="P129" s="3">
        <v>5</v>
      </c>
      <c r="Q129" s="2" t="s">
        <v>23</v>
      </c>
      <c r="R129" s="2" t="s">
        <v>47</v>
      </c>
      <c r="S129">
        <f>Table1[[#This Row],[Purchase_Amount]]*Table1[[#This Row],[Quantity]]</f>
        <v>2339.8500000000004</v>
      </c>
      <c r="T129" t="str">
        <f>IF(Table1[[#This Row],[Age]]&lt;25,"&lt;25",IF(Table1[[#This Row],[Age]]&lt;=35,"25-35",IF(Table1[[#This Row],[Age]]&lt;=50,"36-50","50+")))</f>
        <v>50+</v>
      </c>
    </row>
    <row r="130" spans="1:20" x14ac:dyDescent="0.3">
      <c r="A130" s="2" t="s">
        <v>858</v>
      </c>
      <c r="B130" s="2" t="s">
        <v>54</v>
      </c>
      <c r="C130" s="3">
        <v>19</v>
      </c>
      <c r="D130" s="2" t="s">
        <v>109</v>
      </c>
      <c r="E130" s="2" t="s">
        <v>18</v>
      </c>
      <c r="F130" s="2" t="s">
        <v>44</v>
      </c>
      <c r="G130" t="s">
        <v>20</v>
      </c>
      <c r="H130" t="s">
        <v>859</v>
      </c>
      <c r="I130" s="4">
        <v>31.63</v>
      </c>
      <c r="J130" s="3">
        <v>3</v>
      </c>
      <c r="K130" s="1">
        <v>45269</v>
      </c>
      <c r="L130" s="1" t="str">
        <f>TEXT(Table1[[#This Row],[Purchase_Date]],"YYYY")</f>
        <v>2023</v>
      </c>
      <c r="M130" s="1" t="str">
        <f>TEXT(Table1[[#This Row],[Purchase_Date]],"MMM")</f>
        <v>Dec</v>
      </c>
      <c r="N130" s="1" t="str">
        <f>TEXT(Table1[[#This Row],[Purchase_Date]],"DD")</f>
        <v>09</v>
      </c>
      <c r="O130" s="2" t="s">
        <v>22</v>
      </c>
      <c r="P130" s="3">
        <v>1</v>
      </c>
      <c r="Q130" s="2" t="s">
        <v>23</v>
      </c>
      <c r="R130" s="2" t="s">
        <v>47</v>
      </c>
      <c r="S130">
        <f>Table1[[#This Row],[Purchase_Amount]]*Table1[[#This Row],[Quantity]]</f>
        <v>94.89</v>
      </c>
      <c r="T130" t="str">
        <f>IF(Table1[[#This Row],[Age]]&lt;25,"&lt;25",IF(Table1[[#This Row],[Age]]&lt;=35,"25-35",IF(Table1[[#This Row],[Age]]&lt;=50,"36-50","50+")))</f>
        <v>&lt;25</v>
      </c>
    </row>
    <row r="131" spans="1:20" x14ac:dyDescent="0.3">
      <c r="A131" s="2" t="s">
        <v>720</v>
      </c>
      <c r="B131" s="2" t="s">
        <v>54</v>
      </c>
      <c r="C131" s="3">
        <v>22</v>
      </c>
      <c r="D131" s="2" t="s">
        <v>17</v>
      </c>
      <c r="E131" s="2" t="s">
        <v>49</v>
      </c>
      <c r="F131" s="2" t="s">
        <v>27</v>
      </c>
      <c r="G131" t="s">
        <v>20</v>
      </c>
      <c r="H131" t="s">
        <v>58</v>
      </c>
      <c r="I131" s="4">
        <v>217.01</v>
      </c>
      <c r="J131" s="3">
        <v>1</v>
      </c>
      <c r="K131" s="1">
        <v>45428</v>
      </c>
      <c r="L131" s="1" t="str">
        <f>TEXT(Table1[[#This Row],[Purchase_Date]],"YYYY")</f>
        <v>2024</v>
      </c>
      <c r="M131" s="1" t="str">
        <f>TEXT(Table1[[#This Row],[Purchase_Date]],"MMM")</f>
        <v>May</v>
      </c>
      <c r="N131" s="1" t="str">
        <f>TEXT(Table1[[#This Row],[Purchase_Date]],"DD")</f>
        <v>16</v>
      </c>
      <c r="O131" s="2" t="s">
        <v>30</v>
      </c>
      <c r="P131" s="3">
        <v>8</v>
      </c>
      <c r="Q131" s="2" t="s">
        <v>46</v>
      </c>
      <c r="R131" s="2" t="s">
        <v>24</v>
      </c>
      <c r="S131">
        <f>Table1[[#This Row],[Purchase_Amount]]*Table1[[#This Row],[Quantity]]</f>
        <v>217.01</v>
      </c>
      <c r="T131" t="str">
        <f>IF(Table1[[#This Row],[Age]]&lt;25,"&lt;25",IF(Table1[[#This Row],[Age]]&lt;=35,"25-35",IF(Table1[[#This Row],[Age]]&lt;=50,"36-50","50+")))</f>
        <v>&lt;25</v>
      </c>
    </row>
    <row r="132" spans="1:20" x14ac:dyDescent="0.3">
      <c r="A132" s="2" t="s">
        <v>608</v>
      </c>
      <c r="B132" s="2" t="s">
        <v>54</v>
      </c>
      <c r="C132" s="3">
        <v>22</v>
      </c>
      <c r="D132" s="2" t="s">
        <v>60</v>
      </c>
      <c r="E132" s="2" t="s">
        <v>33</v>
      </c>
      <c r="F132" s="2" t="s">
        <v>44</v>
      </c>
      <c r="G132" t="s">
        <v>20</v>
      </c>
      <c r="H132" t="s">
        <v>411</v>
      </c>
      <c r="I132" s="4">
        <v>507.35</v>
      </c>
      <c r="J132" s="3">
        <v>3</v>
      </c>
      <c r="K132" s="1">
        <v>45391</v>
      </c>
      <c r="L132" s="1" t="str">
        <f>TEXT(Table1[[#This Row],[Purchase_Date]],"YYYY")</f>
        <v>2024</v>
      </c>
      <c r="M132" s="1" t="str">
        <f>TEXT(Table1[[#This Row],[Purchase_Date]],"MMM")</f>
        <v>Apr</v>
      </c>
      <c r="N132" s="1" t="str">
        <f>TEXT(Table1[[#This Row],[Purchase_Date]],"DD")</f>
        <v>09</v>
      </c>
      <c r="O132" s="2" t="s">
        <v>36</v>
      </c>
      <c r="P132" s="3">
        <v>9</v>
      </c>
      <c r="Q132" s="2" t="s">
        <v>23</v>
      </c>
      <c r="R132" s="2" t="s">
        <v>47</v>
      </c>
      <c r="S132">
        <f>Table1[[#This Row],[Purchase_Amount]]*Table1[[#This Row],[Quantity]]</f>
        <v>1522.0500000000002</v>
      </c>
      <c r="T132" t="str">
        <f>IF(Table1[[#This Row],[Age]]&lt;25,"&lt;25",IF(Table1[[#This Row],[Age]]&lt;=35,"25-35",IF(Table1[[#This Row],[Age]]&lt;=50,"36-50","50+")))</f>
        <v>&lt;25</v>
      </c>
    </row>
    <row r="133" spans="1:20" x14ac:dyDescent="0.3">
      <c r="A133" s="2" t="s">
        <v>1075</v>
      </c>
      <c r="B133" s="2" t="s">
        <v>54</v>
      </c>
      <c r="C133" s="3">
        <v>24</v>
      </c>
      <c r="D133" s="2" t="s">
        <v>78</v>
      </c>
      <c r="E133" s="2" t="s">
        <v>18</v>
      </c>
      <c r="F133" s="2" t="s">
        <v>19</v>
      </c>
      <c r="G133" t="s">
        <v>20</v>
      </c>
      <c r="H133" t="s">
        <v>411</v>
      </c>
      <c r="I133" s="4">
        <v>240.53</v>
      </c>
      <c r="J133" s="3">
        <v>1</v>
      </c>
      <c r="K133" s="1">
        <v>45058</v>
      </c>
      <c r="L133" s="1" t="str">
        <f>TEXT(Table1[[#This Row],[Purchase_Date]],"YYYY")</f>
        <v>2023</v>
      </c>
      <c r="M133" s="1" t="str">
        <f>TEXT(Table1[[#This Row],[Purchase_Date]],"MMM")</f>
        <v>May</v>
      </c>
      <c r="N133" s="1" t="str">
        <f>TEXT(Table1[[#This Row],[Purchase_Date]],"DD")</f>
        <v>12</v>
      </c>
      <c r="O133" s="2" t="s">
        <v>41</v>
      </c>
      <c r="P133" s="3">
        <v>2</v>
      </c>
      <c r="Q133" s="2" t="s">
        <v>23</v>
      </c>
      <c r="R133" s="2" t="s">
        <v>47</v>
      </c>
      <c r="S133">
        <f>Table1[[#This Row],[Purchase_Amount]]*Table1[[#This Row],[Quantity]]</f>
        <v>240.53</v>
      </c>
      <c r="T133" t="str">
        <f>IF(Table1[[#This Row],[Age]]&lt;25,"&lt;25",IF(Table1[[#This Row],[Age]]&lt;=35,"25-35",IF(Table1[[#This Row],[Age]]&lt;=50,"36-50","50+")))</f>
        <v>&lt;25</v>
      </c>
    </row>
    <row r="134" spans="1:20" x14ac:dyDescent="0.3">
      <c r="A134" s="2" t="s">
        <v>904</v>
      </c>
      <c r="B134" s="2" t="s">
        <v>54</v>
      </c>
      <c r="C134" s="3">
        <v>26</v>
      </c>
      <c r="D134" s="2" t="s">
        <v>64</v>
      </c>
      <c r="E134" s="2" t="s">
        <v>33</v>
      </c>
      <c r="F134" s="2" t="s">
        <v>27</v>
      </c>
      <c r="G134" t="s">
        <v>20</v>
      </c>
      <c r="H134" t="s">
        <v>167</v>
      </c>
      <c r="I134" s="4">
        <v>341.53</v>
      </c>
      <c r="J134" s="3">
        <v>5</v>
      </c>
      <c r="K134" s="1">
        <v>45201</v>
      </c>
      <c r="L134" s="1" t="str">
        <f>TEXT(Table1[[#This Row],[Purchase_Date]],"YYYY")</f>
        <v>2023</v>
      </c>
      <c r="M134" s="1" t="str">
        <f>TEXT(Table1[[#This Row],[Purchase_Date]],"MMM")</f>
        <v>Oct</v>
      </c>
      <c r="N134" s="1" t="str">
        <f>TEXT(Table1[[#This Row],[Purchase_Date]],"DD")</f>
        <v>02</v>
      </c>
      <c r="O134" s="2" t="s">
        <v>22</v>
      </c>
      <c r="P134" s="3">
        <v>6</v>
      </c>
      <c r="Q134" s="2" t="s">
        <v>46</v>
      </c>
      <c r="R134" s="2" t="s">
        <v>24</v>
      </c>
      <c r="S134">
        <f>Table1[[#This Row],[Purchase_Amount]]*Table1[[#This Row],[Quantity]]</f>
        <v>1707.6499999999999</v>
      </c>
      <c r="T134" t="str">
        <f>IF(Table1[[#This Row],[Age]]&lt;25,"&lt;25",IF(Table1[[#This Row],[Age]]&lt;=35,"25-35",IF(Table1[[#This Row],[Age]]&lt;=50,"36-50","50+")))</f>
        <v>25-35</v>
      </c>
    </row>
    <row r="135" spans="1:20" x14ac:dyDescent="0.3">
      <c r="A135" s="2" t="s">
        <v>166</v>
      </c>
      <c r="B135" s="2" t="s">
        <v>54</v>
      </c>
      <c r="C135" s="3">
        <v>26</v>
      </c>
      <c r="D135" s="2" t="s">
        <v>78</v>
      </c>
      <c r="E135" s="2" t="s">
        <v>33</v>
      </c>
      <c r="F135" s="2" t="s">
        <v>19</v>
      </c>
      <c r="G135" t="s">
        <v>20</v>
      </c>
      <c r="H135" t="s">
        <v>167</v>
      </c>
      <c r="I135" s="4">
        <v>381.08</v>
      </c>
      <c r="J135" s="3">
        <v>5</v>
      </c>
      <c r="K135" s="1">
        <v>44949</v>
      </c>
      <c r="L135" s="1" t="str">
        <f>TEXT(Table1[[#This Row],[Purchase_Date]],"YYYY")</f>
        <v>2023</v>
      </c>
      <c r="M135" s="1" t="str">
        <f>TEXT(Table1[[#This Row],[Purchase_Date]],"MMM")</f>
        <v>Jan</v>
      </c>
      <c r="N135" s="1" t="str">
        <f>TEXT(Table1[[#This Row],[Purchase_Date]],"DD")</f>
        <v>23</v>
      </c>
      <c r="O135" s="2" t="s">
        <v>30</v>
      </c>
      <c r="P135" s="3">
        <v>3</v>
      </c>
      <c r="Q135" s="2" t="s">
        <v>23</v>
      </c>
      <c r="R135" s="2" t="s">
        <v>47</v>
      </c>
      <c r="S135">
        <f>Table1[[#This Row],[Purchase_Amount]]*Table1[[#This Row],[Quantity]]</f>
        <v>1905.3999999999999</v>
      </c>
      <c r="T135" t="str">
        <f>IF(Table1[[#This Row],[Age]]&lt;25,"&lt;25",IF(Table1[[#This Row],[Age]]&lt;=35,"25-35",IF(Table1[[#This Row],[Age]]&lt;=50,"36-50","50+")))</f>
        <v>25-35</v>
      </c>
    </row>
    <row r="136" spans="1:20" x14ac:dyDescent="0.3">
      <c r="A136" s="2" t="s">
        <v>1097</v>
      </c>
      <c r="B136" s="2" t="s">
        <v>54</v>
      </c>
      <c r="C136" s="3">
        <v>27</v>
      </c>
      <c r="D136" s="2" t="s">
        <v>32</v>
      </c>
      <c r="E136" s="2" t="s">
        <v>49</v>
      </c>
      <c r="F136" s="2" t="s">
        <v>44</v>
      </c>
      <c r="G136" t="s">
        <v>20</v>
      </c>
      <c r="H136" t="s">
        <v>542</v>
      </c>
      <c r="I136" s="4">
        <v>533.41999999999996</v>
      </c>
      <c r="J136" s="3">
        <v>4</v>
      </c>
      <c r="K136" s="1">
        <v>45147</v>
      </c>
      <c r="L136" s="1" t="str">
        <f>TEXT(Table1[[#This Row],[Purchase_Date]],"YYYY")</f>
        <v>2023</v>
      </c>
      <c r="M136" s="1" t="str">
        <f>TEXT(Table1[[#This Row],[Purchase_Date]],"MMM")</f>
        <v>Aug</v>
      </c>
      <c r="N136" s="1" t="str">
        <f>TEXT(Table1[[#This Row],[Purchase_Date]],"DD")</f>
        <v>09</v>
      </c>
      <c r="O136" s="2" t="s">
        <v>22</v>
      </c>
      <c r="P136" s="3">
        <v>7</v>
      </c>
      <c r="Q136" s="2" t="s">
        <v>23</v>
      </c>
      <c r="R136" s="2" t="s">
        <v>24</v>
      </c>
      <c r="S136">
        <f>Table1[[#This Row],[Purchase_Amount]]*Table1[[#This Row],[Quantity]]</f>
        <v>2133.6799999999998</v>
      </c>
      <c r="T136" t="str">
        <f>IF(Table1[[#This Row],[Age]]&lt;25,"&lt;25",IF(Table1[[#This Row],[Age]]&lt;=35,"25-35",IF(Table1[[#This Row],[Age]]&lt;=50,"36-50","50+")))</f>
        <v>25-35</v>
      </c>
    </row>
    <row r="137" spans="1:20" x14ac:dyDescent="0.3">
      <c r="A137" s="2" t="s">
        <v>435</v>
      </c>
      <c r="B137" s="2" t="s">
        <v>54</v>
      </c>
      <c r="C137" s="3">
        <v>27</v>
      </c>
      <c r="D137" s="2" t="s">
        <v>17</v>
      </c>
      <c r="E137" s="2" t="s">
        <v>49</v>
      </c>
      <c r="F137" s="2" t="s">
        <v>44</v>
      </c>
      <c r="G137" t="s">
        <v>20</v>
      </c>
      <c r="H137" t="s">
        <v>362</v>
      </c>
      <c r="I137" s="4">
        <v>952.54</v>
      </c>
      <c r="J137" s="3">
        <v>5</v>
      </c>
      <c r="K137" s="1">
        <v>45021</v>
      </c>
      <c r="L137" s="1" t="str">
        <f>TEXT(Table1[[#This Row],[Purchase_Date]],"YYYY")</f>
        <v>2023</v>
      </c>
      <c r="M137" s="1" t="str">
        <f>TEXT(Table1[[#This Row],[Purchase_Date]],"MMM")</f>
        <v>Apr</v>
      </c>
      <c r="N137" s="1" t="str">
        <f>TEXT(Table1[[#This Row],[Purchase_Date]],"DD")</f>
        <v>05</v>
      </c>
      <c r="O137" s="2" t="s">
        <v>30</v>
      </c>
      <c r="P137" s="3">
        <v>3</v>
      </c>
      <c r="Q137" s="2" t="s">
        <v>23</v>
      </c>
      <c r="R137" s="2" t="s">
        <v>47</v>
      </c>
      <c r="S137">
        <f>Table1[[#This Row],[Purchase_Amount]]*Table1[[#This Row],[Quantity]]</f>
        <v>4762.7</v>
      </c>
      <c r="T137" t="str">
        <f>IF(Table1[[#This Row],[Age]]&lt;25,"&lt;25",IF(Table1[[#This Row],[Age]]&lt;=35,"25-35",IF(Table1[[#This Row],[Age]]&lt;=50,"36-50","50+")))</f>
        <v>25-35</v>
      </c>
    </row>
    <row r="138" spans="1:20" x14ac:dyDescent="0.3">
      <c r="A138" s="2" t="s">
        <v>168</v>
      </c>
      <c r="B138" s="2" t="s">
        <v>54</v>
      </c>
      <c r="C138" s="3">
        <v>28</v>
      </c>
      <c r="D138" s="2" t="s">
        <v>43</v>
      </c>
      <c r="E138" s="2" t="s">
        <v>33</v>
      </c>
      <c r="F138" s="2" t="s">
        <v>44</v>
      </c>
      <c r="G138" t="s">
        <v>20</v>
      </c>
      <c r="H138" t="s">
        <v>169</v>
      </c>
      <c r="I138" s="4">
        <v>625.12</v>
      </c>
      <c r="J138" s="3">
        <v>3</v>
      </c>
      <c r="K138" s="1">
        <v>45504</v>
      </c>
      <c r="L138" s="1" t="str">
        <f>TEXT(Table1[[#This Row],[Purchase_Date]],"YYYY")</f>
        <v>2024</v>
      </c>
      <c r="M138" s="1" t="str">
        <f>TEXT(Table1[[#This Row],[Purchase_Date]],"MMM")</f>
        <v>Jul</v>
      </c>
      <c r="N138" s="1" t="str">
        <f>TEXT(Table1[[#This Row],[Purchase_Date]],"DD")</f>
        <v>31</v>
      </c>
      <c r="O138" s="2" t="s">
        <v>36</v>
      </c>
      <c r="P138" s="3">
        <v>4</v>
      </c>
      <c r="Q138" s="2" t="s">
        <v>46</v>
      </c>
      <c r="R138" s="2" t="s">
        <v>24</v>
      </c>
      <c r="S138">
        <f>Table1[[#This Row],[Purchase_Amount]]*Table1[[#This Row],[Quantity]]</f>
        <v>1875.3600000000001</v>
      </c>
      <c r="T138" t="str">
        <f>IF(Table1[[#This Row],[Age]]&lt;25,"&lt;25",IF(Table1[[#This Row],[Age]]&lt;=35,"25-35",IF(Table1[[#This Row],[Age]]&lt;=50,"36-50","50+")))</f>
        <v>25-35</v>
      </c>
    </row>
    <row r="139" spans="1:20" x14ac:dyDescent="0.3">
      <c r="A139" s="2" t="s">
        <v>1012</v>
      </c>
      <c r="B139" s="2" t="s">
        <v>54</v>
      </c>
      <c r="C139" s="3">
        <v>30</v>
      </c>
      <c r="D139" s="2" t="s">
        <v>43</v>
      </c>
      <c r="E139" s="2" t="s">
        <v>49</v>
      </c>
      <c r="F139" s="2" t="s">
        <v>27</v>
      </c>
      <c r="G139" t="s">
        <v>20</v>
      </c>
      <c r="H139" t="s">
        <v>138</v>
      </c>
      <c r="I139" s="4">
        <v>142.44</v>
      </c>
      <c r="J139" s="3">
        <v>1</v>
      </c>
      <c r="K139" s="1">
        <v>45534</v>
      </c>
      <c r="L139" s="1" t="str">
        <f>TEXT(Table1[[#This Row],[Purchase_Date]],"YYYY")</f>
        <v>2024</v>
      </c>
      <c r="M139" s="1" t="str">
        <f>TEXT(Table1[[#This Row],[Purchase_Date]],"MMM")</f>
        <v>Aug</v>
      </c>
      <c r="N139" s="1" t="str">
        <f>TEXT(Table1[[#This Row],[Purchase_Date]],"DD")</f>
        <v>30</v>
      </c>
      <c r="O139" s="2" t="s">
        <v>30</v>
      </c>
      <c r="P139" s="3">
        <v>9</v>
      </c>
      <c r="Q139" s="2" t="s">
        <v>46</v>
      </c>
      <c r="R139" s="2" t="s">
        <v>47</v>
      </c>
      <c r="S139">
        <f>Table1[[#This Row],[Purchase_Amount]]*Table1[[#This Row],[Quantity]]</f>
        <v>142.44</v>
      </c>
      <c r="T139" t="str">
        <f>IF(Table1[[#This Row],[Age]]&lt;25,"&lt;25",IF(Table1[[#This Row],[Age]]&lt;=35,"25-35",IF(Table1[[#This Row],[Age]]&lt;=50,"36-50","50+")))</f>
        <v>25-35</v>
      </c>
    </row>
    <row r="140" spans="1:20" x14ac:dyDescent="0.3">
      <c r="A140" s="2" t="s">
        <v>1025</v>
      </c>
      <c r="B140" s="2" t="s">
        <v>54</v>
      </c>
      <c r="C140" s="3">
        <v>30</v>
      </c>
      <c r="D140" s="2" t="s">
        <v>109</v>
      </c>
      <c r="E140" s="2" t="s">
        <v>49</v>
      </c>
      <c r="F140" s="2" t="s">
        <v>27</v>
      </c>
      <c r="G140" t="s">
        <v>20</v>
      </c>
      <c r="H140" t="s">
        <v>158</v>
      </c>
      <c r="I140" s="4">
        <v>706.99</v>
      </c>
      <c r="J140" s="3">
        <v>3</v>
      </c>
      <c r="K140" s="1">
        <v>45037</v>
      </c>
      <c r="L140" s="1" t="str">
        <f>TEXT(Table1[[#This Row],[Purchase_Date]],"YYYY")</f>
        <v>2023</v>
      </c>
      <c r="M140" s="1" t="str">
        <f>TEXT(Table1[[#This Row],[Purchase_Date]],"MMM")</f>
        <v>Apr</v>
      </c>
      <c r="N140" s="1" t="str">
        <f>TEXT(Table1[[#This Row],[Purchase_Date]],"DD")</f>
        <v>21</v>
      </c>
      <c r="O140" s="2" t="s">
        <v>30</v>
      </c>
      <c r="P140" s="3">
        <v>5</v>
      </c>
      <c r="Q140" s="2" t="s">
        <v>23</v>
      </c>
      <c r="R140" s="2" t="s">
        <v>24</v>
      </c>
      <c r="S140">
        <f>Table1[[#This Row],[Purchase_Amount]]*Table1[[#This Row],[Quantity]]</f>
        <v>2120.9700000000003</v>
      </c>
      <c r="T140" t="str">
        <f>IF(Table1[[#This Row],[Age]]&lt;25,"&lt;25",IF(Table1[[#This Row],[Age]]&lt;=35,"25-35",IF(Table1[[#This Row],[Age]]&lt;=50,"36-50","50+")))</f>
        <v>25-35</v>
      </c>
    </row>
    <row r="141" spans="1:20" x14ac:dyDescent="0.3">
      <c r="A141" s="2" t="s">
        <v>579</v>
      </c>
      <c r="B141" s="2" t="s">
        <v>54</v>
      </c>
      <c r="C141" s="3">
        <v>33</v>
      </c>
      <c r="D141" s="2" t="s">
        <v>78</v>
      </c>
      <c r="E141" s="2" t="s">
        <v>49</v>
      </c>
      <c r="F141" s="2" t="s">
        <v>44</v>
      </c>
      <c r="G141" t="s">
        <v>20</v>
      </c>
      <c r="H141" t="s">
        <v>312</v>
      </c>
      <c r="I141" s="4">
        <v>730.35</v>
      </c>
      <c r="J141" s="3">
        <v>3</v>
      </c>
      <c r="K141" s="1">
        <v>45143</v>
      </c>
      <c r="L141" s="1" t="str">
        <f>TEXT(Table1[[#This Row],[Purchase_Date]],"YYYY")</f>
        <v>2023</v>
      </c>
      <c r="M141" s="1" t="str">
        <f>TEXT(Table1[[#This Row],[Purchase_Date]],"MMM")</f>
        <v>Aug</v>
      </c>
      <c r="N141" s="1" t="str">
        <f>TEXT(Table1[[#This Row],[Purchase_Date]],"DD")</f>
        <v>05</v>
      </c>
      <c r="O141" s="2" t="s">
        <v>30</v>
      </c>
      <c r="P141" s="3">
        <v>8</v>
      </c>
      <c r="Q141" s="2" t="s">
        <v>23</v>
      </c>
      <c r="R141" s="2" t="s">
        <v>47</v>
      </c>
      <c r="S141">
        <f>Table1[[#This Row],[Purchase_Amount]]*Table1[[#This Row],[Quantity]]</f>
        <v>2191.0500000000002</v>
      </c>
      <c r="T141" t="str">
        <f>IF(Table1[[#This Row],[Age]]&lt;25,"&lt;25",IF(Table1[[#This Row],[Age]]&lt;=35,"25-35",IF(Table1[[#This Row],[Age]]&lt;=50,"36-50","50+")))</f>
        <v>25-35</v>
      </c>
    </row>
    <row r="142" spans="1:20" x14ac:dyDescent="0.3">
      <c r="A142" s="2" t="s">
        <v>1073</v>
      </c>
      <c r="B142" s="2" t="s">
        <v>54</v>
      </c>
      <c r="C142" s="3">
        <v>36</v>
      </c>
      <c r="D142" s="2" t="s">
        <v>38</v>
      </c>
      <c r="E142" s="2" t="s">
        <v>33</v>
      </c>
      <c r="F142" s="2" t="s">
        <v>44</v>
      </c>
      <c r="G142" t="s">
        <v>20</v>
      </c>
      <c r="H142" t="s">
        <v>97</v>
      </c>
      <c r="I142" s="4">
        <v>523.55999999999995</v>
      </c>
      <c r="J142" s="3">
        <v>1</v>
      </c>
      <c r="K142" s="1">
        <v>45124</v>
      </c>
      <c r="L142" s="1" t="str">
        <f>TEXT(Table1[[#This Row],[Purchase_Date]],"YYYY")</f>
        <v>2023</v>
      </c>
      <c r="M142" s="1" t="str">
        <f>TEXT(Table1[[#This Row],[Purchase_Date]],"MMM")</f>
        <v>Jul</v>
      </c>
      <c r="N142" s="1" t="str">
        <f>TEXT(Table1[[#This Row],[Purchase_Date]],"DD")</f>
        <v>17</v>
      </c>
      <c r="O142" s="2" t="s">
        <v>22</v>
      </c>
      <c r="P142" s="3">
        <v>9</v>
      </c>
      <c r="Q142" s="2" t="s">
        <v>23</v>
      </c>
      <c r="R142" s="2" t="s">
        <v>47</v>
      </c>
      <c r="S142">
        <f>Table1[[#This Row],[Purchase_Amount]]*Table1[[#This Row],[Quantity]]</f>
        <v>523.55999999999995</v>
      </c>
      <c r="T142" t="str">
        <f>IF(Table1[[#This Row],[Age]]&lt;25,"&lt;25",IF(Table1[[#This Row],[Age]]&lt;=35,"25-35",IF(Table1[[#This Row],[Age]]&lt;=50,"36-50","50+")))</f>
        <v>36-50</v>
      </c>
    </row>
    <row r="143" spans="1:20" x14ac:dyDescent="0.3">
      <c r="A143" s="2" t="s">
        <v>1201</v>
      </c>
      <c r="B143" s="2" t="s">
        <v>54</v>
      </c>
      <c r="C143" s="3">
        <v>37</v>
      </c>
      <c r="D143" s="2" t="s">
        <v>78</v>
      </c>
      <c r="E143" s="2" t="s">
        <v>49</v>
      </c>
      <c r="F143" s="2" t="s">
        <v>27</v>
      </c>
      <c r="G143" t="s">
        <v>20</v>
      </c>
      <c r="H143" t="s">
        <v>458</v>
      </c>
      <c r="I143" s="4">
        <v>348.97</v>
      </c>
      <c r="J143" s="3">
        <v>2</v>
      </c>
      <c r="K143" s="1">
        <v>44995</v>
      </c>
      <c r="L143" s="1" t="str">
        <f>TEXT(Table1[[#This Row],[Purchase_Date]],"YYYY")</f>
        <v>2023</v>
      </c>
      <c r="M143" s="1" t="str">
        <f>TEXT(Table1[[#This Row],[Purchase_Date]],"MMM")</f>
        <v>Mar</v>
      </c>
      <c r="N143" s="1" t="str">
        <f>TEXT(Table1[[#This Row],[Purchase_Date]],"DD")</f>
        <v>10</v>
      </c>
      <c r="O143" s="2" t="s">
        <v>36</v>
      </c>
      <c r="P143" s="3">
        <v>6</v>
      </c>
      <c r="Q143" s="2" t="s">
        <v>23</v>
      </c>
      <c r="R143" s="2" t="s">
        <v>24</v>
      </c>
      <c r="S143">
        <f>Table1[[#This Row],[Purchase_Amount]]*Table1[[#This Row],[Quantity]]</f>
        <v>697.94</v>
      </c>
      <c r="T143" t="str">
        <f>IF(Table1[[#This Row],[Age]]&lt;25,"&lt;25",IF(Table1[[#This Row],[Age]]&lt;=35,"25-35",IF(Table1[[#This Row],[Age]]&lt;=50,"36-50","50+")))</f>
        <v>36-50</v>
      </c>
    </row>
    <row r="144" spans="1:20" x14ac:dyDescent="0.3">
      <c r="A144" s="2" t="s">
        <v>1095</v>
      </c>
      <c r="B144" s="2" t="s">
        <v>54</v>
      </c>
      <c r="C144" s="3">
        <v>39</v>
      </c>
      <c r="D144" s="2" t="s">
        <v>109</v>
      </c>
      <c r="E144" s="2" t="s">
        <v>49</v>
      </c>
      <c r="F144" s="2" t="s">
        <v>27</v>
      </c>
      <c r="G144" t="s">
        <v>20</v>
      </c>
      <c r="H144" t="s">
        <v>832</v>
      </c>
      <c r="I144" s="4">
        <v>649.94000000000005</v>
      </c>
      <c r="J144" s="3">
        <v>4</v>
      </c>
      <c r="K144" s="1">
        <v>45097</v>
      </c>
      <c r="L144" s="1" t="str">
        <f>TEXT(Table1[[#This Row],[Purchase_Date]],"YYYY")</f>
        <v>2023</v>
      </c>
      <c r="M144" s="1" t="str">
        <f>TEXT(Table1[[#This Row],[Purchase_Date]],"MMM")</f>
        <v>Jun</v>
      </c>
      <c r="N144" s="1" t="str">
        <f>TEXT(Table1[[#This Row],[Purchase_Date]],"DD")</f>
        <v>20</v>
      </c>
      <c r="O144" s="2" t="s">
        <v>41</v>
      </c>
      <c r="P144" s="3">
        <v>6</v>
      </c>
      <c r="Q144" s="2" t="s">
        <v>23</v>
      </c>
      <c r="R144" s="2" t="s">
        <v>47</v>
      </c>
      <c r="S144">
        <f>Table1[[#This Row],[Purchase_Amount]]*Table1[[#This Row],[Quantity]]</f>
        <v>2599.7600000000002</v>
      </c>
      <c r="T144" t="str">
        <f>IF(Table1[[#This Row],[Age]]&lt;25,"&lt;25",IF(Table1[[#This Row],[Age]]&lt;=35,"25-35",IF(Table1[[#This Row],[Age]]&lt;=50,"36-50","50+")))</f>
        <v>36-50</v>
      </c>
    </row>
    <row r="145" spans="1:20" x14ac:dyDescent="0.3">
      <c r="A145" s="2" t="s">
        <v>500</v>
      </c>
      <c r="B145" s="2" t="s">
        <v>54</v>
      </c>
      <c r="C145" s="3">
        <v>40</v>
      </c>
      <c r="D145" s="2" t="s">
        <v>32</v>
      </c>
      <c r="E145" s="2" t="s">
        <v>33</v>
      </c>
      <c r="F145" s="2" t="s">
        <v>44</v>
      </c>
      <c r="G145" t="s">
        <v>20</v>
      </c>
      <c r="H145" t="s">
        <v>317</v>
      </c>
      <c r="I145" s="4">
        <v>898.98</v>
      </c>
      <c r="J145" s="3">
        <v>1</v>
      </c>
      <c r="K145" s="1">
        <v>45563</v>
      </c>
      <c r="L145" s="1" t="str">
        <f>TEXT(Table1[[#This Row],[Purchase_Date]],"YYYY")</f>
        <v>2024</v>
      </c>
      <c r="M145" s="1" t="str">
        <f>TEXT(Table1[[#This Row],[Purchase_Date]],"MMM")</f>
        <v>Sep</v>
      </c>
      <c r="N145" s="1" t="str">
        <f>TEXT(Table1[[#This Row],[Purchase_Date]],"DD")</f>
        <v>28</v>
      </c>
      <c r="O145" s="2" t="s">
        <v>36</v>
      </c>
      <c r="P145" s="3">
        <v>3</v>
      </c>
      <c r="Q145" s="2" t="s">
        <v>46</v>
      </c>
      <c r="R145" s="2" t="s">
        <v>24</v>
      </c>
      <c r="S145">
        <f>Table1[[#This Row],[Purchase_Amount]]*Table1[[#This Row],[Quantity]]</f>
        <v>898.98</v>
      </c>
      <c r="T145" t="str">
        <f>IF(Table1[[#This Row],[Age]]&lt;25,"&lt;25",IF(Table1[[#This Row],[Age]]&lt;=35,"25-35",IF(Table1[[#This Row],[Age]]&lt;=50,"36-50","50+")))</f>
        <v>36-50</v>
      </c>
    </row>
    <row r="146" spans="1:20" x14ac:dyDescent="0.3">
      <c r="A146" s="2" t="s">
        <v>614</v>
      </c>
      <c r="B146" s="2" t="s">
        <v>54</v>
      </c>
      <c r="C146" s="3">
        <v>40</v>
      </c>
      <c r="D146" s="2" t="s">
        <v>43</v>
      </c>
      <c r="E146" s="2" t="s">
        <v>49</v>
      </c>
      <c r="F146" s="2" t="s">
        <v>44</v>
      </c>
      <c r="G146" t="s">
        <v>20</v>
      </c>
      <c r="H146" t="s">
        <v>134</v>
      </c>
      <c r="I146" s="4">
        <v>921.33</v>
      </c>
      <c r="J146" s="3">
        <v>2</v>
      </c>
      <c r="K146" s="1">
        <v>45351</v>
      </c>
      <c r="L146" s="1" t="str">
        <f>TEXT(Table1[[#This Row],[Purchase_Date]],"YYYY")</f>
        <v>2024</v>
      </c>
      <c r="M146" s="1" t="str">
        <f>TEXT(Table1[[#This Row],[Purchase_Date]],"MMM")</f>
        <v>Feb</v>
      </c>
      <c r="N146" s="1" t="str">
        <f>TEXT(Table1[[#This Row],[Purchase_Date]],"DD")</f>
        <v>29</v>
      </c>
      <c r="O146" s="2" t="s">
        <v>41</v>
      </c>
      <c r="P146" s="3">
        <v>1</v>
      </c>
      <c r="Q146" s="2" t="s">
        <v>23</v>
      </c>
      <c r="R146" s="2" t="s">
        <v>47</v>
      </c>
      <c r="S146">
        <f>Table1[[#This Row],[Purchase_Amount]]*Table1[[#This Row],[Quantity]]</f>
        <v>1842.66</v>
      </c>
      <c r="T146" t="str">
        <f>IF(Table1[[#This Row],[Age]]&lt;25,"&lt;25",IF(Table1[[#This Row],[Age]]&lt;=35,"25-35",IF(Table1[[#This Row],[Age]]&lt;=50,"36-50","50+")))</f>
        <v>36-50</v>
      </c>
    </row>
    <row r="147" spans="1:20" x14ac:dyDescent="0.3">
      <c r="A147" s="2" t="s">
        <v>1168</v>
      </c>
      <c r="B147" s="2" t="s">
        <v>54</v>
      </c>
      <c r="C147" s="3">
        <v>41</v>
      </c>
      <c r="D147" s="2" t="s">
        <v>78</v>
      </c>
      <c r="E147" s="2" t="s">
        <v>18</v>
      </c>
      <c r="F147" s="2" t="s">
        <v>44</v>
      </c>
      <c r="G147" t="s">
        <v>20</v>
      </c>
      <c r="H147" t="s">
        <v>479</v>
      </c>
      <c r="I147" s="4">
        <v>366.46</v>
      </c>
      <c r="J147" s="3">
        <v>3</v>
      </c>
      <c r="K147" s="1">
        <v>45566</v>
      </c>
      <c r="L147" s="1" t="str">
        <f>TEXT(Table1[[#This Row],[Purchase_Date]],"YYYY")</f>
        <v>2024</v>
      </c>
      <c r="M147" s="1" t="str">
        <f>TEXT(Table1[[#This Row],[Purchase_Date]],"MMM")</f>
        <v>Oct</v>
      </c>
      <c r="N147" s="1" t="str">
        <f>TEXT(Table1[[#This Row],[Purchase_Date]],"DD")</f>
        <v>01</v>
      </c>
      <c r="O147" s="2" t="s">
        <v>41</v>
      </c>
      <c r="P147" s="3">
        <v>7</v>
      </c>
      <c r="Q147" s="2" t="s">
        <v>46</v>
      </c>
      <c r="R147" s="2" t="s">
        <v>24</v>
      </c>
      <c r="S147">
        <f>Table1[[#This Row],[Purchase_Amount]]*Table1[[#This Row],[Quantity]]</f>
        <v>1099.3799999999999</v>
      </c>
      <c r="T147" t="str">
        <f>IF(Table1[[#This Row],[Age]]&lt;25,"&lt;25",IF(Table1[[#This Row],[Age]]&lt;=35,"25-35",IF(Table1[[#This Row],[Age]]&lt;=50,"36-50","50+")))</f>
        <v>36-50</v>
      </c>
    </row>
    <row r="148" spans="1:20" x14ac:dyDescent="0.3">
      <c r="A148" s="2" t="s">
        <v>1233</v>
      </c>
      <c r="B148" s="2" t="s">
        <v>54</v>
      </c>
      <c r="C148" s="3">
        <v>41</v>
      </c>
      <c r="D148" s="2" t="s">
        <v>43</v>
      </c>
      <c r="E148" s="2" t="s">
        <v>18</v>
      </c>
      <c r="F148" s="2" t="s">
        <v>27</v>
      </c>
      <c r="G148" t="s">
        <v>20</v>
      </c>
      <c r="H148" t="s">
        <v>29</v>
      </c>
      <c r="I148" s="4">
        <v>632.05999999999995</v>
      </c>
      <c r="J148" s="3">
        <v>1</v>
      </c>
      <c r="K148" s="1">
        <v>45445</v>
      </c>
      <c r="L148" s="1" t="str">
        <f>TEXT(Table1[[#This Row],[Purchase_Date]],"YYYY")</f>
        <v>2024</v>
      </c>
      <c r="M148" s="1" t="str">
        <f>TEXT(Table1[[#This Row],[Purchase_Date]],"MMM")</f>
        <v>Jun</v>
      </c>
      <c r="N148" s="1" t="str">
        <f>TEXT(Table1[[#This Row],[Purchase_Date]],"DD")</f>
        <v>02</v>
      </c>
      <c r="O148" s="2" t="s">
        <v>36</v>
      </c>
      <c r="P148" s="3">
        <v>1</v>
      </c>
      <c r="Q148" s="2" t="s">
        <v>23</v>
      </c>
      <c r="R148" s="2" t="s">
        <v>47</v>
      </c>
      <c r="S148">
        <f>Table1[[#This Row],[Purchase_Amount]]*Table1[[#This Row],[Quantity]]</f>
        <v>632.05999999999995</v>
      </c>
      <c r="T148" t="str">
        <f>IF(Table1[[#This Row],[Age]]&lt;25,"&lt;25",IF(Table1[[#This Row],[Age]]&lt;=35,"25-35",IF(Table1[[#This Row],[Age]]&lt;=50,"36-50","50+")))</f>
        <v>36-50</v>
      </c>
    </row>
    <row r="149" spans="1:20" x14ac:dyDescent="0.3">
      <c r="A149" s="2" t="s">
        <v>422</v>
      </c>
      <c r="B149" s="2" t="s">
        <v>54</v>
      </c>
      <c r="C149" s="3">
        <v>43</v>
      </c>
      <c r="D149" s="2" t="s">
        <v>64</v>
      </c>
      <c r="E149" s="2" t="s">
        <v>49</v>
      </c>
      <c r="F149" s="2" t="s">
        <v>27</v>
      </c>
      <c r="G149" t="s">
        <v>20</v>
      </c>
      <c r="H149" t="s">
        <v>302</v>
      </c>
      <c r="I149" s="4">
        <v>744.15</v>
      </c>
      <c r="J149" s="3">
        <v>3</v>
      </c>
      <c r="K149" s="1">
        <v>45400</v>
      </c>
      <c r="L149" s="1" t="str">
        <f>TEXT(Table1[[#This Row],[Purchase_Date]],"YYYY")</f>
        <v>2024</v>
      </c>
      <c r="M149" s="1" t="str">
        <f>TEXT(Table1[[#This Row],[Purchase_Date]],"MMM")</f>
        <v>Apr</v>
      </c>
      <c r="N149" s="1" t="str">
        <f>TEXT(Table1[[#This Row],[Purchase_Date]],"DD")</f>
        <v>18</v>
      </c>
      <c r="O149" s="2" t="s">
        <v>36</v>
      </c>
      <c r="P149" s="3">
        <v>2</v>
      </c>
      <c r="Q149" s="2" t="s">
        <v>46</v>
      </c>
      <c r="R149" s="2" t="s">
        <v>24</v>
      </c>
      <c r="S149">
        <f>Table1[[#This Row],[Purchase_Amount]]*Table1[[#This Row],[Quantity]]</f>
        <v>2232.4499999999998</v>
      </c>
      <c r="T149" t="str">
        <f>IF(Table1[[#This Row],[Age]]&lt;25,"&lt;25",IF(Table1[[#This Row],[Age]]&lt;=35,"25-35",IF(Table1[[#This Row],[Age]]&lt;=50,"36-50","50+")))</f>
        <v>36-50</v>
      </c>
    </row>
    <row r="150" spans="1:20" x14ac:dyDescent="0.3">
      <c r="A150" s="2" t="s">
        <v>1242</v>
      </c>
      <c r="B150" s="2" t="s">
        <v>54</v>
      </c>
      <c r="C150" s="3">
        <v>45</v>
      </c>
      <c r="D150" s="2" t="s">
        <v>17</v>
      </c>
      <c r="E150" s="2" t="s">
        <v>18</v>
      </c>
      <c r="F150" s="2" t="s">
        <v>27</v>
      </c>
      <c r="G150" t="s">
        <v>20</v>
      </c>
      <c r="H150" t="s">
        <v>70</v>
      </c>
      <c r="I150" s="4">
        <v>65.650000000000006</v>
      </c>
      <c r="J150" s="3">
        <v>5</v>
      </c>
      <c r="K150" s="1">
        <v>44959</v>
      </c>
      <c r="L150" s="1" t="str">
        <f>TEXT(Table1[[#This Row],[Purchase_Date]],"YYYY")</f>
        <v>2023</v>
      </c>
      <c r="M150" s="1" t="str">
        <f>TEXT(Table1[[#This Row],[Purchase_Date]],"MMM")</f>
        <v>Feb</v>
      </c>
      <c r="N150" s="1" t="str">
        <f>TEXT(Table1[[#This Row],[Purchase_Date]],"DD")</f>
        <v>02</v>
      </c>
      <c r="O150" s="2" t="s">
        <v>30</v>
      </c>
      <c r="P150" s="3">
        <v>7</v>
      </c>
      <c r="Q150" s="2" t="s">
        <v>23</v>
      </c>
      <c r="R150" s="2" t="s">
        <v>47</v>
      </c>
      <c r="S150">
        <f>Table1[[#This Row],[Purchase_Amount]]*Table1[[#This Row],[Quantity]]</f>
        <v>328.25</v>
      </c>
      <c r="T150" t="str">
        <f>IF(Table1[[#This Row],[Age]]&lt;25,"&lt;25",IF(Table1[[#This Row],[Age]]&lt;=35,"25-35",IF(Table1[[#This Row],[Age]]&lt;=50,"36-50","50+")))</f>
        <v>36-50</v>
      </c>
    </row>
    <row r="151" spans="1:20" x14ac:dyDescent="0.3">
      <c r="A151" s="2" t="s">
        <v>1005</v>
      </c>
      <c r="B151" s="2" t="s">
        <v>54</v>
      </c>
      <c r="C151" s="3">
        <v>46</v>
      </c>
      <c r="D151" s="2" t="s">
        <v>64</v>
      </c>
      <c r="E151" s="2" t="s">
        <v>49</v>
      </c>
      <c r="F151" s="2" t="s">
        <v>44</v>
      </c>
      <c r="G151" t="s">
        <v>20</v>
      </c>
      <c r="H151" t="s">
        <v>893</v>
      </c>
      <c r="I151" s="4">
        <v>742.19</v>
      </c>
      <c r="J151" s="3">
        <v>4</v>
      </c>
      <c r="K151" s="1">
        <v>45553</v>
      </c>
      <c r="L151" s="1" t="str">
        <f>TEXT(Table1[[#This Row],[Purchase_Date]],"YYYY")</f>
        <v>2024</v>
      </c>
      <c r="M151" s="1" t="str">
        <f>TEXT(Table1[[#This Row],[Purchase_Date]],"MMM")</f>
        <v>Sep</v>
      </c>
      <c r="N151" s="1" t="str">
        <f>TEXT(Table1[[#This Row],[Purchase_Date]],"DD")</f>
        <v>18</v>
      </c>
      <c r="O151" s="2" t="s">
        <v>22</v>
      </c>
      <c r="P151" s="3">
        <v>10</v>
      </c>
      <c r="Q151" s="2" t="s">
        <v>23</v>
      </c>
      <c r="R151" s="2" t="s">
        <v>24</v>
      </c>
      <c r="S151">
        <f>Table1[[#This Row],[Purchase_Amount]]*Table1[[#This Row],[Quantity]]</f>
        <v>2968.76</v>
      </c>
      <c r="T151" t="str">
        <f>IF(Table1[[#This Row],[Age]]&lt;25,"&lt;25",IF(Table1[[#This Row],[Age]]&lt;=35,"25-35",IF(Table1[[#This Row],[Age]]&lt;=50,"36-50","50+")))</f>
        <v>36-50</v>
      </c>
    </row>
    <row r="152" spans="1:20" x14ac:dyDescent="0.3">
      <c r="A152" s="2" t="s">
        <v>1074</v>
      </c>
      <c r="B152" s="2" t="s">
        <v>54</v>
      </c>
      <c r="C152" s="3">
        <v>47</v>
      </c>
      <c r="D152" s="2" t="s">
        <v>43</v>
      </c>
      <c r="E152" s="2" t="s">
        <v>33</v>
      </c>
      <c r="F152" s="2" t="s">
        <v>44</v>
      </c>
      <c r="G152" t="s">
        <v>20</v>
      </c>
      <c r="H152" t="s">
        <v>169</v>
      </c>
      <c r="I152" s="4">
        <v>60.65</v>
      </c>
      <c r="J152" s="3">
        <v>5</v>
      </c>
      <c r="K152" s="1">
        <v>45055</v>
      </c>
      <c r="L152" s="1" t="str">
        <f>TEXT(Table1[[#This Row],[Purchase_Date]],"YYYY")</f>
        <v>2023</v>
      </c>
      <c r="M152" s="1" t="str">
        <f>TEXT(Table1[[#This Row],[Purchase_Date]],"MMM")</f>
        <v>May</v>
      </c>
      <c r="N152" s="1" t="str">
        <f>TEXT(Table1[[#This Row],[Purchase_Date]],"DD")</f>
        <v>09</v>
      </c>
      <c r="O152" s="2" t="s">
        <v>30</v>
      </c>
      <c r="P152" s="3">
        <v>2</v>
      </c>
      <c r="Q152" s="2" t="s">
        <v>46</v>
      </c>
      <c r="R152" s="2" t="s">
        <v>24</v>
      </c>
      <c r="S152">
        <f>Table1[[#This Row],[Purchase_Amount]]*Table1[[#This Row],[Quantity]]</f>
        <v>303.25</v>
      </c>
      <c r="T152" t="str">
        <f>IF(Table1[[#This Row],[Age]]&lt;25,"&lt;25",IF(Table1[[#This Row],[Age]]&lt;=35,"25-35",IF(Table1[[#This Row],[Age]]&lt;=50,"36-50","50+")))</f>
        <v>36-50</v>
      </c>
    </row>
    <row r="153" spans="1:20" x14ac:dyDescent="0.3">
      <c r="A153" s="2" t="s">
        <v>529</v>
      </c>
      <c r="B153" s="2" t="s">
        <v>54</v>
      </c>
      <c r="C153" s="3">
        <v>47</v>
      </c>
      <c r="D153" s="2" t="s">
        <v>64</v>
      </c>
      <c r="E153" s="2" t="s">
        <v>33</v>
      </c>
      <c r="F153" s="2" t="s">
        <v>27</v>
      </c>
      <c r="G153" t="s">
        <v>20</v>
      </c>
      <c r="H153" t="s">
        <v>171</v>
      </c>
      <c r="I153" s="4">
        <v>77.760000000000005</v>
      </c>
      <c r="J153" s="3">
        <v>2</v>
      </c>
      <c r="K153" s="1">
        <v>45126</v>
      </c>
      <c r="L153" s="1" t="str">
        <f>TEXT(Table1[[#This Row],[Purchase_Date]],"YYYY")</f>
        <v>2023</v>
      </c>
      <c r="M153" s="1" t="str">
        <f>TEXT(Table1[[#This Row],[Purchase_Date]],"MMM")</f>
        <v>Jul</v>
      </c>
      <c r="N153" s="1" t="str">
        <f>TEXT(Table1[[#This Row],[Purchase_Date]],"DD")</f>
        <v>19</v>
      </c>
      <c r="O153" s="2" t="s">
        <v>22</v>
      </c>
      <c r="P153" s="3">
        <v>10</v>
      </c>
      <c r="Q153" s="2" t="s">
        <v>23</v>
      </c>
      <c r="R153" s="2" t="s">
        <v>47</v>
      </c>
      <c r="S153">
        <f>Table1[[#This Row],[Purchase_Amount]]*Table1[[#This Row],[Quantity]]</f>
        <v>155.52000000000001</v>
      </c>
      <c r="T153" t="str">
        <f>IF(Table1[[#This Row],[Age]]&lt;25,"&lt;25",IF(Table1[[#This Row],[Age]]&lt;=35,"25-35",IF(Table1[[#This Row],[Age]]&lt;=50,"36-50","50+")))</f>
        <v>36-50</v>
      </c>
    </row>
    <row r="154" spans="1:20" x14ac:dyDescent="0.3">
      <c r="A154" s="2" t="s">
        <v>757</v>
      </c>
      <c r="B154" s="2" t="s">
        <v>54</v>
      </c>
      <c r="C154" s="3">
        <v>47</v>
      </c>
      <c r="D154" s="2" t="s">
        <v>64</v>
      </c>
      <c r="E154" s="2" t="s">
        <v>18</v>
      </c>
      <c r="F154" s="2" t="s">
        <v>19</v>
      </c>
      <c r="G154" t="s">
        <v>20</v>
      </c>
      <c r="H154" t="s">
        <v>91</v>
      </c>
      <c r="I154" s="4">
        <v>311.45</v>
      </c>
      <c r="J154" s="3">
        <v>2</v>
      </c>
      <c r="K154" s="1">
        <v>45031</v>
      </c>
      <c r="L154" s="1" t="str">
        <f>TEXT(Table1[[#This Row],[Purchase_Date]],"YYYY")</f>
        <v>2023</v>
      </c>
      <c r="M154" s="1" t="str">
        <f>TEXT(Table1[[#This Row],[Purchase_Date]],"MMM")</f>
        <v>Apr</v>
      </c>
      <c r="N154" s="1" t="str">
        <f>TEXT(Table1[[#This Row],[Purchase_Date]],"DD")</f>
        <v>15</v>
      </c>
      <c r="O154" s="2" t="s">
        <v>30</v>
      </c>
      <c r="P154" s="3">
        <v>6</v>
      </c>
      <c r="Q154" s="2" t="s">
        <v>23</v>
      </c>
      <c r="R154" s="2" t="s">
        <v>24</v>
      </c>
      <c r="S154">
        <f>Table1[[#This Row],[Purchase_Amount]]*Table1[[#This Row],[Quantity]]</f>
        <v>622.9</v>
      </c>
      <c r="T154" t="str">
        <f>IF(Table1[[#This Row],[Age]]&lt;25,"&lt;25",IF(Table1[[#This Row],[Age]]&lt;=35,"25-35",IF(Table1[[#This Row],[Age]]&lt;=50,"36-50","50+")))</f>
        <v>36-50</v>
      </c>
    </row>
    <row r="155" spans="1:20" x14ac:dyDescent="0.3">
      <c r="A155" s="2" t="s">
        <v>867</v>
      </c>
      <c r="B155" s="2" t="s">
        <v>54</v>
      </c>
      <c r="C155" s="3">
        <v>49</v>
      </c>
      <c r="D155" s="2" t="s">
        <v>64</v>
      </c>
      <c r="E155" s="2" t="s">
        <v>18</v>
      </c>
      <c r="F155" s="2" t="s">
        <v>27</v>
      </c>
      <c r="G155" t="s">
        <v>20</v>
      </c>
      <c r="H155" t="s">
        <v>364</v>
      </c>
      <c r="I155" s="4">
        <v>20.41</v>
      </c>
      <c r="J155" s="3">
        <v>1</v>
      </c>
      <c r="K155" s="1">
        <v>45310</v>
      </c>
      <c r="L155" s="1" t="str">
        <f>TEXT(Table1[[#This Row],[Purchase_Date]],"YYYY")</f>
        <v>2024</v>
      </c>
      <c r="M155" s="1" t="str">
        <f>TEXT(Table1[[#This Row],[Purchase_Date]],"MMM")</f>
        <v>Jan</v>
      </c>
      <c r="N155" s="1" t="str">
        <f>TEXT(Table1[[#This Row],[Purchase_Date]],"DD")</f>
        <v>19</v>
      </c>
      <c r="O155" s="2" t="s">
        <v>36</v>
      </c>
      <c r="P155" s="3">
        <v>10</v>
      </c>
      <c r="Q155" s="2" t="s">
        <v>46</v>
      </c>
      <c r="R155" s="2" t="s">
        <v>24</v>
      </c>
      <c r="S155">
        <f>Table1[[#This Row],[Purchase_Amount]]*Table1[[#This Row],[Quantity]]</f>
        <v>20.41</v>
      </c>
      <c r="T155" t="str">
        <f>IF(Table1[[#This Row],[Age]]&lt;25,"&lt;25",IF(Table1[[#This Row],[Age]]&lt;=35,"25-35",IF(Table1[[#This Row],[Age]]&lt;=50,"36-50","50+")))</f>
        <v>36-50</v>
      </c>
    </row>
    <row r="156" spans="1:20" x14ac:dyDescent="0.3">
      <c r="A156" s="2" t="s">
        <v>576</v>
      </c>
      <c r="B156" s="2" t="s">
        <v>54</v>
      </c>
      <c r="C156" s="3">
        <v>49</v>
      </c>
      <c r="D156" s="2" t="s">
        <v>32</v>
      </c>
      <c r="E156" s="2" t="s">
        <v>49</v>
      </c>
      <c r="F156" s="2" t="s">
        <v>27</v>
      </c>
      <c r="G156" t="s">
        <v>20</v>
      </c>
      <c r="H156" t="s">
        <v>314</v>
      </c>
      <c r="I156" s="4">
        <v>385.94</v>
      </c>
      <c r="J156" s="3">
        <v>3</v>
      </c>
      <c r="K156" s="1">
        <v>45500</v>
      </c>
      <c r="L156" s="1" t="str">
        <f>TEXT(Table1[[#This Row],[Purchase_Date]],"YYYY")</f>
        <v>2024</v>
      </c>
      <c r="M156" s="1" t="str">
        <f>TEXT(Table1[[#This Row],[Purchase_Date]],"MMM")</f>
        <v>Jul</v>
      </c>
      <c r="N156" s="1" t="str">
        <f>TEXT(Table1[[#This Row],[Purchase_Date]],"DD")</f>
        <v>27</v>
      </c>
      <c r="O156" s="2" t="s">
        <v>22</v>
      </c>
      <c r="P156" s="3">
        <v>6</v>
      </c>
      <c r="Q156" s="2" t="s">
        <v>46</v>
      </c>
      <c r="R156" s="2" t="s">
        <v>47</v>
      </c>
      <c r="S156">
        <f>Table1[[#This Row],[Purchase_Amount]]*Table1[[#This Row],[Quantity]]</f>
        <v>1157.82</v>
      </c>
      <c r="T156" t="str">
        <f>IF(Table1[[#This Row],[Age]]&lt;25,"&lt;25",IF(Table1[[#This Row],[Age]]&lt;=35,"25-35",IF(Table1[[#This Row],[Age]]&lt;=50,"36-50","50+")))</f>
        <v>36-50</v>
      </c>
    </row>
    <row r="157" spans="1:20" x14ac:dyDescent="0.3">
      <c r="A157" s="2" t="s">
        <v>496</v>
      </c>
      <c r="B157" s="2" t="s">
        <v>54</v>
      </c>
      <c r="C157" s="3">
        <v>49</v>
      </c>
      <c r="D157" s="2" t="s">
        <v>17</v>
      </c>
      <c r="E157" s="2" t="s">
        <v>33</v>
      </c>
      <c r="F157" s="2" t="s">
        <v>19</v>
      </c>
      <c r="G157" t="s">
        <v>20</v>
      </c>
      <c r="H157" t="s">
        <v>497</v>
      </c>
      <c r="I157" s="4">
        <v>957.56</v>
      </c>
      <c r="J157" s="3">
        <v>1</v>
      </c>
      <c r="K157" s="1">
        <v>45300</v>
      </c>
      <c r="L157" s="1" t="str">
        <f>TEXT(Table1[[#This Row],[Purchase_Date]],"YYYY")</f>
        <v>2024</v>
      </c>
      <c r="M157" s="1" t="str">
        <f>TEXT(Table1[[#This Row],[Purchase_Date]],"MMM")</f>
        <v>Jan</v>
      </c>
      <c r="N157" s="1" t="str">
        <f>TEXT(Table1[[#This Row],[Purchase_Date]],"DD")</f>
        <v>09</v>
      </c>
      <c r="O157" s="2" t="s">
        <v>36</v>
      </c>
      <c r="P157" s="3">
        <v>5</v>
      </c>
      <c r="Q157" s="2" t="s">
        <v>23</v>
      </c>
      <c r="R157" s="2" t="s">
        <v>47</v>
      </c>
      <c r="S157">
        <f>Table1[[#This Row],[Purchase_Amount]]*Table1[[#This Row],[Quantity]]</f>
        <v>957.56</v>
      </c>
      <c r="T157" t="str">
        <f>IF(Table1[[#This Row],[Age]]&lt;25,"&lt;25",IF(Table1[[#This Row],[Age]]&lt;=35,"25-35",IF(Table1[[#This Row],[Age]]&lt;=50,"36-50","50+")))</f>
        <v>36-50</v>
      </c>
    </row>
    <row r="158" spans="1:20" x14ac:dyDescent="0.3">
      <c r="A158" s="2" t="s">
        <v>1129</v>
      </c>
      <c r="B158" s="2" t="s">
        <v>54</v>
      </c>
      <c r="C158" s="3">
        <v>52</v>
      </c>
      <c r="D158" s="2" t="s">
        <v>17</v>
      </c>
      <c r="E158" s="2" t="s">
        <v>18</v>
      </c>
      <c r="F158" s="2" t="s">
        <v>27</v>
      </c>
      <c r="G158" t="s">
        <v>20</v>
      </c>
      <c r="H158" t="s">
        <v>162</v>
      </c>
      <c r="I158" s="4">
        <v>121.38</v>
      </c>
      <c r="J158" s="3">
        <v>3</v>
      </c>
      <c r="K158" s="1">
        <v>45076</v>
      </c>
      <c r="L158" s="1" t="str">
        <f>TEXT(Table1[[#This Row],[Purchase_Date]],"YYYY")</f>
        <v>2023</v>
      </c>
      <c r="M158" s="1" t="str">
        <f>TEXT(Table1[[#This Row],[Purchase_Date]],"MMM")</f>
        <v>May</v>
      </c>
      <c r="N158" s="1" t="str">
        <f>TEXT(Table1[[#This Row],[Purchase_Date]],"DD")</f>
        <v>30</v>
      </c>
      <c r="O158" s="2" t="s">
        <v>22</v>
      </c>
      <c r="P158" s="3">
        <v>2</v>
      </c>
      <c r="Q158" s="2" t="s">
        <v>23</v>
      </c>
      <c r="R158" s="2" t="s">
        <v>24</v>
      </c>
      <c r="S158">
        <f>Table1[[#This Row],[Purchase_Amount]]*Table1[[#This Row],[Quantity]]</f>
        <v>364.14</v>
      </c>
      <c r="T158" t="str">
        <f>IF(Table1[[#This Row],[Age]]&lt;25,"&lt;25",IF(Table1[[#This Row],[Age]]&lt;=35,"25-35",IF(Table1[[#This Row],[Age]]&lt;=50,"36-50","50+")))</f>
        <v>50+</v>
      </c>
    </row>
    <row r="159" spans="1:20" x14ac:dyDescent="0.3">
      <c r="A159" s="2" t="s">
        <v>664</v>
      </c>
      <c r="B159" s="2" t="s">
        <v>54</v>
      </c>
      <c r="C159" s="3">
        <v>53</v>
      </c>
      <c r="D159" s="2" t="s">
        <v>60</v>
      </c>
      <c r="E159" s="2" t="s">
        <v>18</v>
      </c>
      <c r="F159" s="2" t="s">
        <v>44</v>
      </c>
      <c r="G159" t="s">
        <v>20</v>
      </c>
      <c r="H159" t="s">
        <v>147</v>
      </c>
      <c r="I159" s="4">
        <v>461.09</v>
      </c>
      <c r="J159" s="3">
        <v>1</v>
      </c>
      <c r="K159" s="1">
        <v>45420</v>
      </c>
      <c r="L159" s="1" t="str">
        <f>TEXT(Table1[[#This Row],[Purchase_Date]],"YYYY")</f>
        <v>2024</v>
      </c>
      <c r="M159" s="1" t="str">
        <f>TEXT(Table1[[#This Row],[Purchase_Date]],"MMM")</f>
        <v>May</v>
      </c>
      <c r="N159" s="1" t="str">
        <f>TEXT(Table1[[#This Row],[Purchase_Date]],"DD")</f>
        <v>08</v>
      </c>
      <c r="O159" s="2" t="s">
        <v>22</v>
      </c>
      <c r="P159" s="3">
        <v>10</v>
      </c>
      <c r="Q159" s="2" t="s">
        <v>23</v>
      </c>
      <c r="R159" s="2" t="s">
        <v>24</v>
      </c>
      <c r="S159">
        <f>Table1[[#This Row],[Purchase_Amount]]*Table1[[#This Row],[Quantity]]</f>
        <v>461.09</v>
      </c>
      <c r="T159" t="str">
        <f>IF(Table1[[#This Row],[Age]]&lt;25,"&lt;25",IF(Table1[[#This Row],[Age]]&lt;=35,"25-35",IF(Table1[[#This Row],[Age]]&lt;=50,"36-50","50+")))</f>
        <v>50+</v>
      </c>
    </row>
    <row r="160" spans="1:20" x14ac:dyDescent="0.3">
      <c r="A160" s="2" t="s">
        <v>1202</v>
      </c>
      <c r="B160" s="2" t="s">
        <v>54</v>
      </c>
      <c r="C160" s="3">
        <v>53</v>
      </c>
      <c r="D160" s="2" t="s">
        <v>60</v>
      </c>
      <c r="E160" s="2" t="s">
        <v>18</v>
      </c>
      <c r="F160" s="2" t="s">
        <v>27</v>
      </c>
      <c r="G160" t="s">
        <v>20</v>
      </c>
      <c r="H160" t="s">
        <v>296</v>
      </c>
      <c r="I160" s="4">
        <v>551.01</v>
      </c>
      <c r="J160" s="3">
        <v>1</v>
      </c>
      <c r="K160" s="1">
        <v>45428</v>
      </c>
      <c r="L160" s="1" t="str">
        <f>TEXT(Table1[[#This Row],[Purchase_Date]],"YYYY")</f>
        <v>2024</v>
      </c>
      <c r="M160" s="1" t="str">
        <f>TEXT(Table1[[#This Row],[Purchase_Date]],"MMM")</f>
        <v>May</v>
      </c>
      <c r="N160" s="1" t="str">
        <f>TEXT(Table1[[#This Row],[Purchase_Date]],"DD")</f>
        <v>16</v>
      </c>
      <c r="O160" s="2" t="s">
        <v>41</v>
      </c>
      <c r="P160" s="3">
        <v>4</v>
      </c>
      <c r="Q160" s="2" t="s">
        <v>23</v>
      </c>
      <c r="R160" s="2" t="s">
        <v>24</v>
      </c>
      <c r="S160">
        <f>Table1[[#This Row],[Purchase_Amount]]*Table1[[#This Row],[Quantity]]</f>
        <v>551.01</v>
      </c>
      <c r="T160" t="str">
        <f>IF(Table1[[#This Row],[Age]]&lt;25,"&lt;25",IF(Table1[[#This Row],[Age]]&lt;=35,"25-35",IF(Table1[[#This Row],[Age]]&lt;=50,"36-50","50+")))</f>
        <v>50+</v>
      </c>
    </row>
    <row r="161" spans="1:20" x14ac:dyDescent="0.3">
      <c r="A161" s="2" t="s">
        <v>627</v>
      </c>
      <c r="B161" s="2" t="s">
        <v>54</v>
      </c>
      <c r="C161" s="3">
        <v>61</v>
      </c>
      <c r="D161" s="2" t="s">
        <v>60</v>
      </c>
      <c r="E161" s="2" t="s">
        <v>18</v>
      </c>
      <c r="F161" s="2" t="s">
        <v>19</v>
      </c>
      <c r="G161" t="s">
        <v>20</v>
      </c>
      <c r="H161" t="s">
        <v>175</v>
      </c>
      <c r="I161" s="4">
        <v>115.1</v>
      </c>
      <c r="J161" s="3">
        <v>4</v>
      </c>
      <c r="K161" s="1">
        <v>45305</v>
      </c>
      <c r="L161" s="1" t="str">
        <f>TEXT(Table1[[#This Row],[Purchase_Date]],"YYYY")</f>
        <v>2024</v>
      </c>
      <c r="M161" s="1" t="str">
        <f>TEXT(Table1[[#This Row],[Purchase_Date]],"MMM")</f>
        <v>Jan</v>
      </c>
      <c r="N161" s="1" t="str">
        <f>TEXT(Table1[[#This Row],[Purchase_Date]],"DD")</f>
        <v>14</v>
      </c>
      <c r="O161" s="2" t="s">
        <v>36</v>
      </c>
      <c r="P161" s="3">
        <v>2</v>
      </c>
      <c r="Q161" s="2" t="s">
        <v>23</v>
      </c>
      <c r="R161" s="2" t="s">
        <v>47</v>
      </c>
      <c r="S161">
        <f>Table1[[#This Row],[Purchase_Amount]]*Table1[[#This Row],[Quantity]]</f>
        <v>460.4</v>
      </c>
      <c r="T161" t="str">
        <f>IF(Table1[[#This Row],[Age]]&lt;25,"&lt;25",IF(Table1[[#This Row],[Age]]&lt;=35,"25-35",IF(Table1[[#This Row],[Age]]&lt;=50,"36-50","50+")))</f>
        <v>50+</v>
      </c>
    </row>
    <row r="162" spans="1:20" x14ac:dyDescent="0.3">
      <c r="A162" s="2" t="s">
        <v>842</v>
      </c>
      <c r="B162" s="2" t="s">
        <v>54</v>
      </c>
      <c r="C162" s="3">
        <v>61</v>
      </c>
      <c r="D162" s="2" t="s">
        <v>78</v>
      </c>
      <c r="E162" s="2" t="s">
        <v>33</v>
      </c>
      <c r="F162" s="2" t="s">
        <v>19</v>
      </c>
      <c r="G162" t="s">
        <v>20</v>
      </c>
      <c r="H162" t="s">
        <v>755</v>
      </c>
      <c r="I162" s="4">
        <v>940.53</v>
      </c>
      <c r="J162" s="3">
        <v>3</v>
      </c>
      <c r="K162" s="1">
        <v>45255</v>
      </c>
      <c r="L162" s="1" t="str">
        <f>TEXT(Table1[[#This Row],[Purchase_Date]],"YYYY")</f>
        <v>2023</v>
      </c>
      <c r="M162" s="1" t="str">
        <f>TEXT(Table1[[#This Row],[Purchase_Date]],"MMM")</f>
        <v>Nov</v>
      </c>
      <c r="N162" s="1" t="str">
        <f>TEXT(Table1[[#This Row],[Purchase_Date]],"DD")</f>
        <v>25</v>
      </c>
      <c r="O162" s="2" t="s">
        <v>36</v>
      </c>
      <c r="P162" s="3">
        <v>4</v>
      </c>
      <c r="Q162" s="2" t="s">
        <v>23</v>
      </c>
      <c r="R162" s="2" t="s">
        <v>47</v>
      </c>
      <c r="S162">
        <f>Table1[[#This Row],[Purchase_Amount]]*Table1[[#This Row],[Quantity]]</f>
        <v>2821.59</v>
      </c>
      <c r="T162" t="str">
        <f>IF(Table1[[#This Row],[Age]]&lt;25,"&lt;25",IF(Table1[[#This Row],[Age]]&lt;=35,"25-35",IF(Table1[[#This Row],[Age]]&lt;=50,"36-50","50+")))</f>
        <v>50+</v>
      </c>
    </row>
    <row r="163" spans="1:20" x14ac:dyDescent="0.3">
      <c r="A163" s="2" t="s">
        <v>692</v>
      </c>
      <c r="B163" s="2" t="s">
        <v>54</v>
      </c>
      <c r="C163" s="3">
        <v>62</v>
      </c>
      <c r="D163" s="2" t="s">
        <v>78</v>
      </c>
      <c r="E163" s="2" t="s">
        <v>18</v>
      </c>
      <c r="F163" s="2" t="s">
        <v>27</v>
      </c>
      <c r="G163" t="s">
        <v>20</v>
      </c>
      <c r="H163" t="s">
        <v>586</v>
      </c>
      <c r="I163" s="4">
        <v>933.24</v>
      </c>
      <c r="J163" s="3">
        <v>2</v>
      </c>
      <c r="K163" s="1">
        <v>45554</v>
      </c>
      <c r="L163" s="1" t="str">
        <f>TEXT(Table1[[#This Row],[Purchase_Date]],"YYYY")</f>
        <v>2024</v>
      </c>
      <c r="M163" s="1" t="str">
        <f>TEXT(Table1[[#This Row],[Purchase_Date]],"MMM")</f>
        <v>Sep</v>
      </c>
      <c r="N163" s="1" t="str">
        <f>TEXT(Table1[[#This Row],[Purchase_Date]],"DD")</f>
        <v>19</v>
      </c>
      <c r="O163" s="2" t="s">
        <v>30</v>
      </c>
      <c r="P163" s="3">
        <v>5</v>
      </c>
      <c r="Q163" s="2" t="s">
        <v>46</v>
      </c>
      <c r="R163" s="2" t="s">
        <v>24</v>
      </c>
      <c r="S163">
        <f>Table1[[#This Row],[Purchase_Amount]]*Table1[[#This Row],[Quantity]]</f>
        <v>1866.48</v>
      </c>
      <c r="T163" t="str">
        <f>IF(Table1[[#This Row],[Age]]&lt;25,"&lt;25",IF(Table1[[#This Row],[Age]]&lt;=35,"25-35",IF(Table1[[#This Row],[Age]]&lt;=50,"36-50","50+")))</f>
        <v>50+</v>
      </c>
    </row>
    <row r="164" spans="1:20" x14ac:dyDescent="0.3">
      <c r="A164" s="2" t="s">
        <v>1116</v>
      </c>
      <c r="B164" s="2" t="s">
        <v>54</v>
      </c>
      <c r="C164" s="3">
        <v>64</v>
      </c>
      <c r="D164" s="2" t="s">
        <v>43</v>
      </c>
      <c r="E164" s="2" t="s">
        <v>18</v>
      </c>
      <c r="F164" s="2" t="s">
        <v>44</v>
      </c>
      <c r="G164" t="s">
        <v>20</v>
      </c>
      <c r="H164" t="s">
        <v>107</v>
      </c>
      <c r="I164" s="4">
        <v>829.9</v>
      </c>
      <c r="J164" s="3">
        <v>2</v>
      </c>
      <c r="K164" s="1">
        <v>45031</v>
      </c>
      <c r="L164" s="1" t="str">
        <f>TEXT(Table1[[#This Row],[Purchase_Date]],"YYYY")</f>
        <v>2023</v>
      </c>
      <c r="M164" s="1" t="str">
        <f>TEXT(Table1[[#This Row],[Purchase_Date]],"MMM")</f>
        <v>Apr</v>
      </c>
      <c r="N164" s="1" t="str">
        <f>TEXT(Table1[[#This Row],[Purchase_Date]],"DD")</f>
        <v>15</v>
      </c>
      <c r="O164" s="2" t="s">
        <v>30</v>
      </c>
      <c r="P164" s="3">
        <v>8</v>
      </c>
      <c r="Q164" s="2" t="s">
        <v>23</v>
      </c>
      <c r="R164" s="2" t="s">
        <v>47</v>
      </c>
      <c r="S164">
        <f>Table1[[#This Row],[Purchase_Amount]]*Table1[[#This Row],[Quantity]]</f>
        <v>1659.8</v>
      </c>
      <c r="T164" t="str">
        <f>IF(Table1[[#This Row],[Age]]&lt;25,"&lt;25",IF(Table1[[#This Row],[Age]]&lt;=35,"25-35",IF(Table1[[#This Row],[Age]]&lt;=50,"36-50","50+")))</f>
        <v>50+</v>
      </c>
    </row>
    <row r="165" spans="1:20" x14ac:dyDescent="0.3">
      <c r="A165" s="2" t="s">
        <v>395</v>
      </c>
      <c r="B165" s="2" t="s">
        <v>54</v>
      </c>
      <c r="C165" s="3">
        <v>65</v>
      </c>
      <c r="D165" s="2" t="s">
        <v>78</v>
      </c>
      <c r="E165" s="2" t="s">
        <v>33</v>
      </c>
      <c r="F165" s="2" t="s">
        <v>44</v>
      </c>
      <c r="G165" t="s">
        <v>20</v>
      </c>
      <c r="H165" t="s">
        <v>208</v>
      </c>
      <c r="I165" s="4">
        <v>349.5</v>
      </c>
      <c r="J165" s="3">
        <v>3</v>
      </c>
      <c r="K165" s="1">
        <v>45376</v>
      </c>
      <c r="L165" s="1" t="str">
        <f>TEXT(Table1[[#This Row],[Purchase_Date]],"YYYY")</f>
        <v>2024</v>
      </c>
      <c r="M165" s="1" t="str">
        <f>TEXT(Table1[[#This Row],[Purchase_Date]],"MMM")</f>
        <v>Mar</v>
      </c>
      <c r="N165" s="1" t="str">
        <f>TEXT(Table1[[#This Row],[Purchase_Date]],"DD")</f>
        <v>25</v>
      </c>
      <c r="O165" s="2" t="s">
        <v>22</v>
      </c>
      <c r="P165" s="3">
        <v>1</v>
      </c>
      <c r="Q165" s="2" t="s">
        <v>23</v>
      </c>
      <c r="R165" s="2" t="s">
        <v>24</v>
      </c>
      <c r="S165">
        <f>Table1[[#This Row],[Purchase_Amount]]*Table1[[#This Row],[Quantity]]</f>
        <v>1048.5</v>
      </c>
      <c r="T165" t="str">
        <f>IF(Table1[[#This Row],[Age]]&lt;25,"&lt;25",IF(Table1[[#This Row],[Age]]&lt;=35,"25-35",IF(Table1[[#This Row],[Age]]&lt;=50,"36-50","50+")))</f>
        <v>50+</v>
      </c>
    </row>
    <row r="166" spans="1:20" x14ac:dyDescent="0.3">
      <c r="A166" s="2" t="s">
        <v>767</v>
      </c>
      <c r="B166" s="2" t="s">
        <v>54</v>
      </c>
      <c r="C166" s="3">
        <v>66</v>
      </c>
      <c r="D166" s="2" t="s">
        <v>109</v>
      </c>
      <c r="E166" s="2" t="s">
        <v>49</v>
      </c>
      <c r="F166" s="2" t="s">
        <v>44</v>
      </c>
      <c r="G166" t="s">
        <v>20</v>
      </c>
      <c r="H166" t="s">
        <v>411</v>
      </c>
      <c r="I166" s="4">
        <v>440.19</v>
      </c>
      <c r="J166" s="3">
        <v>3</v>
      </c>
      <c r="K166" s="1">
        <v>45472</v>
      </c>
      <c r="L166" s="1" t="str">
        <f>TEXT(Table1[[#This Row],[Purchase_Date]],"YYYY")</f>
        <v>2024</v>
      </c>
      <c r="M166" s="1" t="str">
        <f>TEXT(Table1[[#This Row],[Purchase_Date]],"MMM")</f>
        <v>Jun</v>
      </c>
      <c r="N166" s="1" t="str">
        <f>TEXT(Table1[[#This Row],[Purchase_Date]],"DD")</f>
        <v>29</v>
      </c>
      <c r="O166" s="2" t="s">
        <v>41</v>
      </c>
      <c r="P166" s="3">
        <v>7</v>
      </c>
      <c r="Q166" s="2" t="s">
        <v>23</v>
      </c>
      <c r="R166" s="2" t="s">
        <v>47</v>
      </c>
      <c r="S166">
        <f>Table1[[#This Row],[Purchase_Amount]]*Table1[[#This Row],[Quantity]]</f>
        <v>1320.57</v>
      </c>
      <c r="T166" t="str">
        <f>IF(Table1[[#This Row],[Age]]&lt;25,"&lt;25",IF(Table1[[#This Row],[Age]]&lt;=35,"25-35",IF(Table1[[#This Row],[Age]]&lt;=50,"36-50","50+")))</f>
        <v>50+</v>
      </c>
    </row>
    <row r="167" spans="1:20" x14ac:dyDescent="0.3">
      <c r="A167" s="2" t="s">
        <v>1090</v>
      </c>
      <c r="B167" s="2" t="s">
        <v>54</v>
      </c>
      <c r="C167" s="3">
        <v>67</v>
      </c>
      <c r="D167" s="2" t="s">
        <v>38</v>
      </c>
      <c r="E167" s="2" t="s">
        <v>49</v>
      </c>
      <c r="F167" s="2" t="s">
        <v>27</v>
      </c>
      <c r="G167" t="s">
        <v>20</v>
      </c>
      <c r="H167" t="s">
        <v>582</v>
      </c>
      <c r="I167" s="4">
        <v>770.09</v>
      </c>
      <c r="J167" s="3">
        <v>3</v>
      </c>
      <c r="K167" s="1">
        <v>45255</v>
      </c>
      <c r="L167" s="1" t="str">
        <f>TEXT(Table1[[#This Row],[Purchase_Date]],"YYYY")</f>
        <v>2023</v>
      </c>
      <c r="M167" s="1" t="str">
        <f>TEXT(Table1[[#This Row],[Purchase_Date]],"MMM")</f>
        <v>Nov</v>
      </c>
      <c r="N167" s="1" t="str">
        <f>TEXT(Table1[[#This Row],[Purchase_Date]],"DD")</f>
        <v>25</v>
      </c>
      <c r="O167" s="2" t="s">
        <v>36</v>
      </c>
      <c r="P167" s="3">
        <v>9</v>
      </c>
      <c r="Q167" s="2" t="s">
        <v>46</v>
      </c>
      <c r="R167" s="2" t="s">
        <v>24</v>
      </c>
      <c r="S167">
        <f>Table1[[#This Row],[Purchase_Amount]]*Table1[[#This Row],[Quantity]]</f>
        <v>2310.27</v>
      </c>
      <c r="T167" t="str">
        <f>IF(Table1[[#This Row],[Age]]&lt;25,"&lt;25",IF(Table1[[#This Row],[Age]]&lt;=35,"25-35",IF(Table1[[#This Row],[Age]]&lt;=50,"36-50","50+")))</f>
        <v>50+</v>
      </c>
    </row>
    <row r="168" spans="1:20" x14ac:dyDescent="0.3">
      <c r="A168" s="2" t="s">
        <v>872</v>
      </c>
      <c r="B168" s="2" t="s">
        <v>54</v>
      </c>
      <c r="C168" s="3">
        <v>69</v>
      </c>
      <c r="D168" s="2" t="s">
        <v>38</v>
      </c>
      <c r="E168" s="2" t="s">
        <v>33</v>
      </c>
      <c r="F168" s="2" t="s">
        <v>27</v>
      </c>
      <c r="G168" t="s">
        <v>20</v>
      </c>
      <c r="H168" t="s">
        <v>776</v>
      </c>
      <c r="I168" s="4">
        <v>482.21</v>
      </c>
      <c r="J168" s="3">
        <v>5</v>
      </c>
      <c r="K168" s="1">
        <v>45031</v>
      </c>
      <c r="L168" s="1" t="str">
        <f>TEXT(Table1[[#This Row],[Purchase_Date]],"YYYY")</f>
        <v>2023</v>
      </c>
      <c r="M168" s="1" t="str">
        <f>TEXT(Table1[[#This Row],[Purchase_Date]],"MMM")</f>
        <v>Apr</v>
      </c>
      <c r="N168" s="1" t="str">
        <f>TEXT(Table1[[#This Row],[Purchase_Date]],"DD")</f>
        <v>15</v>
      </c>
      <c r="O168" s="2" t="s">
        <v>41</v>
      </c>
      <c r="P168" s="3">
        <v>2</v>
      </c>
      <c r="Q168" s="2" t="s">
        <v>46</v>
      </c>
      <c r="R168" s="2" t="s">
        <v>24</v>
      </c>
      <c r="S168">
        <f>Table1[[#This Row],[Purchase_Amount]]*Table1[[#This Row],[Quantity]]</f>
        <v>2411.0499999999997</v>
      </c>
      <c r="T168" t="str">
        <f>IF(Table1[[#This Row],[Age]]&lt;25,"&lt;25",IF(Table1[[#This Row],[Age]]&lt;=35,"25-35",IF(Table1[[#This Row],[Age]]&lt;=50,"36-50","50+")))</f>
        <v>50+</v>
      </c>
    </row>
    <row r="169" spans="1:20" x14ac:dyDescent="0.3">
      <c r="A169" s="2" t="s">
        <v>922</v>
      </c>
      <c r="B169" s="2" t="s">
        <v>54</v>
      </c>
      <c r="C169" s="3">
        <v>69</v>
      </c>
      <c r="D169" s="2" t="s">
        <v>60</v>
      </c>
      <c r="E169" s="2" t="s">
        <v>49</v>
      </c>
      <c r="F169" s="2" t="s">
        <v>27</v>
      </c>
      <c r="G169" t="s">
        <v>20</v>
      </c>
      <c r="H169" t="s">
        <v>479</v>
      </c>
      <c r="I169" s="4">
        <v>537.99</v>
      </c>
      <c r="J169" s="3">
        <v>4</v>
      </c>
      <c r="K169" s="1">
        <v>45439</v>
      </c>
      <c r="L169" s="1" t="str">
        <f>TEXT(Table1[[#This Row],[Purchase_Date]],"YYYY")</f>
        <v>2024</v>
      </c>
      <c r="M169" s="1" t="str">
        <f>TEXT(Table1[[#This Row],[Purchase_Date]],"MMM")</f>
        <v>May</v>
      </c>
      <c r="N169" s="1" t="str">
        <f>TEXT(Table1[[#This Row],[Purchase_Date]],"DD")</f>
        <v>27</v>
      </c>
      <c r="O169" s="2" t="s">
        <v>36</v>
      </c>
      <c r="P169" s="3">
        <v>2</v>
      </c>
      <c r="Q169" s="2" t="s">
        <v>46</v>
      </c>
      <c r="R169" s="2" t="s">
        <v>24</v>
      </c>
      <c r="S169">
        <f>Table1[[#This Row],[Purchase_Amount]]*Table1[[#This Row],[Quantity]]</f>
        <v>2151.96</v>
      </c>
      <c r="T169" t="str">
        <f>IF(Table1[[#This Row],[Age]]&lt;25,"&lt;25",IF(Table1[[#This Row],[Age]]&lt;=35,"25-35",IF(Table1[[#This Row],[Age]]&lt;=50,"36-50","50+")))</f>
        <v>50+</v>
      </c>
    </row>
    <row r="170" spans="1:20" x14ac:dyDescent="0.3">
      <c r="A170" s="2" t="s">
        <v>292</v>
      </c>
      <c r="B170" s="2" t="s">
        <v>54</v>
      </c>
      <c r="C170" s="3">
        <v>69</v>
      </c>
      <c r="D170" s="2" t="s">
        <v>17</v>
      </c>
      <c r="E170" s="2" t="s">
        <v>18</v>
      </c>
      <c r="F170" s="2" t="s">
        <v>44</v>
      </c>
      <c r="G170" t="s">
        <v>20</v>
      </c>
      <c r="H170" t="s">
        <v>129</v>
      </c>
      <c r="I170" s="4">
        <v>935.45</v>
      </c>
      <c r="J170" s="3">
        <v>2</v>
      </c>
      <c r="K170" s="1">
        <v>45082</v>
      </c>
      <c r="L170" s="1" t="str">
        <f>TEXT(Table1[[#This Row],[Purchase_Date]],"YYYY")</f>
        <v>2023</v>
      </c>
      <c r="M170" s="1" t="str">
        <f>TEXT(Table1[[#This Row],[Purchase_Date]],"MMM")</f>
        <v>Jun</v>
      </c>
      <c r="N170" s="1" t="str">
        <f>TEXT(Table1[[#This Row],[Purchase_Date]],"DD")</f>
        <v>05</v>
      </c>
      <c r="O170" s="2" t="s">
        <v>30</v>
      </c>
      <c r="P170" s="3">
        <v>2</v>
      </c>
      <c r="Q170" s="2" t="s">
        <v>46</v>
      </c>
      <c r="R170" s="2" t="s">
        <v>24</v>
      </c>
      <c r="S170">
        <f>Table1[[#This Row],[Purchase_Amount]]*Table1[[#This Row],[Quantity]]</f>
        <v>1870.9</v>
      </c>
      <c r="T170" t="str">
        <f>IF(Table1[[#This Row],[Age]]&lt;25,"&lt;25",IF(Table1[[#This Row],[Age]]&lt;=35,"25-35",IF(Table1[[#This Row],[Age]]&lt;=50,"36-50","50+")))</f>
        <v>50+</v>
      </c>
    </row>
    <row r="171" spans="1:20" x14ac:dyDescent="0.3">
      <c r="A171" s="2" t="s">
        <v>886</v>
      </c>
      <c r="B171" s="2" t="s">
        <v>54</v>
      </c>
      <c r="C171" s="3">
        <v>18</v>
      </c>
      <c r="D171" s="2" t="s">
        <v>38</v>
      </c>
      <c r="E171" s="2" t="s">
        <v>33</v>
      </c>
      <c r="F171" s="2" t="s">
        <v>27</v>
      </c>
      <c r="G171" t="s">
        <v>39</v>
      </c>
      <c r="H171" t="s">
        <v>21</v>
      </c>
      <c r="I171" s="4">
        <v>289.72000000000003</v>
      </c>
      <c r="J171" s="3">
        <v>5</v>
      </c>
      <c r="K171" s="1">
        <v>45014</v>
      </c>
      <c r="L171" s="1" t="str">
        <f>TEXT(Table1[[#This Row],[Purchase_Date]],"YYYY")</f>
        <v>2023</v>
      </c>
      <c r="M171" s="1" t="str">
        <f>TEXT(Table1[[#This Row],[Purchase_Date]],"MMM")</f>
        <v>Mar</v>
      </c>
      <c r="N171" s="1" t="str">
        <f>TEXT(Table1[[#This Row],[Purchase_Date]],"DD")</f>
        <v>29</v>
      </c>
      <c r="O171" s="2" t="s">
        <v>41</v>
      </c>
      <c r="P171" s="3">
        <v>7</v>
      </c>
      <c r="Q171" s="2" t="s">
        <v>23</v>
      </c>
      <c r="R171" s="2" t="s">
        <v>24</v>
      </c>
      <c r="S171">
        <f>Table1[[#This Row],[Purchase_Amount]]*Table1[[#This Row],[Quantity]]</f>
        <v>1448.6000000000001</v>
      </c>
      <c r="T171" t="str">
        <f>IF(Table1[[#This Row],[Age]]&lt;25,"&lt;25",IF(Table1[[#This Row],[Age]]&lt;=35,"25-35",IF(Table1[[#This Row],[Age]]&lt;=50,"36-50","50+")))</f>
        <v>&lt;25</v>
      </c>
    </row>
    <row r="172" spans="1:20" x14ac:dyDescent="0.3">
      <c r="A172" s="2" t="s">
        <v>1140</v>
      </c>
      <c r="B172" s="2" t="s">
        <v>54</v>
      </c>
      <c r="C172" s="3">
        <v>19</v>
      </c>
      <c r="D172" s="2" t="s">
        <v>38</v>
      </c>
      <c r="E172" s="2" t="s">
        <v>49</v>
      </c>
      <c r="F172" s="2" t="s">
        <v>44</v>
      </c>
      <c r="G172" t="s">
        <v>39</v>
      </c>
      <c r="H172" t="s">
        <v>364</v>
      </c>
      <c r="I172" s="4">
        <v>699.72</v>
      </c>
      <c r="J172" s="3">
        <v>5</v>
      </c>
      <c r="K172" s="1">
        <v>45536</v>
      </c>
      <c r="L172" s="1" t="str">
        <f>TEXT(Table1[[#This Row],[Purchase_Date]],"YYYY")</f>
        <v>2024</v>
      </c>
      <c r="M172" s="1" t="str">
        <f>TEXT(Table1[[#This Row],[Purchase_Date]],"MMM")</f>
        <v>Sep</v>
      </c>
      <c r="N172" s="1" t="str">
        <f>TEXT(Table1[[#This Row],[Purchase_Date]],"DD")</f>
        <v>01</v>
      </c>
      <c r="O172" s="2" t="s">
        <v>22</v>
      </c>
      <c r="P172" s="3">
        <v>3</v>
      </c>
      <c r="Q172" s="2" t="s">
        <v>23</v>
      </c>
      <c r="R172" s="2" t="s">
        <v>24</v>
      </c>
      <c r="S172">
        <f>Table1[[#This Row],[Purchase_Amount]]*Table1[[#This Row],[Quantity]]</f>
        <v>3498.6000000000004</v>
      </c>
      <c r="T172" t="str">
        <f>IF(Table1[[#This Row],[Age]]&lt;25,"&lt;25",IF(Table1[[#This Row],[Age]]&lt;=35,"25-35",IF(Table1[[#This Row],[Age]]&lt;=50,"36-50","50+")))</f>
        <v>&lt;25</v>
      </c>
    </row>
    <row r="173" spans="1:20" x14ac:dyDescent="0.3">
      <c r="A173" s="2" t="s">
        <v>1159</v>
      </c>
      <c r="B173" s="2" t="s">
        <v>54</v>
      </c>
      <c r="C173" s="3">
        <v>22</v>
      </c>
      <c r="D173" s="2" t="s">
        <v>38</v>
      </c>
      <c r="E173" s="2" t="s">
        <v>33</v>
      </c>
      <c r="F173" s="2" t="s">
        <v>19</v>
      </c>
      <c r="G173" t="s">
        <v>39</v>
      </c>
      <c r="H173" t="s">
        <v>497</v>
      </c>
      <c r="I173" s="4">
        <v>64.55</v>
      </c>
      <c r="J173" s="3">
        <v>1</v>
      </c>
      <c r="K173" s="1">
        <v>45358</v>
      </c>
      <c r="L173" s="1" t="str">
        <f>TEXT(Table1[[#This Row],[Purchase_Date]],"YYYY")</f>
        <v>2024</v>
      </c>
      <c r="M173" s="1" t="str">
        <f>TEXT(Table1[[#This Row],[Purchase_Date]],"MMM")</f>
        <v>Mar</v>
      </c>
      <c r="N173" s="1" t="str">
        <f>TEXT(Table1[[#This Row],[Purchase_Date]],"DD")</f>
        <v>07</v>
      </c>
      <c r="O173" s="2" t="s">
        <v>41</v>
      </c>
      <c r="P173" s="3">
        <v>9</v>
      </c>
      <c r="Q173" s="2" t="s">
        <v>46</v>
      </c>
      <c r="R173" s="2" t="s">
        <v>24</v>
      </c>
      <c r="S173">
        <f>Table1[[#This Row],[Purchase_Amount]]*Table1[[#This Row],[Quantity]]</f>
        <v>64.55</v>
      </c>
      <c r="T173" t="str">
        <f>IF(Table1[[#This Row],[Age]]&lt;25,"&lt;25",IF(Table1[[#This Row],[Age]]&lt;=35,"25-35",IF(Table1[[#This Row],[Age]]&lt;=50,"36-50","50+")))</f>
        <v>&lt;25</v>
      </c>
    </row>
    <row r="174" spans="1:20" x14ac:dyDescent="0.3">
      <c r="A174" s="2" t="s">
        <v>939</v>
      </c>
      <c r="B174" s="2" t="s">
        <v>54</v>
      </c>
      <c r="C174" s="3">
        <v>22</v>
      </c>
      <c r="D174" s="2" t="s">
        <v>38</v>
      </c>
      <c r="E174" s="2" t="s">
        <v>33</v>
      </c>
      <c r="F174" s="2" t="s">
        <v>27</v>
      </c>
      <c r="G174" t="s">
        <v>39</v>
      </c>
      <c r="H174" t="s">
        <v>940</v>
      </c>
      <c r="I174" s="4">
        <v>353.49</v>
      </c>
      <c r="J174" s="3">
        <v>4</v>
      </c>
      <c r="K174" s="1">
        <v>45352</v>
      </c>
      <c r="L174" s="1" t="str">
        <f>TEXT(Table1[[#This Row],[Purchase_Date]],"YYYY")</f>
        <v>2024</v>
      </c>
      <c r="M174" s="1" t="str">
        <f>TEXT(Table1[[#This Row],[Purchase_Date]],"MMM")</f>
        <v>Mar</v>
      </c>
      <c r="N174" s="1" t="str">
        <f>TEXT(Table1[[#This Row],[Purchase_Date]],"DD")</f>
        <v>01</v>
      </c>
      <c r="O174" s="2" t="s">
        <v>22</v>
      </c>
      <c r="P174" s="3">
        <v>2</v>
      </c>
      <c r="Q174" s="2" t="s">
        <v>23</v>
      </c>
      <c r="R174" s="2" t="s">
        <v>24</v>
      </c>
      <c r="S174">
        <f>Table1[[#This Row],[Purchase_Amount]]*Table1[[#This Row],[Quantity]]</f>
        <v>1413.96</v>
      </c>
      <c r="T174" t="str">
        <f>IF(Table1[[#This Row],[Age]]&lt;25,"&lt;25",IF(Table1[[#This Row],[Age]]&lt;=35,"25-35",IF(Table1[[#This Row],[Age]]&lt;=50,"36-50","50+")))</f>
        <v>&lt;25</v>
      </c>
    </row>
    <row r="175" spans="1:20" x14ac:dyDescent="0.3">
      <c r="A175" s="2" t="s">
        <v>913</v>
      </c>
      <c r="B175" s="2" t="s">
        <v>54</v>
      </c>
      <c r="C175" s="3">
        <v>23</v>
      </c>
      <c r="D175" s="2" t="s">
        <v>32</v>
      </c>
      <c r="E175" s="2" t="s">
        <v>49</v>
      </c>
      <c r="F175" s="2" t="s">
        <v>44</v>
      </c>
      <c r="G175" t="s">
        <v>39</v>
      </c>
      <c r="H175" t="s">
        <v>269</v>
      </c>
      <c r="I175" s="4">
        <v>542.16</v>
      </c>
      <c r="J175" s="3">
        <v>2</v>
      </c>
      <c r="K175" s="1">
        <v>45358</v>
      </c>
      <c r="L175" s="1" t="str">
        <f>TEXT(Table1[[#This Row],[Purchase_Date]],"YYYY")</f>
        <v>2024</v>
      </c>
      <c r="M175" s="1" t="str">
        <f>TEXT(Table1[[#This Row],[Purchase_Date]],"MMM")</f>
        <v>Mar</v>
      </c>
      <c r="N175" s="1" t="str">
        <f>TEXT(Table1[[#This Row],[Purchase_Date]],"DD")</f>
        <v>07</v>
      </c>
      <c r="O175" s="2" t="s">
        <v>30</v>
      </c>
      <c r="P175" s="3">
        <v>1</v>
      </c>
      <c r="Q175" s="2" t="s">
        <v>23</v>
      </c>
      <c r="R175" s="2" t="s">
        <v>24</v>
      </c>
      <c r="S175">
        <f>Table1[[#This Row],[Purchase_Amount]]*Table1[[#This Row],[Quantity]]</f>
        <v>1084.32</v>
      </c>
      <c r="T175" t="str">
        <f>IF(Table1[[#This Row],[Age]]&lt;25,"&lt;25",IF(Table1[[#This Row],[Age]]&lt;=35,"25-35",IF(Table1[[#This Row],[Age]]&lt;=50,"36-50","50+")))</f>
        <v>&lt;25</v>
      </c>
    </row>
    <row r="176" spans="1:20" x14ac:dyDescent="0.3">
      <c r="A176" s="2" t="s">
        <v>238</v>
      </c>
      <c r="B176" s="2" t="s">
        <v>54</v>
      </c>
      <c r="C176" s="3">
        <v>25</v>
      </c>
      <c r="D176" s="2" t="s">
        <v>109</v>
      </c>
      <c r="E176" s="2" t="s">
        <v>18</v>
      </c>
      <c r="F176" s="2" t="s">
        <v>27</v>
      </c>
      <c r="G176" t="s">
        <v>39</v>
      </c>
      <c r="H176" t="s">
        <v>239</v>
      </c>
      <c r="I176" s="4">
        <v>195.25</v>
      </c>
      <c r="J176" s="3">
        <v>3</v>
      </c>
      <c r="K176" s="1">
        <v>45176</v>
      </c>
      <c r="L176" s="1" t="str">
        <f>TEXT(Table1[[#This Row],[Purchase_Date]],"YYYY")</f>
        <v>2023</v>
      </c>
      <c r="M176" s="1" t="str">
        <f>TEXT(Table1[[#This Row],[Purchase_Date]],"MMM")</f>
        <v>Sep</v>
      </c>
      <c r="N176" s="1" t="str">
        <f>TEXT(Table1[[#This Row],[Purchase_Date]],"DD")</f>
        <v>07</v>
      </c>
      <c r="O176" s="2" t="s">
        <v>22</v>
      </c>
      <c r="P176" s="3">
        <v>9</v>
      </c>
      <c r="Q176" s="2" t="s">
        <v>23</v>
      </c>
      <c r="R176" s="2" t="s">
        <v>24</v>
      </c>
      <c r="S176">
        <f>Table1[[#This Row],[Purchase_Amount]]*Table1[[#This Row],[Quantity]]</f>
        <v>585.75</v>
      </c>
      <c r="T176" t="str">
        <f>IF(Table1[[#This Row],[Age]]&lt;25,"&lt;25",IF(Table1[[#This Row],[Age]]&lt;=35,"25-35",IF(Table1[[#This Row],[Age]]&lt;=50,"36-50","50+")))</f>
        <v>25-35</v>
      </c>
    </row>
    <row r="177" spans="1:20" x14ac:dyDescent="0.3">
      <c r="A177" s="2" t="s">
        <v>92</v>
      </c>
      <c r="B177" s="2" t="s">
        <v>54</v>
      </c>
      <c r="C177" s="3">
        <v>25</v>
      </c>
      <c r="D177" s="2" t="s">
        <v>32</v>
      </c>
      <c r="E177" s="2" t="s">
        <v>49</v>
      </c>
      <c r="F177" s="2" t="s">
        <v>27</v>
      </c>
      <c r="G177" t="s">
        <v>39</v>
      </c>
      <c r="H177" t="s">
        <v>93</v>
      </c>
      <c r="I177" s="4">
        <v>881.12</v>
      </c>
      <c r="J177" s="3">
        <v>1</v>
      </c>
      <c r="K177" s="1">
        <v>45475</v>
      </c>
      <c r="L177" s="1" t="str">
        <f>TEXT(Table1[[#This Row],[Purchase_Date]],"YYYY")</f>
        <v>2024</v>
      </c>
      <c r="M177" s="1" t="str">
        <f>TEXT(Table1[[#This Row],[Purchase_Date]],"MMM")</f>
        <v>Jul</v>
      </c>
      <c r="N177" s="1" t="str">
        <f>TEXT(Table1[[#This Row],[Purchase_Date]],"DD")</f>
        <v>02</v>
      </c>
      <c r="O177" s="2" t="s">
        <v>36</v>
      </c>
      <c r="P177" s="3">
        <v>5</v>
      </c>
      <c r="Q177" s="2" t="s">
        <v>23</v>
      </c>
      <c r="R177" s="2" t="s">
        <v>24</v>
      </c>
      <c r="S177">
        <f>Table1[[#This Row],[Purchase_Amount]]*Table1[[#This Row],[Quantity]]</f>
        <v>881.12</v>
      </c>
      <c r="T177" t="str">
        <f>IF(Table1[[#This Row],[Age]]&lt;25,"&lt;25",IF(Table1[[#This Row],[Age]]&lt;=35,"25-35",IF(Table1[[#This Row],[Age]]&lt;=50,"36-50","50+")))</f>
        <v>25-35</v>
      </c>
    </row>
    <row r="178" spans="1:20" x14ac:dyDescent="0.3">
      <c r="A178" s="2" t="s">
        <v>405</v>
      </c>
      <c r="B178" s="2" t="s">
        <v>54</v>
      </c>
      <c r="C178" s="3">
        <v>26</v>
      </c>
      <c r="D178" s="2" t="s">
        <v>32</v>
      </c>
      <c r="E178" s="2" t="s">
        <v>33</v>
      </c>
      <c r="F178" s="2" t="s">
        <v>27</v>
      </c>
      <c r="G178" t="s">
        <v>39</v>
      </c>
      <c r="H178" t="s">
        <v>312</v>
      </c>
      <c r="I178" s="4">
        <v>89.78</v>
      </c>
      <c r="J178" s="3">
        <v>4</v>
      </c>
      <c r="K178" s="1">
        <v>45327</v>
      </c>
      <c r="L178" s="1" t="str">
        <f>TEXT(Table1[[#This Row],[Purchase_Date]],"YYYY")</f>
        <v>2024</v>
      </c>
      <c r="M178" s="1" t="str">
        <f>TEXT(Table1[[#This Row],[Purchase_Date]],"MMM")</f>
        <v>Feb</v>
      </c>
      <c r="N178" s="1" t="str">
        <f>TEXT(Table1[[#This Row],[Purchase_Date]],"DD")</f>
        <v>05</v>
      </c>
      <c r="O178" s="2" t="s">
        <v>41</v>
      </c>
      <c r="P178" s="3">
        <v>1</v>
      </c>
      <c r="Q178" s="2" t="s">
        <v>23</v>
      </c>
      <c r="R178" s="2" t="s">
        <v>24</v>
      </c>
      <c r="S178">
        <f>Table1[[#This Row],[Purchase_Amount]]*Table1[[#This Row],[Quantity]]</f>
        <v>359.12</v>
      </c>
      <c r="T178" t="str">
        <f>IF(Table1[[#This Row],[Age]]&lt;25,"&lt;25",IF(Table1[[#This Row],[Age]]&lt;=35,"25-35",IF(Table1[[#This Row],[Age]]&lt;=50,"36-50","50+")))</f>
        <v>25-35</v>
      </c>
    </row>
    <row r="179" spans="1:20" x14ac:dyDescent="0.3">
      <c r="A179" s="2" t="s">
        <v>143</v>
      </c>
      <c r="B179" s="2" t="s">
        <v>54</v>
      </c>
      <c r="C179" s="3">
        <v>27</v>
      </c>
      <c r="D179" s="2" t="s">
        <v>78</v>
      </c>
      <c r="E179" s="2" t="s">
        <v>49</v>
      </c>
      <c r="F179" s="2" t="s">
        <v>27</v>
      </c>
      <c r="G179" t="s">
        <v>39</v>
      </c>
      <c r="H179" t="s">
        <v>40</v>
      </c>
      <c r="I179" s="4">
        <v>227.44</v>
      </c>
      <c r="J179" s="3">
        <v>2</v>
      </c>
      <c r="K179" s="1">
        <v>45296</v>
      </c>
      <c r="L179" s="1" t="str">
        <f>TEXT(Table1[[#This Row],[Purchase_Date]],"YYYY")</f>
        <v>2024</v>
      </c>
      <c r="M179" s="1" t="str">
        <f>TEXT(Table1[[#This Row],[Purchase_Date]],"MMM")</f>
        <v>Jan</v>
      </c>
      <c r="N179" s="1" t="str">
        <f>TEXT(Table1[[#This Row],[Purchase_Date]],"DD")</f>
        <v>05</v>
      </c>
      <c r="O179" s="2" t="s">
        <v>36</v>
      </c>
      <c r="P179" s="3">
        <v>7</v>
      </c>
      <c r="Q179" s="2" t="s">
        <v>23</v>
      </c>
      <c r="R179" s="2" t="s">
        <v>24</v>
      </c>
      <c r="S179">
        <f>Table1[[#This Row],[Purchase_Amount]]*Table1[[#This Row],[Quantity]]</f>
        <v>454.88</v>
      </c>
      <c r="T179" t="str">
        <f>IF(Table1[[#This Row],[Age]]&lt;25,"&lt;25",IF(Table1[[#This Row],[Age]]&lt;=35,"25-35",IF(Table1[[#This Row],[Age]]&lt;=50,"36-50","50+")))</f>
        <v>25-35</v>
      </c>
    </row>
    <row r="180" spans="1:20" x14ac:dyDescent="0.3">
      <c r="A180" s="2" t="s">
        <v>760</v>
      </c>
      <c r="B180" s="2" t="s">
        <v>54</v>
      </c>
      <c r="C180" s="3">
        <v>29</v>
      </c>
      <c r="D180" s="2" t="s">
        <v>17</v>
      </c>
      <c r="E180" s="2" t="s">
        <v>49</v>
      </c>
      <c r="F180" s="2" t="s">
        <v>27</v>
      </c>
      <c r="G180" t="s">
        <v>39</v>
      </c>
      <c r="H180" t="s">
        <v>563</v>
      </c>
      <c r="I180" s="4">
        <v>720.5</v>
      </c>
      <c r="J180" s="3">
        <v>1</v>
      </c>
      <c r="K180" s="1">
        <v>45268</v>
      </c>
      <c r="L180" s="1" t="str">
        <f>TEXT(Table1[[#This Row],[Purchase_Date]],"YYYY")</f>
        <v>2023</v>
      </c>
      <c r="M180" s="1" t="str">
        <f>TEXT(Table1[[#This Row],[Purchase_Date]],"MMM")</f>
        <v>Dec</v>
      </c>
      <c r="N180" s="1" t="str">
        <f>TEXT(Table1[[#This Row],[Purchase_Date]],"DD")</f>
        <v>08</v>
      </c>
      <c r="O180" s="2" t="s">
        <v>41</v>
      </c>
      <c r="P180" s="3">
        <v>4</v>
      </c>
      <c r="Q180" s="2" t="s">
        <v>23</v>
      </c>
      <c r="R180" s="2" t="s">
        <v>24</v>
      </c>
      <c r="S180">
        <f>Table1[[#This Row],[Purchase_Amount]]*Table1[[#This Row],[Quantity]]</f>
        <v>720.5</v>
      </c>
      <c r="T180" t="str">
        <f>IF(Table1[[#This Row],[Age]]&lt;25,"&lt;25",IF(Table1[[#This Row],[Age]]&lt;=35,"25-35",IF(Table1[[#This Row],[Age]]&lt;=50,"36-50","50+")))</f>
        <v>25-35</v>
      </c>
    </row>
    <row r="181" spans="1:20" x14ac:dyDescent="0.3">
      <c r="A181" s="2" t="s">
        <v>194</v>
      </c>
      <c r="B181" s="2" t="s">
        <v>54</v>
      </c>
      <c r="C181" s="3">
        <v>29</v>
      </c>
      <c r="D181" s="2" t="s">
        <v>109</v>
      </c>
      <c r="E181" s="2" t="s">
        <v>33</v>
      </c>
      <c r="F181" s="2" t="s">
        <v>27</v>
      </c>
      <c r="G181" t="s">
        <v>39</v>
      </c>
      <c r="H181" t="s">
        <v>131</v>
      </c>
      <c r="I181" s="4">
        <v>862.83</v>
      </c>
      <c r="J181" s="3">
        <v>2</v>
      </c>
      <c r="K181" s="1">
        <v>45510</v>
      </c>
      <c r="L181" s="1" t="str">
        <f>TEXT(Table1[[#This Row],[Purchase_Date]],"YYYY")</f>
        <v>2024</v>
      </c>
      <c r="M181" s="1" t="str">
        <f>TEXT(Table1[[#This Row],[Purchase_Date]],"MMM")</f>
        <v>Aug</v>
      </c>
      <c r="N181" s="1" t="str">
        <f>TEXT(Table1[[#This Row],[Purchase_Date]],"DD")</f>
        <v>06</v>
      </c>
      <c r="O181" s="2" t="s">
        <v>30</v>
      </c>
      <c r="P181" s="3">
        <v>9</v>
      </c>
      <c r="Q181" s="2" t="s">
        <v>46</v>
      </c>
      <c r="R181" s="2" t="s">
        <v>47</v>
      </c>
      <c r="S181">
        <f>Table1[[#This Row],[Purchase_Amount]]*Table1[[#This Row],[Quantity]]</f>
        <v>1725.66</v>
      </c>
      <c r="T181" t="str">
        <f>IF(Table1[[#This Row],[Age]]&lt;25,"&lt;25",IF(Table1[[#This Row],[Age]]&lt;=35,"25-35",IF(Table1[[#This Row],[Age]]&lt;=50,"36-50","50+")))</f>
        <v>25-35</v>
      </c>
    </row>
    <row r="182" spans="1:20" x14ac:dyDescent="0.3">
      <c r="A182" s="2" t="s">
        <v>133</v>
      </c>
      <c r="B182" s="2" t="s">
        <v>54</v>
      </c>
      <c r="C182" s="3">
        <v>30</v>
      </c>
      <c r="D182" s="2" t="s">
        <v>17</v>
      </c>
      <c r="E182" s="2" t="s">
        <v>49</v>
      </c>
      <c r="F182" s="2" t="s">
        <v>27</v>
      </c>
      <c r="G182" t="s">
        <v>39</v>
      </c>
      <c r="H182" t="s">
        <v>134</v>
      </c>
      <c r="I182" s="4">
        <v>440.91</v>
      </c>
      <c r="J182" s="3">
        <v>1</v>
      </c>
      <c r="K182" s="1">
        <v>45395</v>
      </c>
      <c r="L182" s="1" t="str">
        <f>TEXT(Table1[[#This Row],[Purchase_Date]],"YYYY")</f>
        <v>2024</v>
      </c>
      <c r="M182" s="1" t="str">
        <f>TEXT(Table1[[#This Row],[Purchase_Date]],"MMM")</f>
        <v>Apr</v>
      </c>
      <c r="N182" s="1" t="str">
        <f>TEXT(Table1[[#This Row],[Purchase_Date]],"DD")</f>
        <v>13</v>
      </c>
      <c r="O182" s="2" t="s">
        <v>36</v>
      </c>
      <c r="P182" s="3">
        <v>7</v>
      </c>
      <c r="Q182" s="2" t="s">
        <v>23</v>
      </c>
      <c r="R182" s="2" t="s">
        <v>24</v>
      </c>
      <c r="S182">
        <f>Table1[[#This Row],[Purchase_Amount]]*Table1[[#This Row],[Quantity]]</f>
        <v>440.91</v>
      </c>
      <c r="T182" t="str">
        <f>IF(Table1[[#This Row],[Age]]&lt;25,"&lt;25",IF(Table1[[#This Row],[Age]]&lt;=35,"25-35",IF(Table1[[#This Row],[Age]]&lt;=50,"36-50","50+")))</f>
        <v>25-35</v>
      </c>
    </row>
    <row r="183" spans="1:20" x14ac:dyDescent="0.3">
      <c r="A183" s="2" t="s">
        <v>1211</v>
      </c>
      <c r="B183" s="2" t="s">
        <v>54</v>
      </c>
      <c r="C183" s="3">
        <v>30</v>
      </c>
      <c r="D183" s="2" t="s">
        <v>38</v>
      </c>
      <c r="E183" s="2" t="s">
        <v>49</v>
      </c>
      <c r="F183" s="2" t="s">
        <v>27</v>
      </c>
      <c r="G183" t="s">
        <v>39</v>
      </c>
      <c r="H183" t="s">
        <v>307</v>
      </c>
      <c r="I183" s="4">
        <v>841.94</v>
      </c>
      <c r="J183" s="3">
        <v>3</v>
      </c>
      <c r="K183" s="1">
        <v>45500</v>
      </c>
      <c r="L183" s="1" t="str">
        <f>TEXT(Table1[[#This Row],[Purchase_Date]],"YYYY")</f>
        <v>2024</v>
      </c>
      <c r="M183" s="1" t="str">
        <f>TEXT(Table1[[#This Row],[Purchase_Date]],"MMM")</f>
        <v>Jul</v>
      </c>
      <c r="N183" s="1" t="str">
        <f>TEXT(Table1[[#This Row],[Purchase_Date]],"DD")</f>
        <v>27</v>
      </c>
      <c r="O183" s="2" t="s">
        <v>22</v>
      </c>
      <c r="P183" s="3">
        <v>3</v>
      </c>
      <c r="Q183" s="2" t="s">
        <v>46</v>
      </c>
      <c r="R183" s="2" t="s">
        <v>24</v>
      </c>
      <c r="S183">
        <f>Table1[[#This Row],[Purchase_Amount]]*Table1[[#This Row],[Quantity]]</f>
        <v>2525.8200000000002</v>
      </c>
      <c r="T183" t="str">
        <f>IF(Table1[[#This Row],[Age]]&lt;25,"&lt;25",IF(Table1[[#This Row],[Age]]&lt;=35,"25-35",IF(Table1[[#This Row],[Age]]&lt;=50,"36-50","50+")))</f>
        <v>25-35</v>
      </c>
    </row>
    <row r="184" spans="1:20" x14ac:dyDescent="0.3">
      <c r="A184" s="2" t="s">
        <v>1051</v>
      </c>
      <c r="B184" s="2" t="s">
        <v>54</v>
      </c>
      <c r="C184" s="3">
        <v>31</v>
      </c>
      <c r="D184" s="2" t="s">
        <v>38</v>
      </c>
      <c r="E184" s="2" t="s">
        <v>33</v>
      </c>
      <c r="F184" s="2" t="s">
        <v>27</v>
      </c>
      <c r="G184" t="s">
        <v>39</v>
      </c>
      <c r="H184" t="s">
        <v>89</v>
      </c>
      <c r="I184" s="4">
        <v>311.05</v>
      </c>
      <c r="J184" s="3">
        <v>5</v>
      </c>
      <c r="K184" s="1">
        <v>45092</v>
      </c>
      <c r="L184" s="1" t="str">
        <f>TEXT(Table1[[#This Row],[Purchase_Date]],"YYYY")</f>
        <v>2023</v>
      </c>
      <c r="M184" s="1" t="str">
        <f>TEXT(Table1[[#This Row],[Purchase_Date]],"MMM")</f>
        <v>Jun</v>
      </c>
      <c r="N184" s="1" t="str">
        <f>TEXT(Table1[[#This Row],[Purchase_Date]],"DD")</f>
        <v>15</v>
      </c>
      <c r="O184" s="2" t="s">
        <v>36</v>
      </c>
      <c r="P184" s="3">
        <v>7</v>
      </c>
      <c r="Q184" s="2" t="s">
        <v>46</v>
      </c>
      <c r="R184" s="2" t="s">
        <v>24</v>
      </c>
      <c r="S184">
        <f>Table1[[#This Row],[Purchase_Amount]]*Table1[[#This Row],[Quantity]]</f>
        <v>1555.25</v>
      </c>
      <c r="T184" t="str">
        <f>IF(Table1[[#This Row],[Age]]&lt;25,"&lt;25",IF(Table1[[#This Row],[Age]]&lt;=35,"25-35",IF(Table1[[#This Row],[Age]]&lt;=50,"36-50","50+")))</f>
        <v>25-35</v>
      </c>
    </row>
    <row r="185" spans="1:20" x14ac:dyDescent="0.3">
      <c r="A185" s="2" t="s">
        <v>170</v>
      </c>
      <c r="B185" s="2" t="s">
        <v>54</v>
      </c>
      <c r="C185" s="3">
        <v>32</v>
      </c>
      <c r="D185" s="2" t="s">
        <v>38</v>
      </c>
      <c r="E185" s="2" t="s">
        <v>49</v>
      </c>
      <c r="F185" s="2" t="s">
        <v>19</v>
      </c>
      <c r="G185" t="s">
        <v>39</v>
      </c>
      <c r="H185" t="s">
        <v>171</v>
      </c>
      <c r="I185" s="4">
        <v>721.53</v>
      </c>
      <c r="J185" s="3">
        <v>3</v>
      </c>
      <c r="K185" s="1">
        <v>45589</v>
      </c>
      <c r="L185" s="1" t="str">
        <f>TEXT(Table1[[#This Row],[Purchase_Date]],"YYYY")</f>
        <v>2024</v>
      </c>
      <c r="M185" s="1" t="str">
        <f>TEXT(Table1[[#This Row],[Purchase_Date]],"MMM")</f>
        <v>Oct</v>
      </c>
      <c r="N185" s="1" t="str">
        <f>TEXT(Table1[[#This Row],[Purchase_Date]],"DD")</f>
        <v>24</v>
      </c>
      <c r="O185" s="2" t="s">
        <v>30</v>
      </c>
      <c r="P185" s="3">
        <v>1</v>
      </c>
      <c r="Q185" s="2" t="s">
        <v>23</v>
      </c>
      <c r="R185" s="2" t="s">
        <v>47</v>
      </c>
      <c r="S185">
        <f>Table1[[#This Row],[Purchase_Amount]]*Table1[[#This Row],[Quantity]]</f>
        <v>2164.59</v>
      </c>
      <c r="T185" t="str">
        <f>IF(Table1[[#This Row],[Age]]&lt;25,"&lt;25",IF(Table1[[#This Row],[Age]]&lt;=35,"25-35",IF(Table1[[#This Row],[Age]]&lt;=50,"36-50","50+")))</f>
        <v>25-35</v>
      </c>
    </row>
    <row r="186" spans="1:20" x14ac:dyDescent="0.3">
      <c r="A186" s="2" t="s">
        <v>807</v>
      </c>
      <c r="B186" s="2" t="s">
        <v>54</v>
      </c>
      <c r="C186" s="3">
        <v>32</v>
      </c>
      <c r="D186" s="2" t="s">
        <v>78</v>
      </c>
      <c r="E186" s="2" t="s">
        <v>49</v>
      </c>
      <c r="F186" s="2" t="s">
        <v>44</v>
      </c>
      <c r="G186" t="s">
        <v>39</v>
      </c>
      <c r="H186" t="s">
        <v>328</v>
      </c>
      <c r="I186" s="4">
        <v>799.83</v>
      </c>
      <c r="J186" s="3">
        <v>2</v>
      </c>
      <c r="K186" s="1">
        <v>45558</v>
      </c>
      <c r="L186" s="1" t="str">
        <f>TEXT(Table1[[#This Row],[Purchase_Date]],"YYYY")</f>
        <v>2024</v>
      </c>
      <c r="M186" s="1" t="str">
        <f>TEXT(Table1[[#This Row],[Purchase_Date]],"MMM")</f>
        <v>Sep</v>
      </c>
      <c r="N186" s="1" t="str">
        <f>TEXT(Table1[[#This Row],[Purchase_Date]],"DD")</f>
        <v>23</v>
      </c>
      <c r="O186" s="2" t="s">
        <v>41</v>
      </c>
      <c r="P186" s="3">
        <v>3</v>
      </c>
      <c r="Q186" s="2" t="s">
        <v>23</v>
      </c>
      <c r="R186" s="2" t="s">
        <v>24</v>
      </c>
      <c r="S186">
        <f>Table1[[#This Row],[Purchase_Amount]]*Table1[[#This Row],[Quantity]]</f>
        <v>1599.66</v>
      </c>
      <c r="T186" t="str">
        <f>IF(Table1[[#This Row],[Age]]&lt;25,"&lt;25",IF(Table1[[#This Row],[Age]]&lt;=35,"25-35",IF(Table1[[#This Row],[Age]]&lt;=50,"36-50","50+")))</f>
        <v>25-35</v>
      </c>
    </row>
    <row r="187" spans="1:20" x14ac:dyDescent="0.3">
      <c r="A187" s="2" t="s">
        <v>798</v>
      </c>
      <c r="B187" s="2" t="s">
        <v>54</v>
      </c>
      <c r="C187" s="3">
        <v>33</v>
      </c>
      <c r="D187" s="2" t="s">
        <v>38</v>
      </c>
      <c r="E187" s="2" t="s">
        <v>18</v>
      </c>
      <c r="F187" s="2" t="s">
        <v>19</v>
      </c>
      <c r="G187" t="s">
        <v>39</v>
      </c>
      <c r="H187" t="s">
        <v>280</v>
      </c>
      <c r="I187" s="4">
        <v>664.73</v>
      </c>
      <c r="J187" s="3">
        <v>2</v>
      </c>
      <c r="K187" s="1">
        <v>45308</v>
      </c>
      <c r="L187" s="1" t="str">
        <f>TEXT(Table1[[#This Row],[Purchase_Date]],"YYYY")</f>
        <v>2024</v>
      </c>
      <c r="M187" s="1" t="str">
        <f>TEXT(Table1[[#This Row],[Purchase_Date]],"MMM")</f>
        <v>Jan</v>
      </c>
      <c r="N187" s="1" t="str">
        <f>TEXT(Table1[[#This Row],[Purchase_Date]],"DD")</f>
        <v>17</v>
      </c>
      <c r="O187" s="2" t="s">
        <v>36</v>
      </c>
      <c r="P187" s="3">
        <v>8</v>
      </c>
      <c r="Q187" s="2" t="s">
        <v>46</v>
      </c>
      <c r="R187" s="2" t="s">
        <v>24</v>
      </c>
      <c r="S187">
        <f>Table1[[#This Row],[Purchase_Amount]]*Table1[[#This Row],[Quantity]]</f>
        <v>1329.46</v>
      </c>
      <c r="T187" t="str">
        <f>IF(Table1[[#This Row],[Age]]&lt;25,"&lt;25",IF(Table1[[#This Row],[Age]]&lt;=35,"25-35",IF(Table1[[#This Row],[Age]]&lt;=50,"36-50","50+")))</f>
        <v>25-35</v>
      </c>
    </row>
    <row r="188" spans="1:20" x14ac:dyDescent="0.3">
      <c r="A188" s="2" t="s">
        <v>629</v>
      </c>
      <c r="B188" s="2" t="s">
        <v>54</v>
      </c>
      <c r="C188" s="3">
        <v>34</v>
      </c>
      <c r="D188" s="2" t="s">
        <v>38</v>
      </c>
      <c r="E188" s="2" t="s">
        <v>18</v>
      </c>
      <c r="F188" s="2" t="s">
        <v>19</v>
      </c>
      <c r="G188" t="s">
        <v>39</v>
      </c>
      <c r="H188" t="s">
        <v>210</v>
      </c>
      <c r="I188" s="4">
        <v>247.42</v>
      </c>
      <c r="J188" s="3">
        <v>3</v>
      </c>
      <c r="K188" s="1">
        <v>45451</v>
      </c>
      <c r="L188" s="1" t="str">
        <f>TEXT(Table1[[#This Row],[Purchase_Date]],"YYYY")</f>
        <v>2024</v>
      </c>
      <c r="M188" s="1" t="str">
        <f>TEXT(Table1[[#This Row],[Purchase_Date]],"MMM")</f>
        <v>Jun</v>
      </c>
      <c r="N188" s="1" t="str">
        <f>TEXT(Table1[[#This Row],[Purchase_Date]],"DD")</f>
        <v>08</v>
      </c>
      <c r="O188" s="2" t="s">
        <v>41</v>
      </c>
      <c r="P188" s="3">
        <v>9</v>
      </c>
      <c r="Q188" s="2" t="s">
        <v>46</v>
      </c>
      <c r="R188" s="2" t="s">
        <v>24</v>
      </c>
      <c r="S188">
        <f>Table1[[#This Row],[Purchase_Amount]]*Table1[[#This Row],[Quantity]]</f>
        <v>742.26</v>
      </c>
      <c r="T188" t="str">
        <f>IF(Table1[[#This Row],[Age]]&lt;25,"&lt;25",IF(Table1[[#This Row],[Age]]&lt;=35,"25-35",IF(Table1[[#This Row],[Age]]&lt;=50,"36-50","50+")))</f>
        <v>25-35</v>
      </c>
    </row>
    <row r="189" spans="1:20" x14ac:dyDescent="0.3">
      <c r="A189" s="2" t="s">
        <v>1101</v>
      </c>
      <c r="B189" s="2" t="s">
        <v>54</v>
      </c>
      <c r="C189" s="3">
        <v>35</v>
      </c>
      <c r="D189" s="2" t="s">
        <v>78</v>
      </c>
      <c r="E189" s="2" t="s">
        <v>49</v>
      </c>
      <c r="F189" s="2" t="s">
        <v>44</v>
      </c>
      <c r="G189" t="s">
        <v>39</v>
      </c>
      <c r="H189" t="s">
        <v>83</v>
      </c>
      <c r="I189" s="4">
        <v>440.66</v>
      </c>
      <c r="J189" s="3">
        <v>3</v>
      </c>
      <c r="K189" s="1">
        <v>45301</v>
      </c>
      <c r="L189" s="1" t="str">
        <f>TEXT(Table1[[#This Row],[Purchase_Date]],"YYYY")</f>
        <v>2024</v>
      </c>
      <c r="M189" s="1" t="str">
        <f>TEXT(Table1[[#This Row],[Purchase_Date]],"MMM")</f>
        <v>Jan</v>
      </c>
      <c r="N189" s="1" t="str">
        <f>TEXT(Table1[[#This Row],[Purchase_Date]],"DD")</f>
        <v>10</v>
      </c>
      <c r="O189" s="2" t="s">
        <v>30</v>
      </c>
      <c r="P189" s="3">
        <v>9</v>
      </c>
      <c r="Q189" s="2" t="s">
        <v>23</v>
      </c>
      <c r="R189" s="2" t="s">
        <v>24</v>
      </c>
      <c r="S189">
        <f>Table1[[#This Row],[Purchase_Amount]]*Table1[[#This Row],[Quantity]]</f>
        <v>1321.98</v>
      </c>
      <c r="T189" t="str">
        <f>IF(Table1[[#This Row],[Age]]&lt;25,"&lt;25",IF(Table1[[#This Row],[Age]]&lt;=35,"25-35",IF(Table1[[#This Row],[Age]]&lt;=50,"36-50","50+")))</f>
        <v>25-35</v>
      </c>
    </row>
    <row r="190" spans="1:20" x14ac:dyDescent="0.3">
      <c r="A190" s="2" t="s">
        <v>1215</v>
      </c>
      <c r="B190" s="2" t="s">
        <v>54</v>
      </c>
      <c r="C190" s="3">
        <v>35</v>
      </c>
      <c r="D190" s="2" t="s">
        <v>17</v>
      </c>
      <c r="E190" s="2" t="s">
        <v>33</v>
      </c>
      <c r="F190" s="2" t="s">
        <v>27</v>
      </c>
      <c r="G190" t="s">
        <v>39</v>
      </c>
      <c r="H190" t="s">
        <v>110</v>
      </c>
      <c r="I190" s="4">
        <v>821.3</v>
      </c>
      <c r="J190" s="3">
        <v>3</v>
      </c>
      <c r="K190" s="1">
        <v>45393</v>
      </c>
      <c r="L190" s="1" t="str">
        <f>TEXT(Table1[[#This Row],[Purchase_Date]],"YYYY")</f>
        <v>2024</v>
      </c>
      <c r="M190" s="1" t="str">
        <f>TEXT(Table1[[#This Row],[Purchase_Date]],"MMM")</f>
        <v>Apr</v>
      </c>
      <c r="N190" s="1" t="str">
        <f>TEXT(Table1[[#This Row],[Purchase_Date]],"DD")</f>
        <v>11</v>
      </c>
      <c r="O190" s="2" t="s">
        <v>41</v>
      </c>
      <c r="P190" s="3">
        <v>8</v>
      </c>
      <c r="Q190" s="2" t="s">
        <v>46</v>
      </c>
      <c r="R190" s="2" t="s">
        <v>24</v>
      </c>
      <c r="S190">
        <f>Table1[[#This Row],[Purchase_Amount]]*Table1[[#This Row],[Quantity]]</f>
        <v>2463.8999999999996</v>
      </c>
      <c r="T190" t="str">
        <f>IF(Table1[[#This Row],[Age]]&lt;25,"&lt;25",IF(Table1[[#This Row],[Age]]&lt;=35,"25-35",IF(Table1[[#This Row],[Age]]&lt;=50,"36-50","50+")))</f>
        <v>25-35</v>
      </c>
    </row>
    <row r="191" spans="1:20" x14ac:dyDescent="0.3">
      <c r="A191" s="2" t="s">
        <v>724</v>
      </c>
      <c r="B191" s="2" t="s">
        <v>54</v>
      </c>
      <c r="C191" s="3">
        <v>37</v>
      </c>
      <c r="D191" s="2" t="s">
        <v>64</v>
      </c>
      <c r="E191" s="2" t="s">
        <v>18</v>
      </c>
      <c r="F191" s="2" t="s">
        <v>19</v>
      </c>
      <c r="G191" t="s">
        <v>39</v>
      </c>
      <c r="H191" t="s">
        <v>239</v>
      </c>
      <c r="I191" s="4">
        <v>431.25</v>
      </c>
      <c r="J191" s="3">
        <v>1</v>
      </c>
      <c r="K191" s="1">
        <v>45593</v>
      </c>
      <c r="L191" s="1" t="str">
        <f>TEXT(Table1[[#This Row],[Purchase_Date]],"YYYY")</f>
        <v>2024</v>
      </c>
      <c r="M191" s="1" t="str">
        <f>TEXT(Table1[[#This Row],[Purchase_Date]],"MMM")</f>
        <v>Oct</v>
      </c>
      <c r="N191" s="1" t="str">
        <f>TEXT(Table1[[#This Row],[Purchase_Date]],"DD")</f>
        <v>28</v>
      </c>
      <c r="O191" s="2" t="s">
        <v>41</v>
      </c>
      <c r="P191" s="3">
        <v>7</v>
      </c>
      <c r="Q191" s="2" t="s">
        <v>46</v>
      </c>
      <c r="R191" s="2" t="s">
        <v>24</v>
      </c>
      <c r="S191">
        <f>Table1[[#This Row],[Purchase_Amount]]*Table1[[#This Row],[Quantity]]</f>
        <v>431.25</v>
      </c>
      <c r="T191" t="str">
        <f>IF(Table1[[#This Row],[Age]]&lt;25,"&lt;25",IF(Table1[[#This Row],[Age]]&lt;=35,"25-35",IF(Table1[[#This Row],[Age]]&lt;=50,"36-50","50+")))</f>
        <v>36-50</v>
      </c>
    </row>
    <row r="192" spans="1:20" x14ac:dyDescent="0.3">
      <c r="A192" s="2" t="s">
        <v>420</v>
      </c>
      <c r="B192" s="2" t="s">
        <v>54</v>
      </c>
      <c r="C192" s="3">
        <v>38</v>
      </c>
      <c r="D192" s="2" t="s">
        <v>17</v>
      </c>
      <c r="E192" s="2" t="s">
        <v>18</v>
      </c>
      <c r="F192" s="2" t="s">
        <v>27</v>
      </c>
      <c r="G192" t="s">
        <v>39</v>
      </c>
      <c r="H192" t="s">
        <v>421</v>
      </c>
      <c r="I192" s="4">
        <v>213.74</v>
      </c>
      <c r="J192" s="3">
        <v>5</v>
      </c>
      <c r="K192" s="1">
        <v>45304</v>
      </c>
      <c r="L192" s="1" t="str">
        <f>TEXT(Table1[[#This Row],[Purchase_Date]],"YYYY")</f>
        <v>2024</v>
      </c>
      <c r="M192" s="1" t="str">
        <f>TEXT(Table1[[#This Row],[Purchase_Date]],"MMM")</f>
        <v>Jan</v>
      </c>
      <c r="N192" s="1" t="str">
        <f>TEXT(Table1[[#This Row],[Purchase_Date]],"DD")</f>
        <v>13</v>
      </c>
      <c r="O192" s="2" t="s">
        <v>22</v>
      </c>
      <c r="P192" s="3">
        <v>4</v>
      </c>
      <c r="Q192" s="2" t="s">
        <v>46</v>
      </c>
      <c r="R192" s="2" t="s">
        <v>24</v>
      </c>
      <c r="S192">
        <f>Table1[[#This Row],[Purchase_Amount]]*Table1[[#This Row],[Quantity]]</f>
        <v>1068.7</v>
      </c>
      <c r="T192" t="str">
        <f>IF(Table1[[#This Row],[Age]]&lt;25,"&lt;25",IF(Table1[[#This Row],[Age]]&lt;=35,"25-35",IF(Table1[[#This Row],[Age]]&lt;=50,"36-50","50+")))</f>
        <v>36-50</v>
      </c>
    </row>
    <row r="193" spans="1:20" x14ac:dyDescent="0.3">
      <c r="A193" s="2" t="s">
        <v>1152</v>
      </c>
      <c r="B193" s="2" t="s">
        <v>54</v>
      </c>
      <c r="C193" s="3">
        <v>38</v>
      </c>
      <c r="D193" s="2" t="s">
        <v>78</v>
      </c>
      <c r="E193" s="2" t="s">
        <v>18</v>
      </c>
      <c r="F193" s="2" t="s">
        <v>44</v>
      </c>
      <c r="G193" t="s">
        <v>39</v>
      </c>
      <c r="H193" t="s">
        <v>380</v>
      </c>
      <c r="I193" s="4">
        <v>912.7</v>
      </c>
      <c r="J193" s="3">
        <v>3</v>
      </c>
      <c r="K193" s="1">
        <v>45597</v>
      </c>
      <c r="L193" s="1" t="str">
        <f>TEXT(Table1[[#This Row],[Purchase_Date]],"YYYY")</f>
        <v>2024</v>
      </c>
      <c r="M193" s="1" t="str">
        <f>TEXT(Table1[[#This Row],[Purchase_Date]],"MMM")</f>
        <v>Nov</v>
      </c>
      <c r="N193" s="1" t="str">
        <f>TEXT(Table1[[#This Row],[Purchase_Date]],"DD")</f>
        <v>01</v>
      </c>
      <c r="O193" s="2" t="s">
        <v>41</v>
      </c>
      <c r="P193" s="3">
        <v>1</v>
      </c>
      <c r="Q193" s="2" t="s">
        <v>23</v>
      </c>
      <c r="R193" s="2" t="s">
        <v>47</v>
      </c>
      <c r="S193">
        <f>Table1[[#This Row],[Purchase_Amount]]*Table1[[#This Row],[Quantity]]</f>
        <v>2738.1000000000004</v>
      </c>
      <c r="T193" t="str">
        <f>IF(Table1[[#This Row],[Age]]&lt;25,"&lt;25",IF(Table1[[#This Row],[Age]]&lt;=35,"25-35",IF(Table1[[#This Row],[Age]]&lt;=50,"36-50","50+")))</f>
        <v>36-50</v>
      </c>
    </row>
    <row r="194" spans="1:20" x14ac:dyDescent="0.3">
      <c r="A194" s="2" t="s">
        <v>1085</v>
      </c>
      <c r="B194" s="2" t="s">
        <v>54</v>
      </c>
      <c r="C194" s="3">
        <v>39</v>
      </c>
      <c r="D194" s="2" t="s">
        <v>78</v>
      </c>
      <c r="E194" s="2" t="s">
        <v>49</v>
      </c>
      <c r="F194" s="2" t="s">
        <v>19</v>
      </c>
      <c r="G194" t="s">
        <v>39</v>
      </c>
      <c r="H194" t="s">
        <v>219</v>
      </c>
      <c r="I194" s="4">
        <v>869.03</v>
      </c>
      <c r="J194" s="3">
        <v>2</v>
      </c>
      <c r="K194" s="1">
        <v>45249</v>
      </c>
      <c r="L194" s="1" t="str">
        <f>TEXT(Table1[[#This Row],[Purchase_Date]],"YYYY")</f>
        <v>2023</v>
      </c>
      <c r="M194" s="1" t="str">
        <f>TEXT(Table1[[#This Row],[Purchase_Date]],"MMM")</f>
        <v>Nov</v>
      </c>
      <c r="N194" s="1" t="str">
        <f>TEXT(Table1[[#This Row],[Purchase_Date]],"DD")</f>
        <v>19</v>
      </c>
      <c r="O194" s="2" t="s">
        <v>36</v>
      </c>
      <c r="P194" s="3">
        <v>7</v>
      </c>
      <c r="Q194" s="2" t="s">
        <v>23</v>
      </c>
      <c r="R194" s="2" t="s">
        <v>47</v>
      </c>
      <c r="S194">
        <f>Table1[[#This Row],[Purchase_Amount]]*Table1[[#This Row],[Quantity]]</f>
        <v>1738.06</v>
      </c>
      <c r="T194" t="str">
        <f>IF(Table1[[#This Row],[Age]]&lt;25,"&lt;25",IF(Table1[[#This Row],[Age]]&lt;=35,"25-35",IF(Table1[[#This Row],[Age]]&lt;=50,"36-50","50+")))</f>
        <v>36-50</v>
      </c>
    </row>
    <row r="195" spans="1:20" x14ac:dyDescent="0.3">
      <c r="A195" s="2" t="s">
        <v>1144</v>
      </c>
      <c r="B195" s="2" t="s">
        <v>54</v>
      </c>
      <c r="C195" s="3">
        <v>39</v>
      </c>
      <c r="D195" s="2" t="s">
        <v>38</v>
      </c>
      <c r="E195" s="2" t="s">
        <v>18</v>
      </c>
      <c r="F195" s="2" t="s">
        <v>27</v>
      </c>
      <c r="G195" t="s">
        <v>39</v>
      </c>
      <c r="H195" t="s">
        <v>431</v>
      </c>
      <c r="I195" s="4">
        <v>975.85</v>
      </c>
      <c r="J195" s="3">
        <v>3</v>
      </c>
      <c r="K195" s="1">
        <v>45261</v>
      </c>
      <c r="L195" s="1" t="str">
        <f>TEXT(Table1[[#This Row],[Purchase_Date]],"YYYY")</f>
        <v>2023</v>
      </c>
      <c r="M195" s="1" t="str">
        <f>TEXT(Table1[[#This Row],[Purchase_Date]],"MMM")</f>
        <v>Dec</v>
      </c>
      <c r="N195" s="1" t="str">
        <f>TEXT(Table1[[#This Row],[Purchase_Date]],"DD")</f>
        <v>01</v>
      </c>
      <c r="O195" s="2" t="s">
        <v>41</v>
      </c>
      <c r="P195" s="3">
        <v>3</v>
      </c>
      <c r="Q195" s="2" t="s">
        <v>23</v>
      </c>
      <c r="R195" s="2" t="s">
        <v>47</v>
      </c>
      <c r="S195">
        <f>Table1[[#This Row],[Purchase_Amount]]*Table1[[#This Row],[Quantity]]</f>
        <v>2927.55</v>
      </c>
      <c r="T195" t="str">
        <f>IF(Table1[[#This Row],[Age]]&lt;25,"&lt;25",IF(Table1[[#This Row],[Age]]&lt;=35,"25-35",IF(Table1[[#This Row],[Age]]&lt;=50,"36-50","50+")))</f>
        <v>36-50</v>
      </c>
    </row>
    <row r="196" spans="1:20" x14ac:dyDescent="0.3">
      <c r="A196" s="2" t="s">
        <v>460</v>
      </c>
      <c r="B196" s="2" t="s">
        <v>54</v>
      </c>
      <c r="C196" s="3">
        <v>41</v>
      </c>
      <c r="D196" s="2" t="s">
        <v>43</v>
      </c>
      <c r="E196" s="2" t="s">
        <v>49</v>
      </c>
      <c r="F196" s="2" t="s">
        <v>27</v>
      </c>
      <c r="G196" t="s">
        <v>39</v>
      </c>
      <c r="H196" t="s">
        <v>280</v>
      </c>
      <c r="I196" s="4">
        <v>348.43</v>
      </c>
      <c r="J196" s="3">
        <v>2</v>
      </c>
      <c r="K196" s="1">
        <v>45227</v>
      </c>
      <c r="L196" s="1" t="str">
        <f>TEXT(Table1[[#This Row],[Purchase_Date]],"YYYY")</f>
        <v>2023</v>
      </c>
      <c r="M196" s="1" t="str">
        <f>TEXT(Table1[[#This Row],[Purchase_Date]],"MMM")</f>
        <v>Oct</v>
      </c>
      <c r="N196" s="1" t="str">
        <f>TEXT(Table1[[#This Row],[Purchase_Date]],"DD")</f>
        <v>28</v>
      </c>
      <c r="O196" s="2" t="s">
        <v>30</v>
      </c>
      <c r="P196" s="3">
        <v>1</v>
      </c>
      <c r="Q196" s="2" t="s">
        <v>23</v>
      </c>
      <c r="R196" s="2" t="s">
        <v>24</v>
      </c>
      <c r="S196">
        <f>Table1[[#This Row],[Purchase_Amount]]*Table1[[#This Row],[Quantity]]</f>
        <v>696.86</v>
      </c>
      <c r="T196" t="str">
        <f>IF(Table1[[#This Row],[Age]]&lt;25,"&lt;25",IF(Table1[[#This Row],[Age]]&lt;=35,"25-35",IF(Table1[[#This Row],[Age]]&lt;=50,"36-50","50+")))</f>
        <v>36-50</v>
      </c>
    </row>
    <row r="197" spans="1:20" x14ac:dyDescent="0.3">
      <c r="A197" s="2" t="s">
        <v>557</v>
      </c>
      <c r="B197" s="2" t="s">
        <v>54</v>
      </c>
      <c r="C197" s="3">
        <v>41</v>
      </c>
      <c r="D197" s="2" t="s">
        <v>64</v>
      </c>
      <c r="E197" s="2" t="s">
        <v>33</v>
      </c>
      <c r="F197" s="2" t="s">
        <v>27</v>
      </c>
      <c r="G197" t="s">
        <v>39</v>
      </c>
      <c r="H197" t="s">
        <v>99</v>
      </c>
      <c r="I197" s="4">
        <v>859.36</v>
      </c>
      <c r="J197" s="3">
        <v>1</v>
      </c>
      <c r="K197" s="1">
        <v>45130</v>
      </c>
      <c r="L197" s="1" t="str">
        <f>TEXT(Table1[[#This Row],[Purchase_Date]],"YYYY")</f>
        <v>2023</v>
      </c>
      <c r="M197" s="1" t="str">
        <f>TEXT(Table1[[#This Row],[Purchase_Date]],"MMM")</f>
        <v>Jul</v>
      </c>
      <c r="N197" s="1" t="str">
        <f>TEXT(Table1[[#This Row],[Purchase_Date]],"DD")</f>
        <v>23</v>
      </c>
      <c r="O197" s="2" t="s">
        <v>30</v>
      </c>
      <c r="P197" s="3">
        <v>1</v>
      </c>
      <c r="Q197" s="2" t="s">
        <v>46</v>
      </c>
      <c r="R197" s="2" t="s">
        <v>24</v>
      </c>
      <c r="S197">
        <f>Table1[[#This Row],[Purchase_Amount]]*Table1[[#This Row],[Quantity]]</f>
        <v>859.36</v>
      </c>
      <c r="T197" t="str">
        <f>IF(Table1[[#This Row],[Age]]&lt;25,"&lt;25",IF(Table1[[#This Row],[Age]]&lt;=35,"25-35",IF(Table1[[#This Row],[Age]]&lt;=50,"36-50","50+")))</f>
        <v>36-50</v>
      </c>
    </row>
    <row r="198" spans="1:20" x14ac:dyDescent="0.3">
      <c r="A198" s="2" t="s">
        <v>974</v>
      </c>
      <c r="B198" s="2" t="s">
        <v>54</v>
      </c>
      <c r="C198" s="3">
        <v>42</v>
      </c>
      <c r="D198" s="2" t="s">
        <v>38</v>
      </c>
      <c r="E198" s="2" t="s">
        <v>49</v>
      </c>
      <c r="F198" s="2" t="s">
        <v>27</v>
      </c>
      <c r="G198" t="s">
        <v>39</v>
      </c>
      <c r="H198" t="s">
        <v>153</v>
      </c>
      <c r="I198" s="4">
        <v>354.57</v>
      </c>
      <c r="J198" s="3">
        <v>2</v>
      </c>
      <c r="K198" s="1">
        <v>44963</v>
      </c>
      <c r="L198" s="1" t="str">
        <f>TEXT(Table1[[#This Row],[Purchase_Date]],"YYYY")</f>
        <v>2023</v>
      </c>
      <c r="M198" s="1" t="str">
        <f>TEXT(Table1[[#This Row],[Purchase_Date]],"MMM")</f>
        <v>Feb</v>
      </c>
      <c r="N198" s="1" t="str">
        <f>TEXT(Table1[[#This Row],[Purchase_Date]],"DD")</f>
        <v>06</v>
      </c>
      <c r="O198" s="2" t="s">
        <v>22</v>
      </c>
      <c r="P198" s="3">
        <v>7</v>
      </c>
      <c r="Q198" s="2" t="s">
        <v>46</v>
      </c>
      <c r="R198" s="2" t="s">
        <v>24</v>
      </c>
      <c r="S198">
        <f>Table1[[#This Row],[Purchase_Amount]]*Table1[[#This Row],[Quantity]]</f>
        <v>709.14</v>
      </c>
      <c r="T198" t="str">
        <f>IF(Table1[[#This Row],[Age]]&lt;25,"&lt;25",IF(Table1[[#This Row],[Age]]&lt;=35,"25-35",IF(Table1[[#This Row],[Age]]&lt;=50,"36-50","50+")))</f>
        <v>36-50</v>
      </c>
    </row>
    <row r="199" spans="1:20" x14ac:dyDescent="0.3">
      <c r="A199" s="2" t="s">
        <v>1195</v>
      </c>
      <c r="B199" s="2" t="s">
        <v>54</v>
      </c>
      <c r="C199" s="3">
        <v>42</v>
      </c>
      <c r="D199" s="2" t="s">
        <v>38</v>
      </c>
      <c r="E199" s="2" t="s">
        <v>18</v>
      </c>
      <c r="F199" s="2" t="s">
        <v>27</v>
      </c>
      <c r="G199" t="s">
        <v>39</v>
      </c>
      <c r="H199" t="s">
        <v>380</v>
      </c>
      <c r="I199" s="4">
        <v>912.01</v>
      </c>
      <c r="J199" s="3">
        <v>5</v>
      </c>
      <c r="K199" s="1">
        <v>45242</v>
      </c>
      <c r="L199" s="1" t="str">
        <f>TEXT(Table1[[#This Row],[Purchase_Date]],"YYYY")</f>
        <v>2023</v>
      </c>
      <c r="M199" s="1" t="str">
        <f>TEXT(Table1[[#This Row],[Purchase_Date]],"MMM")</f>
        <v>Nov</v>
      </c>
      <c r="N199" s="1" t="str">
        <f>TEXT(Table1[[#This Row],[Purchase_Date]],"DD")</f>
        <v>12</v>
      </c>
      <c r="O199" s="2" t="s">
        <v>36</v>
      </c>
      <c r="P199" s="3">
        <v>6</v>
      </c>
      <c r="Q199" s="2" t="s">
        <v>23</v>
      </c>
      <c r="R199" s="2" t="s">
        <v>24</v>
      </c>
      <c r="S199">
        <f>Table1[[#This Row],[Purchase_Amount]]*Table1[[#This Row],[Quantity]]</f>
        <v>4560.05</v>
      </c>
      <c r="T199" t="str">
        <f>IF(Table1[[#This Row],[Age]]&lt;25,"&lt;25",IF(Table1[[#This Row],[Age]]&lt;=35,"25-35",IF(Table1[[#This Row],[Age]]&lt;=50,"36-50","50+")))</f>
        <v>36-50</v>
      </c>
    </row>
    <row r="200" spans="1:20" x14ac:dyDescent="0.3">
      <c r="A200" s="2" t="s">
        <v>653</v>
      </c>
      <c r="B200" s="2" t="s">
        <v>54</v>
      </c>
      <c r="C200" s="3">
        <v>43</v>
      </c>
      <c r="D200" s="2" t="s">
        <v>32</v>
      </c>
      <c r="E200" s="2" t="s">
        <v>33</v>
      </c>
      <c r="F200" s="2" t="s">
        <v>44</v>
      </c>
      <c r="G200" t="s">
        <v>39</v>
      </c>
      <c r="H200" t="s">
        <v>202</v>
      </c>
      <c r="I200" s="4">
        <v>115.56</v>
      </c>
      <c r="J200" s="3">
        <v>2</v>
      </c>
      <c r="K200" s="1">
        <v>45596</v>
      </c>
      <c r="L200" s="1" t="str">
        <f>TEXT(Table1[[#This Row],[Purchase_Date]],"YYYY")</f>
        <v>2024</v>
      </c>
      <c r="M200" s="1" t="str">
        <f>TEXT(Table1[[#This Row],[Purchase_Date]],"MMM")</f>
        <v>Oct</v>
      </c>
      <c r="N200" s="1" t="str">
        <f>TEXT(Table1[[#This Row],[Purchase_Date]],"DD")</f>
        <v>31</v>
      </c>
      <c r="O200" s="2" t="s">
        <v>36</v>
      </c>
      <c r="P200" s="3">
        <v>2</v>
      </c>
      <c r="Q200" s="2" t="s">
        <v>23</v>
      </c>
      <c r="R200" s="2" t="s">
        <v>24</v>
      </c>
      <c r="S200">
        <f>Table1[[#This Row],[Purchase_Amount]]*Table1[[#This Row],[Quantity]]</f>
        <v>231.12</v>
      </c>
      <c r="T200" t="str">
        <f>IF(Table1[[#This Row],[Age]]&lt;25,"&lt;25",IF(Table1[[#This Row],[Age]]&lt;=35,"25-35",IF(Table1[[#This Row],[Age]]&lt;=50,"36-50","50+")))</f>
        <v>36-50</v>
      </c>
    </row>
    <row r="201" spans="1:20" x14ac:dyDescent="0.3">
      <c r="A201" s="2" t="s">
        <v>1182</v>
      </c>
      <c r="B201" s="2" t="s">
        <v>54</v>
      </c>
      <c r="C201" s="3">
        <v>44</v>
      </c>
      <c r="D201" s="2" t="s">
        <v>60</v>
      </c>
      <c r="E201" s="2" t="s">
        <v>18</v>
      </c>
      <c r="F201" s="2" t="s">
        <v>19</v>
      </c>
      <c r="G201" t="s">
        <v>39</v>
      </c>
      <c r="H201" t="s">
        <v>418</v>
      </c>
      <c r="I201" s="4">
        <v>454.55</v>
      </c>
      <c r="J201" s="3">
        <v>1</v>
      </c>
      <c r="K201" s="1">
        <v>44936</v>
      </c>
      <c r="L201" s="1" t="str">
        <f>TEXT(Table1[[#This Row],[Purchase_Date]],"YYYY")</f>
        <v>2023</v>
      </c>
      <c r="M201" s="1" t="str">
        <f>TEXT(Table1[[#This Row],[Purchase_Date]],"MMM")</f>
        <v>Jan</v>
      </c>
      <c r="N201" s="1" t="str">
        <f>TEXT(Table1[[#This Row],[Purchase_Date]],"DD")</f>
        <v>10</v>
      </c>
      <c r="O201" s="2" t="s">
        <v>36</v>
      </c>
      <c r="P201" s="3">
        <v>5</v>
      </c>
      <c r="Q201" s="2" t="s">
        <v>23</v>
      </c>
      <c r="R201" s="2" t="s">
        <v>24</v>
      </c>
      <c r="S201">
        <f>Table1[[#This Row],[Purchase_Amount]]*Table1[[#This Row],[Quantity]]</f>
        <v>454.55</v>
      </c>
      <c r="T201" t="str">
        <f>IF(Table1[[#This Row],[Age]]&lt;25,"&lt;25",IF(Table1[[#This Row],[Age]]&lt;=35,"25-35",IF(Table1[[#This Row],[Age]]&lt;=50,"36-50","50+")))</f>
        <v>36-50</v>
      </c>
    </row>
    <row r="202" spans="1:20" x14ac:dyDescent="0.3">
      <c r="A202" s="2" t="s">
        <v>338</v>
      </c>
      <c r="B202" s="2" t="s">
        <v>54</v>
      </c>
      <c r="C202" s="3">
        <v>46</v>
      </c>
      <c r="D202" s="2" t="s">
        <v>38</v>
      </c>
      <c r="E202" s="2" t="s">
        <v>49</v>
      </c>
      <c r="F202" s="2" t="s">
        <v>27</v>
      </c>
      <c r="G202" t="s">
        <v>39</v>
      </c>
      <c r="H202" t="s">
        <v>29</v>
      </c>
      <c r="I202" s="4">
        <v>398.3</v>
      </c>
      <c r="J202" s="3">
        <v>1</v>
      </c>
      <c r="K202" s="1">
        <v>45081</v>
      </c>
      <c r="L202" s="1" t="str">
        <f>TEXT(Table1[[#This Row],[Purchase_Date]],"YYYY")</f>
        <v>2023</v>
      </c>
      <c r="M202" s="1" t="str">
        <f>TEXT(Table1[[#This Row],[Purchase_Date]],"MMM")</f>
        <v>Jun</v>
      </c>
      <c r="N202" s="1" t="str">
        <f>TEXT(Table1[[#This Row],[Purchase_Date]],"DD")</f>
        <v>04</v>
      </c>
      <c r="O202" s="2" t="s">
        <v>22</v>
      </c>
      <c r="P202" s="3">
        <v>5</v>
      </c>
      <c r="Q202" s="2" t="s">
        <v>23</v>
      </c>
      <c r="R202" s="2" t="s">
        <v>24</v>
      </c>
      <c r="S202">
        <f>Table1[[#This Row],[Purchase_Amount]]*Table1[[#This Row],[Quantity]]</f>
        <v>398.3</v>
      </c>
      <c r="T202" t="str">
        <f>IF(Table1[[#This Row],[Age]]&lt;25,"&lt;25",IF(Table1[[#This Row],[Age]]&lt;=35,"25-35",IF(Table1[[#This Row],[Age]]&lt;=50,"36-50","50+")))</f>
        <v>36-50</v>
      </c>
    </row>
    <row r="203" spans="1:20" x14ac:dyDescent="0.3">
      <c r="A203" s="2" t="s">
        <v>1135</v>
      </c>
      <c r="B203" s="2" t="s">
        <v>54</v>
      </c>
      <c r="C203" s="3">
        <v>46</v>
      </c>
      <c r="D203" s="2" t="s">
        <v>78</v>
      </c>
      <c r="E203" s="2" t="s">
        <v>49</v>
      </c>
      <c r="F203" s="2" t="s">
        <v>44</v>
      </c>
      <c r="G203" t="s">
        <v>39</v>
      </c>
      <c r="H203" t="s">
        <v>258</v>
      </c>
      <c r="I203" s="4">
        <v>997.7</v>
      </c>
      <c r="J203" s="3">
        <v>5</v>
      </c>
      <c r="K203" s="1">
        <v>45579</v>
      </c>
      <c r="L203" s="1" t="str">
        <f>TEXT(Table1[[#This Row],[Purchase_Date]],"YYYY")</f>
        <v>2024</v>
      </c>
      <c r="M203" s="1" t="str">
        <f>TEXT(Table1[[#This Row],[Purchase_Date]],"MMM")</f>
        <v>Oct</v>
      </c>
      <c r="N203" s="1" t="str">
        <f>TEXT(Table1[[#This Row],[Purchase_Date]],"DD")</f>
        <v>14</v>
      </c>
      <c r="O203" s="2" t="s">
        <v>30</v>
      </c>
      <c r="P203" s="3">
        <v>1</v>
      </c>
      <c r="Q203" s="2" t="s">
        <v>23</v>
      </c>
      <c r="R203" s="2" t="s">
        <v>47</v>
      </c>
      <c r="S203">
        <f>Table1[[#This Row],[Purchase_Amount]]*Table1[[#This Row],[Quantity]]</f>
        <v>4988.5</v>
      </c>
      <c r="T203" t="str">
        <f>IF(Table1[[#This Row],[Age]]&lt;25,"&lt;25",IF(Table1[[#This Row],[Age]]&lt;=35,"25-35",IF(Table1[[#This Row],[Age]]&lt;=50,"36-50","50+")))</f>
        <v>36-50</v>
      </c>
    </row>
    <row r="204" spans="1:20" x14ac:dyDescent="0.3">
      <c r="A204" s="2" t="s">
        <v>404</v>
      </c>
      <c r="B204" s="2" t="s">
        <v>54</v>
      </c>
      <c r="C204" s="3">
        <v>48</v>
      </c>
      <c r="D204" s="2" t="s">
        <v>60</v>
      </c>
      <c r="E204" s="2" t="s">
        <v>18</v>
      </c>
      <c r="F204" s="2" t="s">
        <v>27</v>
      </c>
      <c r="G204" t="s">
        <v>39</v>
      </c>
      <c r="H204" t="s">
        <v>76</v>
      </c>
      <c r="I204" s="4">
        <v>392.94</v>
      </c>
      <c r="J204" s="3">
        <v>2</v>
      </c>
      <c r="K204" s="1">
        <v>45312</v>
      </c>
      <c r="L204" s="1" t="str">
        <f>TEXT(Table1[[#This Row],[Purchase_Date]],"YYYY")</f>
        <v>2024</v>
      </c>
      <c r="M204" s="1" t="str">
        <f>TEXT(Table1[[#This Row],[Purchase_Date]],"MMM")</f>
        <v>Jan</v>
      </c>
      <c r="N204" s="1" t="str">
        <f>TEXT(Table1[[#This Row],[Purchase_Date]],"DD")</f>
        <v>21</v>
      </c>
      <c r="O204" s="2" t="s">
        <v>41</v>
      </c>
      <c r="P204" s="3">
        <v>5</v>
      </c>
      <c r="Q204" s="2" t="s">
        <v>46</v>
      </c>
      <c r="R204" s="2" t="s">
        <v>47</v>
      </c>
      <c r="S204">
        <f>Table1[[#This Row],[Purchase_Amount]]*Table1[[#This Row],[Quantity]]</f>
        <v>785.88</v>
      </c>
      <c r="T204" t="str">
        <f>IF(Table1[[#This Row],[Age]]&lt;25,"&lt;25",IF(Table1[[#This Row],[Age]]&lt;=35,"25-35",IF(Table1[[#This Row],[Age]]&lt;=50,"36-50","50+")))</f>
        <v>36-50</v>
      </c>
    </row>
    <row r="205" spans="1:20" x14ac:dyDescent="0.3">
      <c r="A205" s="2" t="s">
        <v>1047</v>
      </c>
      <c r="B205" s="2" t="s">
        <v>54</v>
      </c>
      <c r="C205" s="3">
        <v>48</v>
      </c>
      <c r="D205" s="2" t="s">
        <v>43</v>
      </c>
      <c r="E205" s="2" t="s">
        <v>33</v>
      </c>
      <c r="F205" s="2" t="s">
        <v>27</v>
      </c>
      <c r="G205" t="s">
        <v>39</v>
      </c>
      <c r="H205" t="s">
        <v>196</v>
      </c>
      <c r="I205" s="4">
        <v>415.09</v>
      </c>
      <c r="J205" s="3">
        <v>3</v>
      </c>
      <c r="K205" s="1">
        <v>45001</v>
      </c>
      <c r="L205" s="1" t="str">
        <f>TEXT(Table1[[#This Row],[Purchase_Date]],"YYYY")</f>
        <v>2023</v>
      </c>
      <c r="M205" s="1" t="str">
        <f>TEXT(Table1[[#This Row],[Purchase_Date]],"MMM")</f>
        <v>Mar</v>
      </c>
      <c r="N205" s="1" t="str">
        <f>TEXT(Table1[[#This Row],[Purchase_Date]],"DD")</f>
        <v>16</v>
      </c>
      <c r="O205" s="2" t="s">
        <v>41</v>
      </c>
      <c r="P205" s="3">
        <v>9</v>
      </c>
      <c r="Q205" s="2" t="s">
        <v>46</v>
      </c>
      <c r="R205" s="2" t="s">
        <v>24</v>
      </c>
      <c r="S205">
        <f>Table1[[#This Row],[Purchase_Amount]]*Table1[[#This Row],[Quantity]]</f>
        <v>1245.27</v>
      </c>
      <c r="T205" t="str">
        <f>IF(Table1[[#This Row],[Age]]&lt;25,"&lt;25",IF(Table1[[#This Row],[Age]]&lt;=35,"25-35",IF(Table1[[#This Row],[Age]]&lt;=50,"36-50","50+")))</f>
        <v>36-50</v>
      </c>
    </row>
    <row r="206" spans="1:20" x14ac:dyDescent="0.3">
      <c r="A206" s="2" t="s">
        <v>1139</v>
      </c>
      <c r="B206" s="2" t="s">
        <v>54</v>
      </c>
      <c r="C206" s="3">
        <v>49</v>
      </c>
      <c r="D206" s="2" t="s">
        <v>78</v>
      </c>
      <c r="E206" s="2" t="s">
        <v>18</v>
      </c>
      <c r="F206" s="2" t="s">
        <v>44</v>
      </c>
      <c r="G206" t="s">
        <v>39</v>
      </c>
      <c r="H206" t="s">
        <v>465</v>
      </c>
      <c r="I206" s="4">
        <v>34.4</v>
      </c>
      <c r="J206" s="3">
        <v>5</v>
      </c>
      <c r="K206" s="1">
        <v>45580</v>
      </c>
      <c r="L206" s="1" t="str">
        <f>TEXT(Table1[[#This Row],[Purchase_Date]],"YYYY")</f>
        <v>2024</v>
      </c>
      <c r="M206" s="1" t="str">
        <f>TEXT(Table1[[#This Row],[Purchase_Date]],"MMM")</f>
        <v>Oct</v>
      </c>
      <c r="N206" s="1" t="str">
        <f>TEXT(Table1[[#This Row],[Purchase_Date]],"DD")</f>
        <v>15</v>
      </c>
      <c r="O206" s="2" t="s">
        <v>30</v>
      </c>
      <c r="P206" s="3">
        <v>8</v>
      </c>
      <c r="Q206" s="2" t="s">
        <v>23</v>
      </c>
      <c r="R206" s="2" t="s">
        <v>47</v>
      </c>
      <c r="S206">
        <f>Table1[[#This Row],[Purchase_Amount]]*Table1[[#This Row],[Quantity]]</f>
        <v>172</v>
      </c>
      <c r="T206" t="str">
        <f>IF(Table1[[#This Row],[Age]]&lt;25,"&lt;25",IF(Table1[[#This Row],[Age]]&lt;=35,"25-35",IF(Table1[[#This Row],[Age]]&lt;=50,"36-50","50+")))</f>
        <v>36-50</v>
      </c>
    </row>
    <row r="207" spans="1:20" x14ac:dyDescent="0.3">
      <c r="A207" s="2" t="s">
        <v>635</v>
      </c>
      <c r="B207" s="2" t="s">
        <v>54</v>
      </c>
      <c r="C207" s="3">
        <v>49</v>
      </c>
      <c r="D207" s="2" t="s">
        <v>17</v>
      </c>
      <c r="E207" s="2" t="s">
        <v>49</v>
      </c>
      <c r="F207" s="2" t="s">
        <v>44</v>
      </c>
      <c r="G207" t="s">
        <v>39</v>
      </c>
      <c r="H207" t="s">
        <v>599</v>
      </c>
      <c r="I207" s="4">
        <v>581.04</v>
      </c>
      <c r="J207" s="3">
        <v>3</v>
      </c>
      <c r="K207" s="1">
        <v>44956</v>
      </c>
      <c r="L207" s="1" t="str">
        <f>TEXT(Table1[[#This Row],[Purchase_Date]],"YYYY")</f>
        <v>2023</v>
      </c>
      <c r="M207" s="1" t="str">
        <f>TEXT(Table1[[#This Row],[Purchase_Date]],"MMM")</f>
        <v>Jan</v>
      </c>
      <c r="N207" s="1" t="str">
        <f>TEXT(Table1[[#This Row],[Purchase_Date]],"DD")</f>
        <v>30</v>
      </c>
      <c r="O207" s="2" t="s">
        <v>41</v>
      </c>
      <c r="P207" s="3">
        <v>1</v>
      </c>
      <c r="Q207" s="2" t="s">
        <v>46</v>
      </c>
      <c r="R207" s="2" t="s">
        <v>24</v>
      </c>
      <c r="S207">
        <f>Table1[[#This Row],[Purchase_Amount]]*Table1[[#This Row],[Quantity]]</f>
        <v>1743.12</v>
      </c>
      <c r="T207" t="str">
        <f>IF(Table1[[#This Row],[Age]]&lt;25,"&lt;25",IF(Table1[[#This Row],[Age]]&lt;=35,"25-35",IF(Table1[[#This Row],[Age]]&lt;=50,"36-50","50+")))</f>
        <v>36-50</v>
      </c>
    </row>
    <row r="208" spans="1:20" x14ac:dyDescent="0.3">
      <c r="A208" s="2" t="s">
        <v>1222</v>
      </c>
      <c r="B208" s="2" t="s">
        <v>54</v>
      </c>
      <c r="C208" s="3">
        <v>49</v>
      </c>
      <c r="D208" s="2" t="s">
        <v>32</v>
      </c>
      <c r="E208" s="2" t="s">
        <v>33</v>
      </c>
      <c r="F208" s="2" t="s">
        <v>27</v>
      </c>
      <c r="G208" t="s">
        <v>39</v>
      </c>
      <c r="H208" t="s">
        <v>513</v>
      </c>
      <c r="I208" s="4">
        <v>629.39</v>
      </c>
      <c r="J208" s="3">
        <v>4</v>
      </c>
      <c r="K208" s="1">
        <v>45440</v>
      </c>
      <c r="L208" s="1" t="str">
        <f>TEXT(Table1[[#This Row],[Purchase_Date]],"YYYY")</f>
        <v>2024</v>
      </c>
      <c r="M208" s="1" t="str">
        <f>TEXT(Table1[[#This Row],[Purchase_Date]],"MMM")</f>
        <v>May</v>
      </c>
      <c r="N208" s="1" t="str">
        <f>TEXT(Table1[[#This Row],[Purchase_Date]],"DD")</f>
        <v>28</v>
      </c>
      <c r="O208" s="2" t="s">
        <v>22</v>
      </c>
      <c r="P208" s="3">
        <v>9</v>
      </c>
      <c r="Q208" s="2" t="s">
        <v>46</v>
      </c>
      <c r="R208" s="2" t="s">
        <v>24</v>
      </c>
      <c r="S208">
        <f>Table1[[#This Row],[Purchase_Amount]]*Table1[[#This Row],[Quantity]]</f>
        <v>2517.56</v>
      </c>
      <c r="T208" t="str">
        <f>IF(Table1[[#This Row],[Age]]&lt;25,"&lt;25",IF(Table1[[#This Row],[Age]]&lt;=35,"25-35",IF(Table1[[#This Row],[Age]]&lt;=50,"36-50","50+")))</f>
        <v>36-50</v>
      </c>
    </row>
    <row r="209" spans="1:20" x14ac:dyDescent="0.3">
      <c r="A209" s="2" t="s">
        <v>622</v>
      </c>
      <c r="B209" s="2" t="s">
        <v>54</v>
      </c>
      <c r="C209" s="3">
        <v>51</v>
      </c>
      <c r="D209" s="2" t="s">
        <v>43</v>
      </c>
      <c r="E209" s="2" t="s">
        <v>49</v>
      </c>
      <c r="F209" s="2" t="s">
        <v>27</v>
      </c>
      <c r="G209" t="s">
        <v>39</v>
      </c>
      <c r="H209" t="s">
        <v>351</v>
      </c>
      <c r="I209" s="4">
        <v>618.04</v>
      </c>
      <c r="J209" s="3">
        <v>1</v>
      </c>
      <c r="K209" s="1">
        <v>45573</v>
      </c>
      <c r="L209" s="1" t="str">
        <f>TEXT(Table1[[#This Row],[Purchase_Date]],"YYYY")</f>
        <v>2024</v>
      </c>
      <c r="M209" s="1" t="str">
        <f>TEXT(Table1[[#This Row],[Purchase_Date]],"MMM")</f>
        <v>Oct</v>
      </c>
      <c r="N209" s="1" t="str">
        <f>TEXT(Table1[[#This Row],[Purchase_Date]],"DD")</f>
        <v>08</v>
      </c>
      <c r="O209" s="2" t="s">
        <v>22</v>
      </c>
      <c r="P209" s="3">
        <v>10</v>
      </c>
      <c r="Q209" s="2" t="s">
        <v>23</v>
      </c>
      <c r="R209" s="2" t="s">
        <v>24</v>
      </c>
      <c r="S209">
        <f>Table1[[#This Row],[Purchase_Amount]]*Table1[[#This Row],[Quantity]]</f>
        <v>618.04</v>
      </c>
      <c r="T209" t="str">
        <f>IF(Table1[[#This Row],[Age]]&lt;25,"&lt;25",IF(Table1[[#This Row],[Age]]&lt;=35,"25-35",IF(Table1[[#This Row],[Age]]&lt;=50,"36-50","50+")))</f>
        <v>50+</v>
      </c>
    </row>
    <row r="210" spans="1:20" x14ac:dyDescent="0.3">
      <c r="A210" s="2" t="s">
        <v>726</v>
      </c>
      <c r="B210" s="2" t="s">
        <v>54</v>
      </c>
      <c r="C210" s="3">
        <v>52</v>
      </c>
      <c r="D210" s="2" t="s">
        <v>32</v>
      </c>
      <c r="E210" s="2" t="s">
        <v>18</v>
      </c>
      <c r="F210" s="2" t="s">
        <v>27</v>
      </c>
      <c r="G210" t="s">
        <v>39</v>
      </c>
      <c r="H210" t="s">
        <v>81</v>
      </c>
      <c r="I210" s="4">
        <v>30.8</v>
      </c>
      <c r="J210" s="3">
        <v>3</v>
      </c>
      <c r="K210" s="1">
        <v>45361</v>
      </c>
      <c r="L210" s="1" t="str">
        <f>TEXT(Table1[[#This Row],[Purchase_Date]],"YYYY")</f>
        <v>2024</v>
      </c>
      <c r="M210" s="1" t="str">
        <f>TEXT(Table1[[#This Row],[Purchase_Date]],"MMM")</f>
        <v>Mar</v>
      </c>
      <c r="N210" s="1" t="str">
        <f>TEXT(Table1[[#This Row],[Purchase_Date]],"DD")</f>
        <v>10</v>
      </c>
      <c r="O210" s="2" t="s">
        <v>30</v>
      </c>
      <c r="P210" s="3">
        <v>3</v>
      </c>
      <c r="Q210" s="2" t="s">
        <v>23</v>
      </c>
      <c r="R210" s="2" t="s">
        <v>47</v>
      </c>
      <c r="S210">
        <f>Table1[[#This Row],[Purchase_Amount]]*Table1[[#This Row],[Quantity]]</f>
        <v>92.4</v>
      </c>
      <c r="T210" t="str">
        <f>IF(Table1[[#This Row],[Age]]&lt;25,"&lt;25",IF(Table1[[#This Row],[Age]]&lt;=35,"25-35",IF(Table1[[#This Row],[Age]]&lt;=50,"36-50","50+")))</f>
        <v>50+</v>
      </c>
    </row>
    <row r="211" spans="1:20" x14ac:dyDescent="0.3">
      <c r="A211" s="2" t="s">
        <v>1030</v>
      </c>
      <c r="B211" s="2" t="s">
        <v>54</v>
      </c>
      <c r="C211" s="3">
        <v>53</v>
      </c>
      <c r="D211" s="2" t="s">
        <v>43</v>
      </c>
      <c r="E211" s="2" t="s">
        <v>33</v>
      </c>
      <c r="F211" s="2" t="s">
        <v>19</v>
      </c>
      <c r="G211" t="s">
        <v>39</v>
      </c>
      <c r="H211" t="s">
        <v>369</v>
      </c>
      <c r="I211" s="4">
        <v>955.12</v>
      </c>
      <c r="J211" s="3">
        <v>1</v>
      </c>
      <c r="K211" s="1">
        <v>45466</v>
      </c>
      <c r="L211" s="1" t="str">
        <f>TEXT(Table1[[#This Row],[Purchase_Date]],"YYYY")</f>
        <v>2024</v>
      </c>
      <c r="M211" s="1" t="str">
        <f>TEXT(Table1[[#This Row],[Purchase_Date]],"MMM")</f>
        <v>Jun</v>
      </c>
      <c r="N211" s="1" t="str">
        <f>TEXT(Table1[[#This Row],[Purchase_Date]],"DD")</f>
        <v>23</v>
      </c>
      <c r="O211" s="2" t="s">
        <v>22</v>
      </c>
      <c r="P211" s="3">
        <v>3</v>
      </c>
      <c r="Q211" s="2" t="s">
        <v>46</v>
      </c>
      <c r="R211" s="2" t="s">
        <v>24</v>
      </c>
      <c r="S211">
        <f>Table1[[#This Row],[Purchase_Amount]]*Table1[[#This Row],[Quantity]]</f>
        <v>955.12</v>
      </c>
      <c r="T211" t="str">
        <f>IF(Table1[[#This Row],[Age]]&lt;25,"&lt;25",IF(Table1[[#This Row],[Age]]&lt;=35,"25-35",IF(Table1[[#This Row],[Age]]&lt;=50,"36-50","50+")))</f>
        <v>50+</v>
      </c>
    </row>
    <row r="212" spans="1:20" x14ac:dyDescent="0.3">
      <c r="A212" s="2" t="s">
        <v>957</v>
      </c>
      <c r="B212" s="2" t="s">
        <v>54</v>
      </c>
      <c r="C212" s="3">
        <v>55</v>
      </c>
      <c r="D212" s="2" t="s">
        <v>43</v>
      </c>
      <c r="E212" s="2" t="s">
        <v>33</v>
      </c>
      <c r="F212" s="2" t="s">
        <v>19</v>
      </c>
      <c r="G212" t="s">
        <v>39</v>
      </c>
      <c r="H212" t="s">
        <v>296</v>
      </c>
      <c r="I212" s="4">
        <v>575.49</v>
      </c>
      <c r="J212" s="3">
        <v>2</v>
      </c>
      <c r="K212" s="1">
        <v>45369</v>
      </c>
      <c r="L212" s="1" t="str">
        <f>TEXT(Table1[[#This Row],[Purchase_Date]],"YYYY")</f>
        <v>2024</v>
      </c>
      <c r="M212" s="1" t="str">
        <f>TEXT(Table1[[#This Row],[Purchase_Date]],"MMM")</f>
        <v>Mar</v>
      </c>
      <c r="N212" s="1" t="str">
        <f>TEXT(Table1[[#This Row],[Purchase_Date]],"DD")</f>
        <v>18</v>
      </c>
      <c r="O212" s="2" t="s">
        <v>22</v>
      </c>
      <c r="P212" s="3">
        <v>9</v>
      </c>
      <c r="Q212" s="2" t="s">
        <v>46</v>
      </c>
      <c r="R212" s="2" t="s">
        <v>24</v>
      </c>
      <c r="S212">
        <f>Table1[[#This Row],[Purchase_Amount]]*Table1[[#This Row],[Quantity]]</f>
        <v>1150.98</v>
      </c>
      <c r="T212" t="str">
        <f>IF(Table1[[#This Row],[Age]]&lt;25,"&lt;25",IF(Table1[[#This Row],[Age]]&lt;=35,"25-35",IF(Table1[[#This Row],[Age]]&lt;=50,"36-50","50+")))</f>
        <v>50+</v>
      </c>
    </row>
    <row r="213" spans="1:20" x14ac:dyDescent="0.3">
      <c r="A213" s="2" t="s">
        <v>708</v>
      </c>
      <c r="B213" s="2" t="s">
        <v>54</v>
      </c>
      <c r="C213" s="3">
        <v>57</v>
      </c>
      <c r="D213" s="2" t="s">
        <v>60</v>
      </c>
      <c r="E213" s="2" t="s">
        <v>49</v>
      </c>
      <c r="F213" s="2" t="s">
        <v>27</v>
      </c>
      <c r="G213" t="s">
        <v>39</v>
      </c>
      <c r="H213" t="s">
        <v>563</v>
      </c>
      <c r="I213" s="4">
        <v>307.95999999999998</v>
      </c>
      <c r="J213" s="3">
        <v>1</v>
      </c>
      <c r="K213" s="1">
        <v>45395</v>
      </c>
      <c r="L213" s="1" t="str">
        <f>TEXT(Table1[[#This Row],[Purchase_Date]],"YYYY")</f>
        <v>2024</v>
      </c>
      <c r="M213" s="1" t="str">
        <f>TEXT(Table1[[#This Row],[Purchase_Date]],"MMM")</f>
        <v>Apr</v>
      </c>
      <c r="N213" s="1" t="str">
        <f>TEXT(Table1[[#This Row],[Purchase_Date]],"DD")</f>
        <v>13</v>
      </c>
      <c r="O213" s="2" t="s">
        <v>41</v>
      </c>
      <c r="P213" s="3">
        <v>1</v>
      </c>
      <c r="Q213" s="2" t="s">
        <v>46</v>
      </c>
      <c r="R213" s="2" t="s">
        <v>24</v>
      </c>
      <c r="S213">
        <f>Table1[[#This Row],[Purchase_Amount]]*Table1[[#This Row],[Quantity]]</f>
        <v>307.95999999999998</v>
      </c>
      <c r="T213" t="str">
        <f>IF(Table1[[#This Row],[Age]]&lt;25,"&lt;25",IF(Table1[[#This Row],[Age]]&lt;=35,"25-35",IF(Table1[[#This Row],[Age]]&lt;=50,"36-50","50+")))</f>
        <v>50+</v>
      </c>
    </row>
    <row r="214" spans="1:20" x14ac:dyDescent="0.3">
      <c r="A214" s="2" t="s">
        <v>384</v>
      </c>
      <c r="B214" s="2" t="s">
        <v>54</v>
      </c>
      <c r="C214" s="3">
        <v>57</v>
      </c>
      <c r="D214" s="2" t="s">
        <v>60</v>
      </c>
      <c r="E214" s="2" t="s">
        <v>49</v>
      </c>
      <c r="F214" s="2" t="s">
        <v>44</v>
      </c>
      <c r="G214" t="s">
        <v>39</v>
      </c>
      <c r="H214" t="s">
        <v>314</v>
      </c>
      <c r="I214" s="4">
        <v>604.94000000000005</v>
      </c>
      <c r="J214" s="3">
        <v>2</v>
      </c>
      <c r="K214" s="1">
        <v>45470</v>
      </c>
      <c r="L214" s="1" t="str">
        <f>TEXT(Table1[[#This Row],[Purchase_Date]],"YYYY")</f>
        <v>2024</v>
      </c>
      <c r="M214" s="1" t="str">
        <f>TEXT(Table1[[#This Row],[Purchase_Date]],"MMM")</f>
        <v>Jun</v>
      </c>
      <c r="N214" s="1" t="str">
        <f>TEXT(Table1[[#This Row],[Purchase_Date]],"DD")</f>
        <v>27</v>
      </c>
      <c r="O214" s="2" t="s">
        <v>22</v>
      </c>
      <c r="P214" s="3">
        <v>7</v>
      </c>
      <c r="Q214" s="2" t="s">
        <v>46</v>
      </c>
      <c r="R214" s="2" t="s">
        <v>24</v>
      </c>
      <c r="S214">
        <f>Table1[[#This Row],[Purchase_Amount]]*Table1[[#This Row],[Quantity]]</f>
        <v>1209.8800000000001</v>
      </c>
      <c r="T214" t="str">
        <f>IF(Table1[[#This Row],[Age]]&lt;25,"&lt;25",IF(Table1[[#This Row],[Age]]&lt;=35,"25-35",IF(Table1[[#This Row],[Age]]&lt;=50,"36-50","50+")))</f>
        <v>50+</v>
      </c>
    </row>
    <row r="215" spans="1:20" x14ac:dyDescent="0.3">
      <c r="A215" s="2" t="s">
        <v>1172</v>
      </c>
      <c r="B215" s="2" t="s">
        <v>54</v>
      </c>
      <c r="C215" s="3">
        <v>61</v>
      </c>
      <c r="D215" s="2" t="s">
        <v>60</v>
      </c>
      <c r="E215" s="2" t="s">
        <v>33</v>
      </c>
      <c r="F215" s="2" t="s">
        <v>27</v>
      </c>
      <c r="G215" t="s">
        <v>39</v>
      </c>
      <c r="H215" t="s">
        <v>465</v>
      </c>
      <c r="I215" s="4">
        <v>665.61</v>
      </c>
      <c r="J215" s="3">
        <v>1</v>
      </c>
      <c r="K215" s="1">
        <v>45291</v>
      </c>
      <c r="L215" s="1" t="str">
        <f>TEXT(Table1[[#This Row],[Purchase_Date]],"YYYY")</f>
        <v>2023</v>
      </c>
      <c r="M215" s="1" t="str">
        <f>TEXT(Table1[[#This Row],[Purchase_Date]],"MMM")</f>
        <v>Dec</v>
      </c>
      <c r="N215" s="1" t="str">
        <f>TEXT(Table1[[#This Row],[Purchase_Date]],"DD")</f>
        <v>31</v>
      </c>
      <c r="O215" s="2" t="s">
        <v>22</v>
      </c>
      <c r="P215" s="3">
        <v>4</v>
      </c>
      <c r="Q215" s="2" t="s">
        <v>23</v>
      </c>
      <c r="R215" s="2" t="s">
        <v>47</v>
      </c>
      <c r="S215">
        <f>Table1[[#This Row],[Purchase_Amount]]*Table1[[#This Row],[Quantity]]</f>
        <v>665.61</v>
      </c>
      <c r="T215" t="str">
        <f>IF(Table1[[#This Row],[Age]]&lt;25,"&lt;25",IF(Table1[[#This Row],[Age]]&lt;=35,"25-35",IF(Table1[[#This Row],[Age]]&lt;=50,"36-50","50+")))</f>
        <v>50+</v>
      </c>
    </row>
    <row r="216" spans="1:20" x14ac:dyDescent="0.3">
      <c r="A216" s="2" t="s">
        <v>1224</v>
      </c>
      <c r="B216" s="2" t="s">
        <v>54</v>
      </c>
      <c r="C216" s="3">
        <v>62</v>
      </c>
      <c r="D216" s="2" t="s">
        <v>32</v>
      </c>
      <c r="E216" s="2" t="s">
        <v>18</v>
      </c>
      <c r="F216" s="2" t="s">
        <v>19</v>
      </c>
      <c r="G216" t="s">
        <v>39</v>
      </c>
      <c r="H216" t="s">
        <v>605</v>
      </c>
      <c r="I216" s="4">
        <v>744.27</v>
      </c>
      <c r="J216" s="3">
        <v>2</v>
      </c>
      <c r="K216" s="1">
        <v>45216</v>
      </c>
      <c r="L216" s="1" t="str">
        <f>TEXT(Table1[[#This Row],[Purchase_Date]],"YYYY")</f>
        <v>2023</v>
      </c>
      <c r="M216" s="1" t="str">
        <f>TEXT(Table1[[#This Row],[Purchase_Date]],"MMM")</f>
        <v>Oct</v>
      </c>
      <c r="N216" s="1" t="str">
        <f>TEXT(Table1[[#This Row],[Purchase_Date]],"DD")</f>
        <v>17</v>
      </c>
      <c r="O216" s="2" t="s">
        <v>30</v>
      </c>
      <c r="P216" s="3">
        <v>2</v>
      </c>
      <c r="Q216" s="2" t="s">
        <v>23</v>
      </c>
      <c r="R216" s="2" t="s">
        <v>47</v>
      </c>
      <c r="S216">
        <f>Table1[[#This Row],[Purchase_Amount]]*Table1[[#This Row],[Quantity]]</f>
        <v>1488.54</v>
      </c>
      <c r="T216" t="str">
        <f>IF(Table1[[#This Row],[Age]]&lt;25,"&lt;25",IF(Table1[[#This Row],[Age]]&lt;=35,"25-35",IF(Table1[[#This Row],[Age]]&lt;=50,"36-50","50+")))</f>
        <v>50+</v>
      </c>
    </row>
    <row r="217" spans="1:20" x14ac:dyDescent="0.3">
      <c r="A217" s="2" t="s">
        <v>771</v>
      </c>
      <c r="B217" s="2" t="s">
        <v>54</v>
      </c>
      <c r="C217" s="3">
        <v>64</v>
      </c>
      <c r="D217" s="2" t="s">
        <v>64</v>
      </c>
      <c r="E217" s="2" t="s">
        <v>18</v>
      </c>
      <c r="F217" s="2" t="s">
        <v>27</v>
      </c>
      <c r="G217" t="s">
        <v>39</v>
      </c>
      <c r="H217" t="s">
        <v>599</v>
      </c>
      <c r="I217" s="4">
        <v>226.58</v>
      </c>
      <c r="J217" s="3">
        <v>3</v>
      </c>
      <c r="K217" s="1">
        <v>45207</v>
      </c>
      <c r="L217" s="1" t="str">
        <f>TEXT(Table1[[#This Row],[Purchase_Date]],"YYYY")</f>
        <v>2023</v>
      </c>
      <c r="M217" s="1" t="str">
        <f>TEXT(Table1[[#This Row],[Purchase_Date]],"MMM")</f>
        <v>Oct</v>
      </c>
      <c r="N217" s="1" t="str">
        <f>TEXT(Table1[[#This Row],[Purchase_Date]],"DD")</f>
        <v>08</v>
      </c>
      <c r="O217" s="2" t="s">
        <v>22</v>
      </c>
      <c r="P217" s="3">
        <v>10</v>
      </c>
      <c r="Q217" s="2" t="s">
        <v>23</v>
      </c>
      <c r="R217" s="2" t="s">
        <v>24</v>
      </c>
      <c r="S217">
        <f>Table1[[#This Row],[Purchase_Amount]]*Table1[[#This Row],[Quantity]]</f>
        <v>679.74</v>
      </c>
      <c r="T217" t="str">
        <f>IF(Table1[[#This Row],[Age]]&lt;25,"&lt;25",IF(Table1[[#This Row],[Age]]&lt;=35,"25-35",IF(Table1[[#This Row],[Age]]&lt;=50,"36-50","50+")))</f>
        <v>50+</v>
      </c>
    </row>
    <row r="218" spans="1:20" x14ac:dyDescent="0.3">
      <c r="A218" s="2" t="s">
        <v>935</v>
      </c>
      <c r="B218" s="2" t="s">
        <v>54</v>
      </c>
      <c r="C218" s="3">
        <v>66</v>
      </c>
      <c r="D218" s="2" t="s">
        <v>17</v>
      </c>
      <c r="E218" s="2" t="s">
        <v>49</v>
      </c>
      <c r="F218" s="2" t="s">
        <v>19</v>
      </c>
      <c r="G218" t="s">
        <v>39</v>
      </c>
      <c r="H218" t="s">
        <v>246</v>
      </c>
      <c r="I218" s="4">
        <v>377.26</v>
      </c>
      <c r="J218" s="3">
        <v>4</v>
      </c>
      <c r="K218" s="1">
        <v>45104</v>
      </c>
      <c r="L218" s="1" t="str">
        <f>TEXT(Table1[[#This Row],[Purchase_Date]],"YYYY")</f>
        <v>2023</v>
      </c>
      <c r="M218" s="1" t="str">
        <f>TEXT(Table1[[#This Row],[Purchase_Date]],"MMM")</f>
        <v>Jun</v>
      </c>
      <c r="N218" s="1" t="str">
        <f>TEXT(Table1[[#This Row],[Purchase_Date]],"DD")</f>
        <v>27</v>
      </c>
      <c r="O218" s="2" t="s">
        <v>36</v>
      </c>
      <c r="P218" s="3">
        <v>2</v>
      </c>
      <c r="Q218" s="2" t="s">
        <v>23</v>
      </c>
      <c r="R218" s="2" t="s">
        <v>47</v>
      </c>
      <c r="S218">
        <f>Table1[[#This Row],[Purchase_Amount]]*Table1[[#This Row],[Quantity]]</f>
        <v>1509.04</v>
      </c>
      <c r="T218" t="str">
        <f>IF(Table1[[#This Row],[Age]]&lt;25,"&lt;25",IF(Table1[[#This Row],[Age]]&lt;=35,"25-35",IF(Table1[[#This Row],[Age]]&lt;=50,"36-50","50+")))</f>
        <v>50+</v>
      </c>
    </row>
    <row r="219" spans="1:20" x14ac:dyDescent="0.3">
      <c r="A219" s="2" t="s">
        <v>711</v>
      </c>
      <c r="B219" s="2" t="s">
        <v>54</v>
      </c>
      <c r="C219" s="3">
        <v>66</v>
      </c>
      <c r="D219" s="2" t="s">
        <v>60</v>
      </c>
      <c r="E219" s="2" t="s">
        <v>18</v>
      </c>
      <c r="F219" s="2" t="s">
        <v>27</v>
      </c>
      <c r="G219" t="s">
        <v>39</v>
      </c>
      <c r="H219" t="s">
        <v>383</v>
      </c>
      <c r="I219" s="4">
        <v>479.42</v>
      </c>
      <c r="J219" s="3">
        <v>2</v>
      </c>
      <c r="K219" s="1">
        <v>44967</v>
      </c>
      <c r="L219" s="1" t="str">
        <f>TEXT(Table1[[#This Row],[Purchase_Date]],"YYYY")</f>
        <v>2023</v>
      </c>
      <c r="M219" s="1" t="str">
        <f>TEXT(Table1[[#This Row],[Purchase_Date]],"MMM")</f>
        <v>Feb</v>
      </c>
      <c r="N219" s="1" t="str">
        <f>TEXT(Table1[[#This Row],[Purchase_Date]],"DD")</f>
        <v>10</v>
      </c>
      <c r="O219" s="2" t="s">
        <v>36</v>
      </c>
      <c r="P219" s="3">
        <v>2</v>
      </c>
      <c r="Q219" s="2" t="s">
        <v>23</v>
      </c>
      <c r="R219" s="2" t="s">
        <v>47</v>
      </c>
      <c r="S219">
        <f>Table1[[#This Row],[Purchase_Amount]]*Table1[[#This Row],[Quantity]]</f>
        <v>958.84</v>
      </c>
      <c r="T219" t="str">
        <f>IF(Table1[[#This Row],[Age]]&lt;25,"&lt;25",IF(Table1[[#This Row],[Age]]&lt;=35,"25-35",IF(Table1[[#This Row],[Age]]&lt;=50,"36-50","50+")))</f>
        <v>50+</v>
      </c>
    </row>
    <row r="220" spans="1:20" x14ac:dyDescent="0.3">
      <c r="A220" s="2" t="s">
        <v>77</v>
      </c>
      <c r="B220" s="2" t="s">
        <v>54</v>
      </c>
      <c r="C220" s="3">
        <v>66</v>
      </c>
      <c r="D220" s="2" t="s">
        <v>78</v>
      </c>
      <c r="E220" s="2" t="s">
        <v>49</v>
      </c>
      <c r="F220" s="2" t="s">
        <v>27</v>
      </c>
      <c r="G220" t="s">
        <v>39</v>
      </c>
      <c r="H220" t="s">
        <v>79</v>
      </c>
      <c r="I220" s="4">
        <v>548.80999999999995</v>
      </c>
      <c r="J220" s="3">
        <v>2</v>
      </c>
      <c r="K220" s="1">
        <v>45098</v>
      </c>
      <c r="L220" s="1" t="str">
        <f>TEXT(Table1[[#This Row],[Purchase_Date]],"YYYY")</f>
        <v>2023</v>
      </c>
      <c r="M220" s="1" t="str">
        <f>TEXT(Table1[[#This Row],[Purchase_Date]],"MMM")</f>
        <v>Jun</v>
      </c>
      <c r="N220" s="1" t="str">
        <f>TEXT(Table1[[#This Row],[Purchase_Date]],"DD")</f>
        <v>21</v>
      </c>
      <c r="O220" s="2" t="s">
        <v>41</v>
      </c>
      <c r="P220" s="3">
        <v>1</v>
      </c>
      <c r="Q220" s="2" t="s">
        <v>46</v>
      </c>
      <c r="R220" s="2" t="s">
        <v>24</v>
      </c>
      <c r="S220">
        <f>Table1[[#This Row],[Purchase_Amount]]*Table1[[#This Row],[Quantity]]</f>
        <v>1097.6199999999999</v>
      </c>
      <c r="T220" t="str">
        <f>IF(Table1[[#This Row],[Age]]&lt;25,"&lt;25",IF(Table1[[#This Row],[Age]]&lt;=35,"25-35",IF(Table1[[#This Row],[Age]]&lt;=50,"36-50","50+")))</f>
        <v>50+</v>
      </c>
    </row>
    <row r="221" spans="1:20" x14ac:dyDescent="0.3">
      <c r="A221" s="2" t="s">
        <v>638</v>
      </c>
      <c r="B221" s="2" t="s">
        <v>54</v>
      </c>
      <c r="C221" s="3">
        <v>68</v>
      </c>
      <c r="D221" s="2" t="s">
        <v>38</v>
      </c>
      <c r="E221" s="2" t="s">
        <v>33</v>
      </c>
      <c r="F221" s="2" t="s">
        <v>27</v>
      </c>
      <c r="G221" t="s">
        <v>39</v>
      </c>
      <c r="H221" t="s">
        <v>177</v>
      </c>
      <c r="I221" s="4">
        <v>62.22</v>
      </c>
      <c r="J221" s="3">
        <v>5</v>
      </c>
      <c r="K221" s="1">
        <v>45398</v>
      </c>
      <c r="L221" s="1" t="str">
        <f>TEXT(Table1[[#This Row],[Purchase_Date]],"YYYY")</f>
        <v>2024</v>
      </c>
      <c r="M221" s="1" t="str">
        <f>TEXT(Table1[[#This Row],[Purchase_Date]],"MMM")</f>
        <v>Apr</v>
      </c>
      <c r="N221" s="1" t="str">
        <f>TEXT(Table1[[#This Row],[Purchase_Date]],"DD")</f>
        <v>16</v>
      </c>
      <c r="O221" s="2" t="s">
        <v>41</v>
      </c>
      <c r="P221" s="3">
        <v>3</v>
      </c>
      <c r="Q221" s="2" t="s">
        <v>23</v>
      </c>
      <c r="R221" s="2" t="s">
        <v>24</v>
      </c>
      <c r="S221">
        <f>Table1[[#This Row],[Purchase_Amount]]*Table1[[#This Row],[Quantity]]</f>
        <v>311.10000000000002</v>
      </c>
      <c r="T221" t="str">
        <f>IF(Table1[[#This Row],[Age]]&lt;25,"&lt;25",IF(Table1[[#This Row],[Age]]&lt;=35,"25-35",IF(Table1[[#This Row],[Age]]&lt;=50,"36-50","50+")))</f>
        <v>50+</v>
      </c>
    </row>
    <row r="222" spans="1:20" x14ac:dyDescent="0.3">
      <c r="A222" s="2" t="s">
        <v>756</v>
      </c>
      <c r="B222" s="2" t="s">
        <v>54</v>
      </c>
      <c r="C222" s="3">
        <v>68</v>
      </c>
      <c r="D222" s="2" t="s">
        <v>78</v>
      </c>
      <c r="E222" s="2" t="s">
        <v>33</v>
      </c>
      <c r="F222" s="2" t="s">
        <v>27</v>
      </c>
      <c r="G222" t="s">
        <v>39</v>
      </c>
      <c r="H222" t="s">
        <v>95</v>
      </c>
      <c r="I222" s="4">
        <v>289.94</v>
      </c>
      <c r="J222" s="3">
        <v>3</v>
      </c>
      <c r="K222" s="1">
        <v>45559</v>
      </c>
      <c r="L222" s="1" t="str">
        <f>TEXT(Table1[[#This Row],[Purchase_Date]],"YYYY")</f>
        <v>2024</v>
      </c>
      <c r="M222" s="1" t="str">
        <f>TEXT(Table1[[#This Row],[Purchase_Date]],"MMM")</f>
        <v>Sep</v>
      </c>
      <c r="N222" s="1" t="str">
        <f>TEXT(Table1[[#This Row],[Purchase_Date]],"DD")</f>
        <v>24</v>
      </c>
      <c r="O222" s="2" t="s">
        <v>22</v>
      </c>
      <c r="P222" s="3">
        <v>6</v>
      </c>
      <c r="Q222" s="2" t="s">
        <v>46</v>
      </c>
      <c r="R222" s="2" t="s">
        <v>24</v>
      </c>
      <c r="S222">
        <f>Table1[[#This Row],[Purchase_Amount]]*Table1[[#This Row],[Quantity]]</f>
        <v>869.81999999999994</v>
      </c>
      <c r="T222" t="str">
        <f>IF(Table1[[#This Row],[Age]]&lt;25,"&lt;25",IF(Table1[[#This Row],[Age]]&lt;=35,"25-35",IF(Table1[[#This Row],[Age]]&lt;=50,"36-50","50+")))</f>
        <v>50+</v>
      </c>
    </row>
    <row r="223" spans="1:20" x14ac:dyDescent="0.3">
      <c r="A223" s="2" t="s">
        <v>159</v>
      </c>
      <c r="B223" s="2" t="s">
        <v>54</v>
      </c>
      <c r="C223" s="3">
        <v>18</v>
      </c>
      <c r="D223" s="2" t="s">
        <v>64</v>
      </c>
      <c r="E223" s="2" t="s">
        <v>33</v>
      </c>
      <c r="F223" s="2" t="s">
        <v>27</v>
      </c>
      <c r="G223" t="s">
        <v>69</v>
      </c>
      <c r="H223" t="s">
        <v>160</v>
      </c>
      <c r="I223" s="4">
        <v>436.23</v>
      </c>
      <c r="J223" s="3">
        <v>1</v>
      </c>
      <c r="K223" s="1">
        <v>45358</v>
      </c>
      <c r="L223" s="1" t="str">
        <f>TEXT(Table1[[#This Row],[Purchase_Date]],"YYYY")</f>
        <v>2024</v>
      </c>
      <c r="M223" s="1" t="str">
        <f>TEXT(Table1[[#This Row],[Purchase_Date]],"MMM")</f>
        <v>Mar</v>
      </c>
      <c r="N223" s="1" t="str">
        <f>TEXT(Table1[[#This Row],[Purchase_Date]],"DD")</f>
        <v>07</v>
      </c>
      <c r="O223" s="2" t="s">
        <v>22</v>
      </c>
      <c r="P223" s="3">
        <v>7</v>
      </c>
      <c r="Q223" s="2" t="s">
        <v>23</v>
      </c>
      <c r="R223" s="2" t="s">
        <v>24</v>
      </c>
      <c r="S223">
        <f>Table1[[#This Row],[Purchase_Amount]]*Table1[[#This Row],[Quantity]]</f>
        <v>436.23</v>
      </c>
      <c r="T223" t="str">
        <f>IF(Table1[[#This Row],[Age]]&lt;25,"&lt;25",IF(Table1[[#This Row],[Age]]&lt;=35,"25-35",IF(Table1[[#This Row],[Age]]&lt;=50,"36-50","50+")))</f>
        <v>&lt;25</v>
      </c>
    </row>
    <row r="224" spans="1:20" x14ac:dyDescent="0.3">
      <c r="A224" s="2" t="s">
        <v>954</v>
      </c>
      <c r="B224" s="2" t="s">
        <v>54</v>
      </c>
      <c r="C224" s="3">
        <v>20</v>
      </c>
      <c r="D224" s="2" t="s">
        <v>17</v>
      </c>
      <c r="E224" s="2" t="s">
        <v>49</v>
      </c>
      <c r="F224" s="2" t="s">
        <v>44</v>
      </c>
      <c r="G224" t="s">
        <v>69</v>
      </c>
      <c r="H224" t="s">
        <v>479</v>
      </c>
      <c r="I224" s="4">
        <v>515.98</v>
      </c>
      <c r="J224" s="3">
        <v>2</v>
      </c>
      <c r="K224" s="1">
        <v>45306</v>
      </c>
      <c r="L224" s="1" t="str">
        <f>TEXT(Table1[[#This Row],[Purchase_Date]],"YYYY")</f>
        <v>2024</v>
      </c>
      <c r="M224" s="1" t="str">
        <f>TEXT(Table1[[#This Row],[Purchase_Date]],"MMM")</f>
        <v>Jan</v>
      </c>
      <c r="N224" s="1" t="str">
        <f>TEXT(Table1[[#This Row],[Purchase_Date]],"DD")</f>
        <v>15</v>
      </c>
      <c r="O224" s="2" t="s">
        <v>22</v>
      </c>
      <c r="P224" s="3">
        <v>10</v>
      </c>
      <c r="Q224" s="2" t="s">
        <v>46</v>
      </c>
      <c r="R224" s="2" t="s">
        <v>24</v>
      </c>
      <c r="S224">
        <f>Table1[[#This Row],[Purchase_Amount]]*Table1[[#This Row],[Quantity]]</f>
        <v>1031.96</v>
      </c>
      <c r="T224" t="str">
        <f>IF(Table1[[#This Row],[Age]]&lt;25,"&lt;25",IF(Table1[[#This Row],[Age]]&lt;=35,"25-35",IF(Table1[[#This Row],[Age]]&lt;=50,"36-50","50+")))</f>
        <v>&lt;25</v>
      </c>
    </row>
    <row r="225" spans="1:20" x14ac:dyDescent="0.3">
      <c r="A225" s="2" t="s">
        <v>532</v>
      </c>
      <c r="B225" s="2" t="s">
        <v>54</v>
      </c>
      <c r="C225" s="3">
        <v>21</v>
      </c>
      <c r="D225" s="2" t="s">
        <v>64</v>
      </c>
      <c r="E225" s="2" t="s">
        <v>33</v>
      </c>
      <c r="F225" s="2" t="s">
        <v>19</v>
      </c>
      <c r="G225" t="s">
        <v>69</v>
      </c>
      <c r="H225" t="s">
        <v>141</v>
      </c>
      <c r="I225" s="4">
        <v>334.56</v>
      </c>
      <c r="J225" s="3">
        <v>2</v>
      </c>
      <c r="K225" s="1">
        <v>45381</v>
      </c>
      <c r="L225" s="1" t="str">
        <f>TEXT(Table1[[#This Row],[Purchase_Date]],"YYYY")</f>
        <v>2024</v>
      </c>
      <c r="M225" s="1" t="str">
        <f>TEXT(Table1[[#This Row],[Purchase_Date]],"MMM")</f>
        <v>Mar</v>
      </c>
      <c r="N225" s="1" t="str">
        <f>TEXT(Table1[[#This Row],[Purchase_Date]],"DD")</f>
        <v>30</v>
      </c>
      <c r="O225" s="2" t="s">
        <v>30</v>
      </c>
      <c r="P225" s="3">
        <v>8</v>
      </c>
      <c r="Q225" s="2" t="s">
        <v>46</v>
      </c>
      <c r="R225" s="2" t="s">
        <v>24</v>
      </c>
      <c r="S225">
        <f>Table1[[#This Row],[Purchase_Amount]]*Table1[[#This Row],[Quantity]]</f>
        <v>669.12</v>
      </c>
      <c r="T225" t="str">
        <f>IF(Table1[[#This Row],[Age]]&lt;25,"&lt;25",IF(Table1[[#This Row],[Age]]&lt;=35,"25-35",IF(Table1[[#This Row],[Age]]&lt;=50,"36-50","50+")))</f>
        <v>&lt;25</v>
      </c>
    </row>
    <row r="226" spans="1:20" x14ac:dyDescent="0.3">
      <c r="A226" s="2" t="s">
        <v>396</v>
      </c>
      <c r="B226" s="2" t="s">
        <v>54</v>
      </c>
      <c r="C226" s="3">
        <v>21</v>
      </c>
      <c r="D226" s="2" t="s">
        <v>109</v>
      </c>
      <c r="E226" s="2" t="s">
        <v>33</v>
      </c>
      <c r="F226" s="2" t="s">
        <v>27</v>
      </c>
      <c r="G226" t="s">
        <v>69</v>
      </c>
      <c r="H226" t="s">
        <v>65</v>
      </c>
      <c r="I226" s="4">
        <v>687.03</v>
      </c>
      <c r="J226" s="3">
        <v>2</v>
      </c>
      <c r="K226" s="1">
        <v>45045</v>
      </c>
      <c r="L226" s="1" t="str">
        <f>TEXT(Table1[[#This Row],[Purchase_Date]],"YYYY")</f>
        <v>2023</v>
      </c>
      <c r="M226" s="1" t="str">
        <f>TEXT(Table1[[#This Row],[Purchase_Date]],"MMM")</f>
        <v>Apr</v>
      </c>
      <c r="N226" s="1" t="str">
        <f>TEXT(Table1[[#This Row],[Purchase_Date]],"DD")</f>
        <v>29</v>
      </c>
      <c r="O226" s="2" t="s">
        <v>41</v>
      </c>
      <c r="P226" s="3">
        <v>5</v>
      </c>
      <c r="Q226" s="2" t="s">
        <v>23</v>
      </c>
      <c r="R226" s="2" t="s">
        <v>47</v>
      </c>
      <c r="S226">
        <f>Table1[[#This Row],[Purchase_Amount]]*Table1[[#This Row],[Quantity]]</f>
        <v>1374.06</v>
      </c>
      <c r="T226" t="str">
        <f>IF(Table1[[#This Row],[Age]]&lt;25,"&lt;25",IF(Table1[[#This Row],[Age]]&lt;=35,"25-35",IF(Table1[[#This Row],[Age]]&lt;=50,"36-50","50+")))</f>
        <v>&lt;25</v>
      </c>
    </row>
    <row r="227" spans="1:20" x14ac:dyDescent="0.3">
      <c r="A227" s="2" t="s">
        <v>360</v>
      </c>
      <c r="B227" s="2" t="s">
        <v>54</v>
      </c>
      <c r="C227" s="3">
        <v>22</v>
      </c>
      <c r="D227" s="2" t="s">
        <v>64</v>
      </c>
      <c r="E227" s="2" t="s">
        <v>18</v>
      </c>
      <c r="F227" s="2" t="s">
        <v>27</v>
      </c>
      <c r="G227" t="s">
        <v>69</v>
      </c>
      <c r="H227" t="s">
        <v>196</v>
      </c>
      <c r="I227" s="4">
        <v>629.17999999999995</v>
      </c>
      <c r="J227" s="3">
        <v>4</v>
      </c>
      <c r="K227" s="1">
        <v>45236</v>
      </c>
      <c r="L227" s="1" t="str">
        <f>TEXT(Table1[[#This Row],[Purchase_Date]],"YYYY")</f>
        <v>2023</v>
      </c>
      <c r="M227" s="1" t="str">
        <f>TEXT(Table1[[#This Row],[Purchase_Date]],"MMM")</f>
        <v>Nov</v>
      </c>
      <c r="N227" s="1" t="str">
        <f>TEXT(Table1[[#This Row],[Purchase_Date]],"DD")</f>
        <v>06</v>
      </c>
      <c r="O227" s="2" t="s">
        <v>36</v>
      </c>
      <c r="P227" s="3">
        <v>8</v>
      </c>
      <c r="Q227" s="2" t="s">
        <v>23</v>
      </c>
      <c r="R227" s="2" t="s">
        <v>47</v>
      </c>
      <c r="S227">
        <f>Table1[[#This Row],[Purchase_Amount]]*Table1[[#This Row],[Quantity]]</f>
        <v>2516.7199999999998</v>
      </c>
      <c r="T227" t="str">
        <f>IF(Table1[[#This Row],[Age]]&lt;25,"&lt;25",IF(Table1[[#This Row],[Age]]&lt;=35,"25-35",IF(Table1[[#This Row],[Age]]&lt;=50,"36-50","50+")))</f>
        <v>&lt;25</v>
      </c>
    </row>
    <row r="228" spans="1:20" x14ac:dyDescent="0.3">
      <c r="A228" s="2" t="s">
        <v>590</v>
      </c>
      <c r="B228" s="2" t="s">
        <v>54</v>
      </c>
      <c r="C228" s="3">
        <v>24</v>
      </c>
      <c r="D228" s="2" t="s">
        <v>60</v>
      </c>
      <c r="E228" s="2" t="s">
        <v>18</v>
      </c>
      <c r="F228" s="2" t="s">
        <v>19</v>
      </c>
      <c r="G228" t="s">
        <v>69</v>
      </c>
      <c r="H228" t="s">
        <v>283</v>
      </c>
      <c r="I228" s="4">
        <v>533.37</v>
      </c>
      <c r="J228" s="3">
        <v>2</v>
      </c>
      <c r="K228" s="1">
        <v>45343</v>
      </c>
      <c r="L228" s="1" t="str">
        <f>TEXT(Table1[[#This Row],[Purchase_Date]],"YYYY")</f>
        <v>2024</v>
      </c>
      <c r="M228" s="1" t="str">
        <f>TEXT(Table1[[#This Row],[Purchase_Date]],"MMM")</f>
        <v>Feb</v>
      </c>
      <c r="N228" s="1" t="str">
        <f>TEXT(Table1[[#This Row],[Purchase_Date]],"DD")</f>
        <v>21</v>
      </c>
      <c r="O228" s="2" t="s">
        <v>22</v>
      </c>
      <c r="P228" s="3">
        <v>2</v>
      </c>
      <c r="Q228" s="2" t="s">
        <v>23</v>
      </c>
      <c r="R228" s="2" t="s">
        <v>24</v>
      </c>
      <c r="S228">
        <f>Table1[[#This Row],[Purchase_Amount]]*Table1[[#This Row],[Quantity]]</f>
        <v>1066.74</v>
      </c>
      <c r="T228" t="str">
        <f>IF(Table1[[#This Row],[Age]]&lt;25,"&lt;25",IF(Table1[[#This Row],[Age]]&lt;=35,"25-35",IF(Table1[[#This Row],[Age]]&lt;=50,"36-50","50+")))</f>
        <v>&lt;25</v>
      </c>
    </row>
    <row r="229" spans="1:20" x14ac:dyDescent="0.3">
      <c r="A229" s="2" t="s">
        <v>962</v>
      </c>
      <c r="B229" s="2" t="s">
        <v>54</v>
      </c>
      <c r="C229" s="3">
        <v>26</v>
      </c>
      <c r="D229" s="2" t="s">
        <v>38</v>
      </c>
      <c r="E229" s="2" t="s">
        <v>33</v>
      </c>
      <c r="F229" s="2" t="s">
        <v>44</v>
      </c>
      <c r="G229" t="s">
        <v>69</v>
      </c>
      <c r="H229" t="s">
        <v>202</v>
      </c>
      <c r="I229" s="4">
        <v>869.3</v>
      </c>
      <c r="J229" s="3">
        <v>5</v>
      </c>
      <c r="K229" s="1">
        <v>44978</v>
      </c>
      <c r="L229" s="1" t="str">
        <f>TEXT(Table1[[#This Row],[Purchase_Date]],"YYYY")</f>
        <v>2023</v>
      </c>
      <c r="M229" s="1" t="str">
        <f>TEXT(Table1[[#This Row],[Purchase_Date]],"MMM")</f>
        <v>Feb</v>
      </c>
      <c r="N229" s="1" t="str">
        <f>TEXT(Table1[[#This Row],[Purchase_Date]],"DD")</f>
        <v>21</v>
      </c>
      <c r="O229" s="2" t="s">
        <v>41</v>
      </c>
      <c r="P229" s="3">
        <v>3</v>
      </c>
      <c r="Q229" s="2" t="s">
        <v>46</v>
      </c>
      <c r="R229" s="2" t="s">
        <v>24</v>
      </c>
      <c r="S229">
        <f>Table1[[#This Row],[Purchase_Amount]]*Table1[[#This Row],[Quantity]]</f>
        <v>4346.5</v>
      </c>
      <c r="T229" t="str">
        <f>IF(Table1[[#This Row],[Age]]&lt;25,"&lt;25",IF(Table1[[#This Row],[Age]]&lt;=35,"25-35",IF(Table1[[#This Row],[Age]]&lt;=50,"36-50","50+")))</f>
        <v>25-35</v>
      </c>
    </row>
    <row r="230" spans="1:20" x14ac:dyDescent="0.3">
      <c r="A230" s="2" t="s">
        <v>1076</v>
      </c>
      <c r="B230" s="2" t="s">
        <v>54</v>
      </c>
      <c r="C230" s="3">
        <v>27</v>
      </c>
      <c r="D230" s="2" t="s">
        <v>38</v>
      </c>
      <c r="E230" s="2" t="s">
        <v>33</v>
      </c>
      <c r="F230" s="2" t="s">
        <v>27</v>
      </c>
      <c r="G230" t="s">
        <v>69</v>
      </c>
      <c r="H230" t="s">
        <v>764</v>
      </c>
      <c r="I230" s="4">
        <v>497.08</v>
      </c>
      <c r="J230" s="3">
        <v>4</v>
      </c>
      <c r="K230" s="1">
        <v>45047</v>
      </c>
      <c r="L230" s="1" t="str">
        <f>TEXT(Table1[[#This Row],[Purchase_Date]],"YYYY")</f>
        <v>2023</v>
      </c>
      <c r="M230" s="1" t="str">
        <f>TEXT(Table1[[#This Row],[Purchase_Date]],"MMM")</f>
        <v>May</v>
      </c>
      <c r="N230" s="1" t="str">
        <f>TEXT(Table1[[#This Row],[Purchase_Date]],"DD")</f>
        <v>01</v>
      </c>
      <c r="O230" s="2" t="s">
        <v>30</v>
      </c>
      <c r="P230" s="3">
        <v>7</v>
      </c>
      <c r="Q230" s="2" t="s">
        <v>46</v>
      </c>
      <c r="R230" s="2" t="s">
        <v>24</v>
      </c>
      <c r="S230">
        <f>Table1[[#This Row],[Purchase_Amount]]*Table1[[#This Row],[Quantity]]</f>
        <v>1988.32</v>
      </c>
      <c r="T230" t="str">
        <f>IF(Table1[[#This Row],[Age]]&lt;25,"&lt;25",IF(Table1[[#This Row],[Age]]&lt;=35,"25-35",IF(Table1[[#This Row],[Age]]&lt;=50,"36-50","50+")))</f>
        <v>25-35</v>
      </c>
    </row>
    <row r="231" spans="1:20" x14ac:dyDescent="0.3">
      <c r="A231" s="2" t="s">
        <v>1223</v>
      </c>
      <c r="B231" s="2" t="s">
        <v>54</v>
      </c>
      <c r="C231" s="3">
        <v>28</v>
      </c>
      <c r="D231" s="2" t="s">
        <v>60</v>
      </c>
      <c r="E231" s="2" t="s">
        <v>49</v>
      </c>
      <c r="F231" s="2" t="s">
        <v>19</v>
      </c>
      <c r="G231" t="s">
        <v>69</v>
      </c>
      <c r="H231" t="s">
        <v>283</v>
      </c>
      <c r="I231" s="4">
        <v>584.95000000000005</v>
      </c>
      <c r="J231" s="3">
        <v>2</v>
      </c>
      <c r="K231" s="1">
        <v>45454</v>
      </c>
      <c r="L231" s="1" t="str">
        <f>TEXT(Table1[[#This Row],[Purchase_Date]],"YYYY")</f>
        <v>2024</v>
      </c>
      <c r="M231" s="1" t="str">
        <f>TEXT(Table1[[#This Row],[Purchase_Date]],"MMM")</f>
        <v>Jun</v>
      </c>
      <c r="N231" s="1" t="str">
        <f>TEXT(Table1[[#This Row],[Purchase_Date]],"DD")</f>
        <v>11</v>
      </c>
      <c r="O231" s="2" t="s">
        <v>41</v>
      </c>
      <c r="P231" s="3">
        <v>4</v>
      </c>
      <c r="Q231" s="2" t="s">
        <v>46</v>
      </c>
      <c r="R231" s="2" t="s">
        <v>24</v>
      </c>
      <c r="S231">
        <f>Table1[[#This Row],[Purchase_Amount]]*Table1[[#This Row],[Quantity]]</f>
        <v>1169.9000000000001</v>
      </c>
      <c r="T231" t="str">
        <f>IF(Table1[[#This Row],[Age]]&lt;25,"&lt;25",IF(Table1[[#This Row],[Age]]&lt;=35,"25-35",IF(Table1[[#This Row],[Age]]&lt;=50,"36-50","50+")))</f>
        <v>25-35</v>
      </c>
    </row>
    <row r="232" spans="1:20" x14ac:dyDescent="0.3">
      <c r="A232" s="2" t="s">
        <v>445</v>
      </c>
      <c r="B232" s="2" t="s">
        <v>54</v>
      </c>
      <c r="C232" s="3">
        <v>28</v>
      </c>
      <c r="D232" s="2" t="s">
        <v>109</v>
      </c>
      <c r="E232" s="2" t="s">
        <v>18</v>
      </c>
      <c r="F232" s="2" t="s">
        <v>19</v>
      </c>
      <c r="G232" t="s">
        <v>69</v>
      </c>
      <c r="H232" t="s">
        <v>439</v>
      </c>
      <c r="I232" s="4">
        <v>746.47</v>
      </c>
      <c r="J232" s="3">
        <v>2</v>
      </c>
      <c r="K232" s="1">
        <v>44988</v>
      </c>
      <c r="L232" s="1" t="str">
        <f>TEXT(Table1[[#This Row],[Purchase_Date]],"YYYY")</f>
        <v>2023</v>
      </c>
      <c r="M232" s="1" t="str">
        <f>TEXT(Table1[[#This Row],[Purchase_Date]],"MMM")</f>
        <v>Mar</v>
      </c>
      <c r="N232" s="1" t="str">
        <f>TEXT(Table1[[#This Row],[Purchase_Date]],"DD")</f>
        <v>03</v>
      </c>
      <c r="O232" s="2" t="s">
        <v>30</v>
      </c>
      <c r="P232" s="3">
        <v>2</v>
      </c>
      <c r="Q232" s="2" t="s">
        <v>46</v>
      </c>
      <c r="R232" s="2" t="s">
        <v>24</v>
      </c>
      <c r="S232">
        <f>Table1[[#This Row],[Purchase_Amount]]*Table1[[#This Row],[Quantity]]</f>
        <v>1492.94</v>
      </c>
      <c r="T232" t="str">
        <f>IF(Table1[[#This Row],[Age]]&lt;25,"&lt;25",IF(Table1[[#This Row],[Age]]&lt;=35,"25-35",IF(Table1[[#This Row],[Age]]&lt;=50,"36-50","50+")))</f>
        <v>25-35</v>
      </c>
    </row>
    <row r="233" spans="1:20" x14ac:dyDescent="0.3">
      <c r="A233" s="2" t="s">
        <v>996</v>
      </c>
      <c r="B233" s="2" t="s">
        <v>54</v>
      </c>
      <c r="C233" s="3">
        <v>30</v>
      </c>
      <c r="D233" s="2" t="s">
        <v>32</v>
      </c>
      <c r="E233" s="2" t="s">
        <v>18</v>
      </c>
      <c r="F233" s="2" t="s">
        <v>44</v>
      </c>
      <c r="G233" t="s">
        <v>69</v>
      </c>
      <c r="H233" t="s">
        <v>29</v>
      </c>
      <c r="I233" s="4">
        <v>983.51</v>
      </c>
      <c r="J233" s="3">
        <v>1</v>
      </c>
      <c r="K233" s="1">
        <v>45552</v>
      </c>
      <c r="L233" s="1" t="str">
        <f>TEXT(Table1[[#This Row],[Purchase_Date]],"YYYY")</f>
        <v>2024</v>
      </c>
      <c r="M233" s="1" t="str">
        <f>TEXT(Table1[[#This Row],[Purchase_Date]],"MMM")</f>
        <v>Sep</v>
      </c>
      <c r="N233" s="1" t="str">
        <f>TEXT(Table1[[#This Row],[Purchase_Date]],"DD")</f>
        <v>17</v>
      </c>
      <c r="O233" s="2" t="s">
        <v>22</v>
      </c>
      <c r="P233" s="3">
        <v>9</v>
      </c>
      <c r="Q233" s="2" t="s">
        <v>46</v>
      </c>
      <c r="R233" s="2" t="s">
        <v>24</v>
      </c>
      <c r="S233">
        <f>Table1[[#This Row],[Purchase_Amount]]*Table1[[#This Row],[Quantity]]</f>
        <v>983.51</v>
      </c>
      <c r="T233" t="str">
        <f>IF(Table1[[#This Row],[Age]]&lt;25,"&lt;25",IF(Table1[[#This Row],[Age]]&lt;=35,"25-35",IF(Table1[[#This Row],[Age]]&lt;=50,"36-50","50+")))</f>
        <v>25-35</v>
      </c>
    </row>
    <row r="234" spans="1:20" x14ac:dyDescent="0.3">
      <c r="A234" s="2" t="s">
        <v>408</v>
      </c>
      <c r="B234" s="2" t="s">
        <v>54</v>
      </c>
      <c r="C234" s="3">
        <v>31</v>
      </c>
      <c r="D234" s="2" t="s">
        <v>43</v>
      </c>
      <c r="E234" s="2" t="s">
        <v>49</v>
      </c>
      <c r="F234" s="2" t="s">
        <v>27</v>
      </c>
      <c r="G234" t="s">
        <v>69</v>
      </c>
      <c r="H234" t="s">
        <v>149</v>
      </c>
      <c r="I234" s="4">
        <v>98.86</v>
      </c>
      <c r="J234" s="3">
        <v>2</v>
      </c>
      <c r="K234" s="1">
        <v>45255</v>
      </c>
      <c r="L234" s="1" t="str">
        <f>TEXT(Table1[[#This Row],[Purchase_Date]],"YYYY")</f>
        <v>2023</v>
      </c>
      <c r="M234" s="1" t="str">
        <f>TEXT(Table1[[#This Row],[Purchase_Date]],"MMM")</f>
        <v>Nov</v>
      </c>
      <c r="N234" s="1" t="str">
        <f>TEXT(Table1[[#This Row],[Purchase_Date]],"DD")</f>
        <v>25</v>
      </c>
      <c r="O234" s="2" t="s">
        <v>30</v>
      </c>
      <c r="P234" s="3">
        <v>1</v>
      </c>
      <c r="Q234" s="2" t="s">
        <v>23</v>
      </c>
      <c r="R234" s="2" t="s">
        <v>47</v>
      </c>
      <c r="S234">
        <f>Table1[[#This Row],[Purchase_Amount]]*Table1[[#This Row],[Quantity]]</f>
        <v>197.72</v>
      </c>
      <c r="T234" t="str">
        <f>IF(Table1[[#This Row],[Age]]&lt;25,"&lt;25",IF(Table1[[#This Row],[Age]]&lt;=35,"25-35",IF(Table1[[#This Row],[Age]]&lt;=50,"36-50","50+")))</f>
        <v>25-35</v>
      </c>
    </row>
    <row r="235" spans="1:20" x14ac:dyDescent="0.3">
      <c r="A235" s="2" t="s">
        <v>1171</v>
      </c>
      <c r="B235" s="2" t="s">
        <v>54</v>
      </c>
      <c r="C235" s="3">
        <v>32</v>
      </c>
      <c r="D235" s="2" t="s">
        <v>109</v>
      </c>
      <c r="E235" s="2" t="s">
        <v>49</v>
      </c>
      <c r="F235" s="2" t="s">
        <v>44</v>
      </c>
      <c r="G235" t="s">
        <v>69</v>
      </c>
      <c r="H235" t="s">
        <v>371</v>
      </c>
      <c r="I235" s="4">
        <v>685.69</v>
      </c>
      <c r="J235" s="3">
        <v>4</v>
      </c>
      <c r="K235" s="1">
        <v>45276</v>
      </c>
      <c r="L235" s="1" t="str">
        <f>TEXT(Table1[[#This Row],[Purchase_Date]],"YYYY")</f>
        <v>2023</v>
      </c>
      <c r="M235" s="1" t="str">
        <f>TEXT(Table1[[#This Row],[Purchase_Date]],"MMM")</f>
        <v>Dec</v>
      </c>
      <c r="N235" s="1" t="str">
        <f>TEXT(Table1[[#This Row],[Purchase_Date]],"DD")</f>
        <v>16</v>
      </c>
      <c r="O235" s="2" t="s">
        <v>22</v>
      </c>
      <c r="P235" s="3">
        <v>7</v>
      </c>
      <c r="Q235" s="2" t="s">
        <v>46</v>
      </c>
      <c r="R235" s="2" t="s">
        <v>24</v>
      </c>
      <c r="S235">
        <f>Table1[[#This Row],[Purchase_Amount]]*Table1[[#This Row],[Quantity]]</f>
        <v>2742.76</v>
      </c>
      <c r="T235" t="str">
        <f>IF(Table1[[#This Row],[Age]]&lt;25,"&lt;25",IF(Table1[[#This Row],[Age]]&lt;=35,"25-35",IF(Table1[[#This Row],[Age]]&lt;=50,"36-50","50+")))</f>
        <v>25-35</v>
      </c>
    </row>
    <row r="236" spans="1:20" x14ac:dyDescent="0.3">
      <c r="A236" s="2" t="s">
        <v>332</v>
      </c>
      <c r="B236" s="2" t="s">
        <v>54</v>
      </c>
      <c r="C236" s="3">
        <v>32</v>
      </c>
      <c r="D236" s="2" t="s">
        <v>17</v>
      </c>
      <c r="E236" s="2" t="s">
        <v>33</v>
      </c>
      <c r="F236" s="2" t="s">
        <v>27</v>
      </c>
      <c r="G236" t="s">
        <v>69</v>
      </c>
      <c r="H236" t="s">
        <v>333</v>
      </c>
      <c r="I236" s="4">
        <v>954.1</v>
      </c>
      <c r="J236" s="3">
        <v>4</v>
      </c>
      <c r="K236" s="1">
        <v>45585</v>
      </c>
      <c r="L236" s="1" t="str">
        <f>TEXT(Table1[[#This Row],[Purchase_Date]],"YYYY")</f>
        <v>2024</v>
      </c>
      <c r="M236" s="1" t="str">
        <f>TEXT(Table1[[#This Row],[Purchase_Date]],"MMM")</f>
        <v>Oct</v>
      </c>
      <c r="N236" s="1" t="str">
        <f>TEXT(Table1[[#This Row],[Purchase_Date]],"DD")</f>
        <v>20</v>
      </c>
      <c r="O236" s="2" t="s">
        <v>41</v>
      </c>
      <c r="P236" s="3">
        <v>9</v>
      </c>
      <c r="Q236" s="2" t="s">
        <v>23</v>
      </c>
      <c r="R236" s="2" t="s">
        <v>24</v>
      </c>
      <c r="S236">
        <f>Table1[[#This Row],[Purchase_Amount]]*Table1[[#This Row],[Quantity]]</f>
        <v>3816.4</v>
      </c>
      <c r="T236" t="str">
        <f>IF(Table1[[#This Row],[Age]]&lt;25,"&lt;25",IF(Table1[[#This Row],[Age]]&lt;=35,"25-35",IF(Table1[[#This Row],[Age]]&lt;=50,"36-50","50+")))</f>
        <v>25-35</v>
      </c>
    </row>
    <row r="237" spans="1:20" x14ac:dyDescent="0.3">
      <c r="A237" s="2" t="s">
        <v>1154</v>
      </c>
      <c r="B237" s="2" t="s">
        <v>54</v>
      </c>
      <c r="C237" s="3">
        <v>33</v>
      </c>
      <c r="D237" s="2" t="s">
        <v>17</v>
      </c>
      <c r="E237" s="2" t="s">
        <v>18</v>
      </c>
      <c r="F237" s="2" t="s">
        <v>27</v>
      </c>
      <c r="G237" t="s">
        <v>69</v>
      </c>
      <c r="H237" t="s">
        <v>354</v>
      </c>
      <c r="I237" s="4">
        <v>49.55</v>
      </c>
      <c r="J237" s="3">
        <v>5</v>
      </c>
      <c r="K237" s="1">
        <v>45292</v>
      </c>
      <c r="L237" s="1" t="str">
        <f>TEXT(Table1[[#This Row],[Purchase_Date]],"YYYY")</f>
        <v>2024</v>
      </c>
      <c r="M237" s="1" t="str">
        <f>TEXT(Table1[[#This Row],[Purchase_Date]],"MMM")</f>
        <v>Jan</v>
      </c>
      <c r="N237" s="1" t="str">
        <f>TEXT(Table1[[#This Row],[Purchase_Date]],"DD")</f>
        <v>01</v>
      </c>
      <c r="O237" s="2" t="s">
        <v>30</v>
      </c>
      <c r="P237" s="3">
        <v>9</v>
      </c>
      <c r="Q237" s="2" t="s">
        <v>46</v>
      </c>
      <c r="R237" s="2" t="s">
        <v>24</v>
      </c>
      <c r="S237">
        <f>Table1[[#This Row],[Purchase_Amount]]*Table1[[#This Row],[Quantity]]</f>
        <v>247.75</v>
      </c>
      <c r="T237" t="str">
        <f>IF(Table1[[#This Row],[Age]]&lt;25,"&lt;25",IF(Table1[[#This Row],[Age]]&lt;=35,"25-35",IF(Table1[[#This Row],[Age]]&lt;=50,"36-50","50+")))</f>
        <v>25-35</v>
      </c>
    </row>
    <row r="238" spans="1:20" x14ac:dyDescent="0.3">
      <c r="A238" s="2" t="s">
        <v>1240</v>
      </c>
      <c r="B238" s="2" t="s">
        <v>54</v>
      </c>
      <c r="C238" s="3">
        <v>33</v>
      </c>
      <c r="D238" s="2" t="s">
        <v>32</v>
      </c>
      <c r="E238" s="2" t="s">
        <v>33</v>
      </c>
      <c r="F238" s="2" t="s">
        <v>44</v>
      </c>
      <c r="G238" t="s">
        <v>69</v>
      </c>
      <c r="H238" t="s">
        <v>414</v>
      </c>
      <c r="I238" s="4">
        <v>706.24</v>
      </c>
      <c r="J238" s="3">
        <v>4</v>
      </c>
      <c r="K238" s="1">
        <v>45586</v>
      </c>
      <c r="L238" s="1" t="str">
        <f>TEXT(Table1[[#This Row],[Purchase_Date]],"YYYY")</f>
        <v>2024</v>
      </c>
      <c r="M238" s="1" t="str">
        <f>TEXT(Table1[[#This Row],[Purchase_Date]],"MMM")</f>
        <v>Oct</v>
      </c>
      <c r="N238" s="1" t="str">
        <f>TEXT(Table1[[#This Row],[Purchase_Date]],"DD")</f>
        <v>21</v>
      </c>
      <c r="O238" s="2" t="s">
        <v>41</v>
      </c>
      <c r="P238" s="3">
        <v>4</v>
      </c>
      <c r="Q238" s="2" t="s">
        <v>23</v>
      </c>
      <c r="R238" s="2" t="s">
        <v>47</v>
      </c>
      <c r="S238">
        <f>Table1[[#This Row],[Purchase_Amount]]*Table1[[#This Row],[Quantity]]</f>
        <v>2824.96</v>
      </c>
      <c r="T238" t="str">
        <f>IF(Table1[[#This Row],[Age]]&lt;25,"&lt;25",IF(Table1[[#This Row],[Age]]&lt;=35,"25-35",IF(Table1[[#This Row],[Age]]&lt;=50,"36-50","50+")))</f>
        <v>25-35</v>
      </c>
    </row>
    <row r="239" spans="1:20" x14ac:dyDescent="0.3">
      <c r="A239" s="2" t="s">
        <v>780</v>
      </c>
      <c r="B239" s="2" t="s">
        <v>54</v>
      </c>
      <c r="C239" s="3">
        <v>34</v>
      </c>
      <c r="D239" s="2" t="s">
        <v>32</v>
      </c>
      <c r="E239" s="2" t="s">
        <v>49</v>
      </c>
      <c r="F239" s="2" t="s">
        <v>27</v>
      </c>
      <c r="G239" t="s">
        <v>69</v>
      </c>
      <c r="H239" t="s">
        <v>167</v>
      </c>
      <c r="I239" s="4">
        <v>67.87</v>
      </c>
      <c r="J239" s="3">
        <v>1</v>
      </c>
      <c r="K239" s="1">
        <v>45072</v>
      </c>
      <c r="L239" s="1" t="str">
        <f>TEXT(Table1[[#This Row],[Purchase_Date]],"YYYY")</f>
        <v>2023</v>
      </c>
      <c r="M239" s="1" t="str">
        <f>TEXT(Table1[[#This Row],[Purchase_Date]],"MMM")</f>
        <v>May</v>
      </c>
      <c r="N239" s="1" t="str">
        <f>TEXT(Table1[[#This Row],[Purchase_Date]],"DD")</f>
        <v>26</v>
      </c>
      <c r="O239" s="2" t="s">
        <v>30</v>
      </c>
      <c r="P239" s="3">
        <v>2</v>
      </c>
      <c r="Q239" s="2" t="s">
        <v>23</v>
      </c>
      <c r="R239" s="2" t="s">
        <v>24</v>
      </c>
      <c r="S239">
        <f>Table1[[#This Row],[Purchase_Amount]]*Table1[[#This Row],[Quantity]]</f>
        <v>67.87</v>
      </c>
      <c r="T239" t="str">
        <f>IF(Table1[[#This Row],[Age]]&lt;25,"&lt;25",IF(Table1[[#This Row],[Age]]&lt;=35,"25-35",IF(Table1[[#This Row],[Age]]&lt;=50,"36-50","50+")))</f>
        <v>25-35</v>
      </c>
    </row>
    <row r="240" spans="1:20" x14ac:dyDescent="0.3">
      <c r="A240" s="2" t="s">
        <v>826</v>
      </c>
      <c r="B240" s="2" t="s">
        <v>54</v>
      </c>
      <c r="C240" s="3">
        <v>34</v>
      </c>
      <c r="D240" s="2" t="s">
        <v>78</v>
      </c>
      <c r="E240" s="2" t="s">
        <v>18</v>
      </c>
      <c r="F240" s="2" t="s">
        <v>44</v>
      </c>
      <c r="G240" t="s">
        <v>69</v>
      </c>
      <c r="H240" t="s">
        <v>827</v>
      </c>
      <c r="I240" s="4">
        <v>972.13</v>
      </c>
      <c r="J240" s="3">
        <v>4</v>
      </c>
      <c r="K240" s="1">
        <v>45413</v>
      </c>
      <c r="L240" s="1" t="str">
        <f>TEXT(Table1[[#This Row],[Purchase_Date]],"YYYY")</f>
        <v>2024</v>
      </c>
      <c r="M240" s="1" t="str">
        <f>TEXT(Table1[[#This Row],[Purchase_Date]],"MMM")</f>
        <v>May</v>
      </c>
      <c r="N240" s="1" t="str">
        <f>TEXT(Table1[[#This Row],[Purchase_Date]],"DD")</f>
        <v>01</v>
      </c>
      <c r="O240" s="2" t="s">
        <v>22</v>
      </c>
      <c r="P240" s="3">
        <v>4</v>
      </c>
      <c r="Q240" s="2" t="s">
        <v>23</v>
      </c>
      <c r="R240" s="2" t="s">
        <v>24</v>
      </c>
      <c r="S240">
        <f>Table1[[#This Row],[Purchase_Amount]]*Table1[[#This Row],[Quantity]]</f>
        <v>3888.52</v>
      </c>
      <c r="T240" t="str">
        <f>IF(Table1[[#This Row],[Age]]&lt;25,"&lt;25",IF(Table1[[#This Row],[Age]]&lt;=35,"25-35",IF(Table1[[#This Row],[Age]]&lt;=50,"36-50","50+")))</f>
        <v>25-35</v>
      </c>
    </row>
    <row r="241" spans="1:20" x14ac:dyDescent="0.3">
      <c r="A241" s="2" t="s">
        <v>589</v>
      </c>
      <c r="B241" s="2" t="s">
        <v>54</v>
      </c>
      <c r="C241" s="3">
        <v>35</v>
      </c>
      <c r="D241" s="2" t="s">
        <v>60</v>
      </c>
      <c r="E241" s="2" t="s">
        <v>33</v>
      </c>
      <c r="F241" s="2" t="s">
        <v>19</v>
      </c>
      <c r="G241" t="s">
        <v>69</v>
      </c>
      <c r="H241" t="s">
        <v>441</v>
      </c>
      <c r="I241" s="4">
        <v>494.89</v>
      </c>
      <c r="J241" s="3">
        <v>3</v>
      </c>
      <c r="K241" s="1">
        <v>44979</v>
      </c>
      <c r="L241" s="1" t="str">
        <f>TEXT(Table1[[#This Row],[Purchase_Date]],"YYYY")</f>
        <v>2023</v>
      </c>
      <c r="M241" s="1" t="str">
        <f>TEXT(Table1[[#This Row],[Purchase_Date]],"MMM")</f>
        <v>Feb</v>
      </c>
      <c r="N241" s="1" t="str">
        <f>TEXT(Table1[[#This Row],[Purchase_Date]],"DD")</f>
        <v>22</v>
      </c>
      <c r="O241" s="2" t="s">
        <v>41</v>
      </c>
      <c r="P241" s="3">
        <v>4</v>
      </c>
      <c r="Q241" s="2" t="s">
        <v>23</v>
      </c>
      <c r="R241" s="2" t="s">
        <v>47</v>
      </c>
      <c r="S241">
        <f>Table1[[#This Row],[Purchase_Amount]]*Table1[[#This Row],[Quantity]]</f>
        <v>1484.67</v>
      </c>
      <c r="T241" t="str">
        <f>IF(Table1[[#This Row],[Age]]&lt;25,"&lt;25",IF(Table1[[#This Row],[Age]]&lt;=35,"25-35",IF(Table1[[#This Row],[Age]]&lt;=50,"36-50","50+")))</f>
        <v>25-35</v>
      </c>
    </row>
    <row r="242" spans="1:20" x14ac:dyDescent="0.3">
      <c r="A242" s="2" t="s">
        <v>111</v>
      </c>
      <c r="B242" s="2" t="s">
        <v>54</v>
      </c>
      <c r="C242" s="3">
        <v>36</v>
      </c>
      <c r="D242" s="2" t="s">
        <v>60</v>
      </c>
      <c r="E242" s="2" t="s">
        <v>18</v>
      </c>
      <c r="F242" s="2" t="s">
        <v>27</v>
      </c>
      <c r="G242" t="s">
        <v>69</v>
      </c>
      <c r="H242" t="s">
        <v>40</v>
      </c>
      <c r="I242" s="4">
        <v>420.99</v>
      </c>
      <c r="J242" s="3">
        <v>3</v>
      </c>
      <c r="K242" s="1">
        <v>45369</v>
      </c>
      <c r="L242" s="1" t="str">
        <f>TEXT(Table1[[#This Row],[Purchase_Date]],"YYYY")</f>
        <v>2024</v>
      </c>
      <c r="M242" s="1" t="str">
        <f>TEXT(Table1[[#This Row],[Purchase_Date]],"MMM")</f>
        <v>Mar</v>
      </c>
      <c r="N242" s="1" t="str">
        <f>TEXT(Table1[[#This Row],[Purchase_Date]],"DD")</f>
        <v>18</v>
      </c>
      <c r="O242" s="2" t="s">
        <v>30</v>
      </c>
      <c r="P242" s="3">
        <v>6</v>
      </c>
      <c r="Q242" s="2" t="s">
        <v>23</v>
      </c>
      <c r="R242" s="2" t="s">
        <v>24</v>
      </c>
      <c r="S242">
        <f>Table1[[#This Row],[Purchase_Amount]]*Table1[[#This Row],[Quantity]]</f>
        <v>1262.97</v>
      </c>
      <c r="T242" t="str">
        <f>IF(Table1[[#This Row],[Age]]&lt;25,"&lt;25",IF(Table1[[#This Row],[Age]]&lt;=35,"25-35",IF(Table1[[#This Row],[Age]]&lt;=50,"36-50","50+")))</f>
        <v>36-50</v>
      </c>
    </row>
    <row r="243" spans="1:20" x14ac:dyDescent="0.3">
      <c r="A243" s="2" t="s">
        <v>600</v>
      </c>
      <c r="B243" s="2" t="s">
        <v>54</v>
      </c>
      <c r="C243" s="3">
        <v>36</v>
      </c>
      <c r="D243" s="2" t="s">
        <v>64</v>
      </c>
      <c r="E243" s="2" t="s">
        <v>49</v>
      </c>
      <c r="F243" s="2" t="s">
        <v>27</v>
      </c>
      <c r="G243" t="s">
        <v>69</v>
      </c>
      <c r="H243" t="s">
        <v>125</v>
      </c>
      <c r="I243" s="4">
        <v>661.72</v>
      </c>
      <c r="J243" s="3">
        <v>2</v>
      </c>
      <c r="K243" s="1">
        <v>45273</v>
      </c>
      <c r="L243" s="1" t="str">
        <f>TEXT(Table1[[#This Row],[Purchase_Date]],"YYYY")</f>
        <v>2023</v>
      </c>
      <c r="M243" s="1" t="str">
        <f>TEXT(Table1[[#This Row],[Purchase_Date]],"MMM")</f>
        <v>Dec</v>
      </c>
      <c r="N243" s="1" t="str">
        <f>TEXT(Table1[[#This Row],[Purchase_Date]],"DD")</f>
        <v>13</v>
      </c>
      <c r="O243" s="2" t="s">
        <v>30</v>
      </c>
      <c r="P243" s="3">
        <v>1</v>
      </c>
      <c r="Q243" s="2" t="s">
        <v>46</v>
      </c>
      <c r="R243" s="2" t="s">
        <v>47</v>
      </c>
      <c r="S243">
        <f>Table1[[#This Row],[Purchase_Amount]]*Table1[[#This Row],[Quantity]]</f>
        <v>1323.44</v>
      </c>
      <c r="T243" t="str">
        <f>IF(Table1[[#This Row],[Age]]&lt;25,"&lt;25",IF(Table1[[#This Row],[Age]]&lt;=35,"25-35",IF(Table1[[#This Row],[Age]]&lt;=50,"36-50","50+")))</f>
        <v>36-50</v>
      </c>
    </row>
    <row r="244" spans="1:20" x14ac:dyDescent="0.3">
      <c r="A244" s="2" t="s">
        <v>115</v>
      </c>
      <c r="B244" s="2" t="s">
        <v>54</v>
      </c>
      <c r="C244" s="3">
        <v>37</v>
      </c>
      <c r="D244" s="2" t="s">
        <v>64</v>
      </c>
      <c r="E244" s="2" t="s">
        <v>18</v>
      </c>
      <c r="F244" s="2" t="s">
        <v>27</v>
      </c>
      <c r="G244" t="s">
        <v>69</v>
      </c>
      <c r="H244" t="s">
        <v>85</v>
      </c>
      <c r="I244" s="4">
        <v>203.76</v>
      </c>
      <c r="J244" s="3">
        <v>3</v>
      </c>
      <c r="K244" s="1">
        <v>45387</v>
      </c>
      <c r="L244" s="1" t="str">
        <f>TEXT(Table1[[#This Row],[Purchase_Date]],"YYYY")</f>
        <v>2024</v>
      </c>
      <c r="M244" s="1" t="str">
        <f>TEXT(Table1[[#This Row],[Purchase_Date]],"MMM")</f>
        <v>Apr</v>
      </c>
      <c r="N244" s="1" t="str">
        <f>TEXT(Table1[[#This Row],[Purchase_Date]],"DD")</f>
        <v>05</v>
      </c>
      <c r="O244" s="2" t="s">
        <v>41</v>
      </c>
      <c r="P244" s="3">
        <v>2</v>
      </c>
      <c r="Q244" s="2" t="s">
        <v>23</v>
      </c>
      <c r="R244" s="2" t="s">
        <v>24</v>
      </c>
      <c r="S244">
        <f>Table1[[#This Row],[Purchase_Amount]]*Table1[[#This Row],[Quantity]]</f>
        <v>611.28</v>
      </c>
      <c r="T244" t="str">
        <f>IF(Table1[[#This Row],[Age]]&lt;25,"&lt;25",IF(Table1[[#This Row],[Age]]&lt;=35,"25-35",IF(Table1[[#This Row],[Age]]&lt;=50,"36-50","50+")))</f>
        <v>36-50</v>
      </c>
    </row>
    <row r="245" spans="1:20" x14ac:dyDescent="0.3">
      <c r="A245" s="2" t="s">
        <v>112</v>
      </c>
      <c r="B245" s="2" t="s">
        <v>54</v>
      </c>
      <c r="C245" s="3">
        <v>37</v>
      </c>
      <c r="D245" s="2" t="s">
        <v>109</v>
      </c>
      <c r="E245" s="2" t="s">
        <v>18</v>
      </c>
      <c r="F245" s="2" t="s">
        <v>27</v>
      </c>
      <c r="G245" t="s">
        <v>69</v>
      </c>
      <c r="H245" t="s">
        <v>107</v>
      </c>
      <c r="I245" s="4">
        <v>427.97</v>
      </c>
      <c r="J245" s="3">
        <v>5</v>
      </c>
      <c r="K245" s="1">
        <v>45182</v>
      </c>
      <c r="L245" s="1" t="str">
        <f>TEXT(Table1[[#This Row],[Purchase_Date]],"YYYY")</f>
        <v>2023</v>
      </c>
      <c r="M245" s="1" t="str">
        <f>TEXT(Table1[[#This Row],[Purchase_Date]],"MMM")</f>
        <v>Sep</v>
      </c>
      <c r="N245" s="1" t="str">
        <f>TEXT(Table1[[#This Row],[Purchase_Date]],"DD")</f>
        <v>13</v>
      </c>
      <c r="O245" s="2" t="s">
        <v>22</v>
      </c>
      <c r="P245" s="3">
        <v>6</v>
      </c>
      <c r="Q245" s="2" t="s">
        <v>46</v>
      </c>
      <c r="R245" s="2" t="s">
        <v>24</v>
      </c>
      <c r="S245">
        <f>Table1[[#This Row],[Purchase_Amount]]*Table1[[#This Row],[Quantity]]</f>
        <v>2139.8500000000004</v>
      </c>
      <c r="T245" t="str">
        <f>IF(Table1[[#This Row],[Age]]&lt;25,"&lt;25",IF(Table1[[#This Row],[Age]]&lt;=35,"25-35",IF(Table1[[#This Row],[Age]]&lt;=50,"36-50","50+")))</f>
        <v>36-50</v>
      </c>
    </row>
    <row r="246" spans="1:20" x14ac:dyDescent="0.3">
      <c r="A246" s="2" t="s">
        <v>1214</v>
      </c>
      <c r="B246" s="2" t="s">
        <v>54</v>
      </c>
      <c r="C246" s="3">
        <v>38</v>
      </c>
      <c r="D246" s="2" t="s">
        <v>32</v>
      </c>
      <c r="E246" s="2" t="s">
        <v>49</v>
      </c>
      <c r="F246" s="2" t="s">
        <v>27</v>
      </c>
      <c r="G246" t="s">
        <v>69</v>
      </c>
      <c r="H246" t="s">
        <v>592</v>
      </c>
      <c r="I246" s="4">
        <v>577.04</v>
      </c>
      <c r="J246" s="3">
        <v>4</v>
      </c>
      <c r="K246" s="1">
        <v>45013</v>
      </c>
      <c r="L246" s="1" t="str">
        <f>TEXT(Table1[[#This Row],[Purchase_Date]],"YYYY")</f>
        <v>2023</v>
      </c>
      <c r="M246" s="1" t="str">
        <f>TEXT(Table1[[#This Row],[Purchase_Date]],"MMM")</f>
        <v>Mar</v>
      </c>
      <c r="N246" s="1" t="str">
        <f>TEXT(Table1[[#This Row],[Purchase_Date]],"DD")</f>
        <v>28</v>
      </c>
      <c r="O246" s="2" t="s">
        <v>30</v>
      </c>
      <c r="P246" s="3">
        <v>5</v>
      </c>
      <c r="Q246" s="2" t="s">
        <v>23</v>
      </c>
      <c r="R246" s="2" t="s">
        <v>47</v>
      </c>
      <c r="S246">
        <f>Table1[[#This Row],[Purchase_Amount]]*Table1[[#This Row],[Quantity]]</f>
        <v>2308.16</v>
      </c>
      <c r="T246" t="str">
        <f>IF(Table1[[#This Row],[Age]]&lt;25,"&lt;25",IF(Table1[[#This Row],[Age]]&lt;=35,"25-35",IF(Table1[[#This Row],[Age]]&lt;=50,"36-50","50+")))</f>
        <v>36-50</v>
      </c>
    </row>
    <row r="247" spans="1:20" x14ac:dyDescent="0.3">
      <c r="A247" s="2" t="s">
        <v>466</v>
      </c>
      <c r="B247" s="2" t="s">
        <v>54</v>
      </c>
      <c r="C247" s="3">
        <v>41</v>
      </c>
      <c r="D247" s="2" t="s">
        <v>60</v>
      </c>
      <c r="E247" s="2" t="s">
        <v>33</v>
      </c>
      <c r="F247" s="2" t="s">
        <v>19</v>
      </c>
      <c r="G247" t="s">
        <v>69</v>
      </c>
      <c r="H247" t="s">
        <v>467</v>
      </c>
      <c r="I247" s="4">
        <v>941.58</v>
      </c>
      <c r="J247" s="3">
        <v>2</v>
      </c>
      <c r="K247" s="1">
        <v>45260</v>
      </c>
      <c r="L247" s="1" t="str">
        <f>TEXT(Table1[[#This Row],[Purchase_Date]],"YYYY")</f>
        <v>2023</v>
      </c>
      <c r="M247" s="1" t="str">
        <f>TEXT(Table1[[#This Row],[Purchase_Date]],"MMM")</f>
        <v>Nov</v>
      </c>
      <c r="N247" s="1" t="str">
        <f>TEXT(Table1[[#This Row],[Purchase_Date]],"DD")</f>
        <v>30</v>
      </c>
      <c r="O247" s="2" t="s">
        <v>36</v>
      </c>
      <c r="P247" s="3">
        <v>9</v>
      </c>
      <c r="Q247" s="2" t="s">
        <v>23</v>
      </c>
      <c r="R247" s="2" t="s">
        <v>47</v>
      </c>
      <c r="S247">
        <f>Table1[[#This Row],[Purchase_Amount]]*Table1[[#This Row],[Quantity]]</f>
        <v>1883.16</v>
      </c>
      <c r="T247" t="str">
        <f>IF(Table1[[#This Row],[Age]]&lt;25,"&lt;25",IF(Table1[[#This Row],[Age]]&lt;=35,"25-35",IF(Table1[[#This Row],[Age]]&lt;=50,"36-50","50+")))</f>
        <v>36-50</v>
      </c>
    </row>
    <row r="248" spans="1:20" x14ac:dyDescent="0.3">
      <c r="A248" s="2" t="s">
        <v>899</v>
      </c>
      <c r="B248" s="2" t="s">
        <v>54</v>
      </c>
      <c r="C248" s="3">
        <v>42</v>
      </c>
      <c r="D248" s="2" t="s">
        <v>64</v>
      </c>
      <c r="E248" s="2" t="s">
        <v>18</v>
      </c>
      <c r="F248" s="2" t="s">
        <v>44</v>
      </c>
      <c r="G248" t="s">
        <v>69</v>
      </c>
      <c r="H248" t="s">
        <v>333</v>
      </c>
      <c r="I248" s="4">
        <v>323.29000000000002</v>
      </c>
      <c r="J248" s="3">
        <v>4</v>
      </c>
      <c r="K248" s="1">
        <v>45181</v>
      </c>
      <c r="L248" s="1" t="str">
        <f>TEXT(Table1[[#This Row],[Purchase_Date]],"YYYY")</f>
        <v>2023</v>
      </c>
      <c r="M248" s="1" t="str">
        <f>TEXT(Table1[[#This Row],[Purchase_Date]],"MMM")</f>
        <v>Sep</v>
      </c>
      <c r="N248" s="1" t="str">
        <f>TEXT(Table1[[#This Row],[Purchase_Date]],"DD")</f>
        <v>12</v>
      </c>
      <c r="O248" s="2" t="s">
        <v>41</v>
      </c>
      <c r="P248" s="3">
        <v>2</v>
      </c>
      <c r="Q248" s="2" t="s">
        <v>23</v>
      </c>
      <c r="R248" s="2" t="s">
        <v>24</v>
      </c>
      <c r="S248">
        <f>Table1[[#This Row],[Purchase_Amount]]*Table1[[#This Row],[Quantity]]</f>
        <v>1293.1600000000001</v>
      </c>
      <c r="T248" t="str">
        <f>IF(Table1[[#This Row],[Age]]&lt;25,"&lt;25",IF(Table1[[#This Row],[Age]]&lt;=35,"25-35",IF(Table1[[#This Row],[Age]]&lt;=50,"36-50","50+")))</f>
        <v>36-50</v>
      </c>
    </row>
    <row r="249" spans="1:20" x14ac:dyDescent="0.3">
      <c r="A249" s="2" t="s">
        <v>1167</v>
      </c>
      <c r="B249" s="2" t="s">
        <v>54</v>
      </c>
      <c r="C249" s="3">
        <v>42</v>
      </c>
      <c r="D249" s="2" t="s">
        <v>64</v>
      </c>
      <c r="E249" s="2" t="s">
        <v>33</v>
      </c>
      <c r="F249" s="2" t="s">
        <v>44</v>
      </c>
      <c r="G249" t="s">
        <v>69</v>
      </c>
      <c r="H249" t="s">
        <v>253</v>
      </c>
      <c r="I249" s="4">
        <v>972.84</v>
      </c>
      <c r="J249" s="3">
        <v>1</v>
      </c>
      <c r="K249" s="1">
        <v>45154</v>
      </c>
      <c r="L249" s="1" t="str">
        <f>TEXT(Table1[[#This Row],[Purchase_Date]],"YYYY")</f>
        <v>2023</v>
      </c>
      <c r="M249" s="1" t="str">
        <f>TEXT(Table1[[#This Row],[Purchase_Date]],"MMM")</f>
        <v>Aug</v>
      </c>
      <c r="N249" s="1" t="str">
        <f>TEXT(Table1[[#This Row],[Purchase_Date]],"DD")</f>
        <v>16</v>
      </c>
      <c r="O249" s="2" t="s">
        <v>36</v>
      </c>
      <c r="P249" s="3">
        <v>5</v>
      </c>
      <c r="Q249" s="2" t="s">
        <v>23</v>
      </c>
      <c r="R249" s="2" t="s">
        <v>24</v>
      </c>
      <c r="S249">
        <f>Table1[[#This Row],[Purchase_Amount]]*Table1[[#This Row],[Quantity]]</f>
        <v>972.84</v>
      </c>
      <c r="T249" t="str">
        <f>IF(Table1[[#This Row],[Age]]&lt;25,"&lt;25",IF(Table1[[#This Row],[Age]]&lt;=35,"25-35",IF(Table1[[#This Row],[Age]]&lt;=50,"36-50","50+")))</f>
        <v>36-50</v>
      </c>
    </row>
    <row r="250" spans="1:20" x14ac:dyDescent="0.3">
      <c r="A250" s="2" t="s">
        <v>736</v>
      </c>
      <c r="B250" s="2" t="s">
        <v>54</v>
      </c>
      <c r="C250" s="3">
        <v>43</v>
      </c>
      <c r="D250" s="2" t="s">
        <v>78</v>
      </c>
      <c r="E250" s="2" t="s">
        <v>33</v>
      </c>
      <c r="F250" s="2" t="s">
        <v>27</v>
      </c>
      <c r="G250" t="s">
        <v>69</v>
      </c>
      <c r="H250" t="s">
        <v>302</v>
      </c>
      <c r="I250" s="4">
        <v>394.09</v>
      </c>
      <c r="J250" s="3">
        <v>2</v>
      </c>
      <c r="K250" s="1">
        <v>45162</v>
      </c>
      <c r="L250" s="1" t="str">
        <f>TEXT(Table1[[#This Row],[Purchase_Date]],"YYYY")</f>
        <v>2023</v>
      </c>
      <c r="M250" s="1" t="str">
        <f>TEXT(Table1[[#This Row],[Purchase_Date]],"MMM")</f>
        <v>Aug</v>
      </c>
      <c r="N250" s="1" t="str">
        <f>TEXT(Table1[[#This Row],[Purchase_Date]],"DD")</f>
        <v>24</v>
      </c>
      <c r="O250" s="2" t="s">
        <v>30</v>
      </c>
      <c r="P250" s="3">
        <v>6</v>
      </c>
      <c r="Q250" s="2" t="s">
        <v>23</v>
      </c>
      <c r="R250" s="2" t="s">
        <v>24</v>
      </c>
      <c r="S250">
        <f>Table1[[#This Row],[Purchase_Amount]]*Table1[[#This Row],[Quantity]]</f>
        <v>788.18</v>
      </c>
      <c r="T250" t="str">
        <f>IF(Table1[[#This Row],[Age]]&lt;25,"&lt;25",IF(Table1[[#This Row],[Age]]&lt;=35,"25-35",IF(Table1[[#This Row],[Age]]&lt;=50,"36-50","50+")))</f>
        <v>36-50</v>
      </c>
    </row>
    <row r="251" spans="1:20" x14ac:dyDescent="0.3">
      <c r="A251" s="2" t="s">
        <v>1053</v>
      </c>
      <c r="B251" s="2" t="s">
        <v>54</v>
      </c>
      <c r="C251" s="3">
        <v>46</v>
      </c>
      <c r="D251" s="2" t="s">
        <v>64</v>
      </c>
      <c r="E251" s="2" t="s">
        <v>18</v>
      </c>
      <c r="F251" s="2" t="s">
        <v>44</v>
      </c>
      <c r="G251" t="s">
        <v>69</v>
      </c>
      <c r="H251" t="s">
        <v>62</v>
      </c>
      <c r="I251" s="4">
        <v>300.98</v>
      </c>
      <c r="J251" s="3">
        <v>4</v>
      </c>
      <c r="K251" s="1">
        <v>45019</v>
      </c>
      <c r="L251" s="1" t="str">
        <f>TEXT(Table1[[#This Row],[Purchase_Date]],"YYYY")</f>
        <v>2023</v>
      </c>
      <c r="M251" s="1" t="str">
        <f>TEXT(Table1[[#This Row],[Purchase_Date]],"MMM")</f>
        <v>Apr</v>
      </c>
      <c r="N251" s="1" t="str">
        <f>TEXT(Table1[[#This Row],[Purchase_Date]],"DD")</f>
        <v>03</v>
      </c>
      <c r="O251" s="2" t="s">
        <v>36</v>
      </c>
      <c r="P251" s="3">
        <v>9</v>
      </c>
      <c r="Q251" s="2" t="s">
        <v>23</v>
      </c>
      <c r="R251" s="2" t="s">
        <v>24</v>
      </c>
      <c r="S251">
        <f>Table1[[#This Row],[Purchase_Amount]]*Table1[[#This Row],[Quantity]]</f>
        <v>1203.92</v>
      </c>
      <c r="T251" t="str">
        <f>IF(Table1[[#This Row],[Age]]&lt;25,"&lt;25",IF(Table1[[#This Row],[Age]]&lt;=35,"25-35",IF(Table1[[#This Row],[Age]]&lt;=50,"36-50","50+")))</f>
        <v>36-50</v>
      </c>
    </row>
    <row r="252" spans="1:20" x14ac:dyDescent="0.3">
      <c r="A252" s="2" t="s">
        <v>1188</v>
      </c>
      <c r="B252" s="2" t="s">
        <v>54</v>
      </c>
      <c r="C252" s="3">
        <v>46</v>
      </c>
      <c r="D252" s="2" t="s">
        <v>60</v>
      </c>
      <c r="E252" s="2" t="s">
        <v>49</v>
      </c>
      <c r="F252" s="2" t="s">
        <v>27</v>
      </c>
      <c r="G252" t="s">
        <v>69</v>
      </c>
      <c r="H252" t="s">
        <v>202</v>
      </c>
      <c r="I252" s="4">
        <v>427.09</v>
      </c>
      <c r="J252" s="3">
        <v>2</v>
      </c>
      <c r="K252" s="1">
        <v>45073</v>
      </c>
      <c r="L252" s="1" t="str">
        <f>TEXT(Table1[[#This Row],[Purchase_Date]],"YYYY")</f>
        <v>2023</v>
      </c>
      <c r="M252" s="1" t="str">
        <f>TEXT(Table1[[#This Row],[Purchase_Date]],"MMM")</f>
        <v>May</v>
      </c>
      <c r="N252" s="1" t="str">
        <f>TEXT(Table1[[#This Row],[Purchase_Date]],"DD")</f>
        <v>27</v>
      </c>
      <c r="O252" s="2" t="s">
        <v>22</v>
      </c>
      <c r="P252" s="3">
        <v>2</v>
      </c>
      <c r="Q252" s="2" t="s">
        <v>23</v>
      </c>
      <c r="R252" s="2" t="s">
        <v>47</v>
      </c>
      <c r="S252">
        <f>Table1[[#This Row],[Purchase_Amount]]*Table1[[#This Row],[Quantity]]</f>
        <v>854.18</v>
      </c>
      <c r="T252" t="str">
        <f>IF(Table1[[#This Row],[Age]]&lt;25,"&lt;25",IF(Table1[[#This Row],[Age]]&lt;=35,"25-35",IF(Table1[[#This Row],[Age]]&lt;=50,"36-50","50+")))</f>
        <v>36-50</v>
      </c>
    </row>
    <row r="253" spans="1:20" x14ac:dyDescent="0.3">
      <c r="A253" s="2" t="s">
        <v>971</v>
      </c>
      <c r="B253" s="2" t="s">
        <v>54</v>
      </c>
      <c r="C253" s="3">
        <v>46</v>
      </c>
      <c r="D253" s="2" t="s">
        <v>17</v>
      </c>
      <c r="E253" s="2" t="s">
        <v>49</v>
      </c>
      <c r="F253" s="2" t="s">
        <v>27</v>
      </c>
      <c r="G253" t="s">
        <v>69</v>
      </c>
      <c r="H253" t="s">
        <v>513</v>
      </c>
      <c r="I253" s="4">
        <v>967.07</v>
      </c>
      <c r="J253" s="3">
        <v>3</v>
      </c>
      <c r="K253" s="1">
        <v>45469</v>
      </c>
      <c r="L253" s="1" t="str">
        <f>TEXT(Table1[[#This Row],[Purchase_Date]],"YYYY")</f>
        <v>2024</v>
      </c>
      <c r="M253" s="1" t="str">
        <f>TEXT(Table1[[#This Row],[Purchase_Date]],"MMM")</f>
        <v>Jun</v>
      </c>
      <c r="N253" s="1" t="str">
        <f>TEXT(Table1[[#This Row],[Purchase_Date]],"DD")</f>
        <v>26</v>
      </c>
      <c r="O253" s="2" t="s">
        <v>36</v>
      </c>
      <c r="P253" s="3">
        <v>4</v>
      </c>
      <c r="Q253" s="2" t="s">
        <v>46</v>
      </c>
      <c r="R253" s="2" t="s">
        <v>24</v>
      </c>
      <c r="S253">
        <f>Table1[[#This Row],[Purchase_Amount]]*Table1[[#This Row],[Quantity]]</f>
        <v>2901.21</v>
      </c>
      <c r="T253" t="str">
        <f>IF(Table1[[#This Row],[Age]]&lt;25,"&lt;25",IF(Table1[[#This Row],[Age]]&lt;=35,"25-35",IF(Table1[[#This Row],[Age]]&lt;=50,"36-50","50+")))</f>
        <v>36-50</v>
      </c>
    </row>
    <row r="254" spans="1:20" x14ac:dyDescent="0.3">
      <c r="A254" s="2" t="s">
        <v>863</v>
      </c>
      <c r="B254" s="2" t="s">
        <v>54</v>
      </c>
      <c r="C254" s="3">
        <v>47</v>
      </c>
      <c r="D254" s="2" t="s">
        <v>32</v>
      </c>
      <c r="E254" s="2" t="s">
        <v>33</v>
      </c>
      <c r="F254" s="2" t="s">
        <v>27</v>
      </c>
      <c r="G254" t="s">
        <v>69</v>
      </c>
      <c r="H254" t="s">
        <v>859</v>
      </c>
      <c r="I254" s="4">
        <v>609.84</v>
      </c>
      <c r="J254" s="3">
        <v>3</v>
      </c>
      <c r="K254" s="1">
        <v>44932</v>
      </c>
      <c r="L254" s="1" t="str">
        <f>TEXT(Table1[[#This Row],[Purchase_Date]],"YYYY")</f>
        <v>2023</v>
      </c>
      <c r="M254" s="1" t="str">
        <f>TEXT(Table1[[#This Row],[Purchase_Date]],"MMM")</f>
        <v>Jan</v>
      </c>
      <c r="N254" s="1" t="str">
        <f>TEXT(Table1[[#This Row],[Purchase_Date]],"DD")</f>
        <v>06</v>
      </c>
      <c r="O254" s="2" t="s">
        <v>22</v>
      </c>
      <c r="P254" s="3">
        <v>1</v>
      </c>
      <c r="Q254" s="2" t="s">
        <v>23</v>
      </c>
      <c r="R254" s="2" t="s">
        <v>24</v>
      </c>
      <c r="S254">
        <f>Table1[[#This Row],[Purchase_Amount]]*Table1[[#This Row],[Quantity]]</f>
        <v>1829.52</v>
      </c>
      <c r="T254" t="str">
        <f>IF(Table1[[#This Row],[Age]]&lt;25,"&lt;25",IF(Table1[[#This Row],[Age]]&lt;=35,"25-35",IF(Table1[[#This Row],[Age]]&lt;=50,"36-50","50+")))</f>
        <v>36-50</v>
      </c>
    </row>
    <row r="255" spans="1:20" x14ac:dyDescent="0.3">
      <c r="A255" s="2" t="s">
        <v>1044</v>
      </c>
      <c r="B255" s="2" t="s">
        <v>54</v>
      </c>
      <c r="C255" s="3">
        <v>47</v>
      </c>
      <c r="D255" s="2" t="s">
        <v>43</v>
      </c>
      <c r="E255" s="2" t="s">
        <v>33</v>
      </c>
      <c r="F255" s="2" t="s">
        <v>27</v>
      </c>
      <c r="G255" t="s">
        <v>69</v>
      </c>
      <c r="H255" t="s">
        <v>85</v>
      </c>
      <c r="I255" s="4">
        <v>704.55</v>
      </c>
      <c r="J255" s="3">
        <v>4</v>
      </c>
      <c r="K255" s="1">
        <v>45294</v>
      </c>
      <c r="L255" s="1" t="str">
        <f>TEXT(Table1[[#This Row],[Purchase_Date]],"YYYY")</f>
        <v>2024</v>
      </c>
      <c r="M255" s="1" t="str">
        <f>TEXT(Table1[[#This Row],[Purchase_Date]],"MMM")</f>
        <v>Jan</v>
      </c>
      <c r="N255" s="1" t="str">
        <f>TEXT(Table1[[#This Row],[Purchase_Date]],"DD")</f>
        <v>03</v>
      </c>
      <c r="O255" s="2" t="s">
        <v>41</v>
      </c>
      <c r="P255" s="3">
        <v>1</v>
      </c>
      <c r="Q255" s="2" t="s">
        <v>23</v>
      </c>
      <c r="R255" s="2" t="s">
        <v>24</v>
      </c>
      <c r="S255">
        <f>Table1[[#This Row],[Purchase_Amount]]*Table1[[#This Row],[Quantity]]</f>
        <v>2818.2</v>
      </c>
      <c r="T255" t="str">
        <f>IF(Table1[[#This Row],[Age]]&lt;25,"&lt;25",IF(Table1[[#This Row],[Age]]&lt;=35,"25-35",IF(Table1[[#This Row],[Age]]&lt;=50,"36-50","50+")))</f>
        <v>36-50</v>
      </c>
    </row>
    <row r="256" spans="1:20" x14ac:dyDescent="0.3">
      <c r="A256" s="2" t="s">
        <v>919</v>
      </c>
      <c r="B256" s="2" t="s">
        <v>54</v>
      </c>
      <c r="C256" s="3">
        <v>51</v>
      </c>
      <c r="D256" s="2" t="s">
        <v>38</v>
      </c>
      <c r="E256" s="2" t="s">
        <v>49</v>
      </c>
      <c r="F256" s="2" t="s">
        <v>27</v>
      </c>
      <c r="G256" t="s">
        <v>69</v>
      </c>
      <c r="H256" t="s">
        <v>83</v>
      </c>
      <c r="I256" s="4">
        <v>995.47</v>
      </c>
      <c r="J256" s="3">
        <v>1</v>
      </c>
      <c r="K256" s="1">
        <v>45452</v>
      </c>
      <c r="L256" s="1" t="str">
        <f>TEXT(Table1[[#This Row],[Purchase_Date]],"YYYY")</f>
        <v>2024</v>
      </c>
      <c r="M256" s="1" t="str">
        <f>TEXT(Table1[[#This Row],[Purchase_Date]],"MMM")</f>
        <v>Jun</v>
      </c>
      <c r="N256" s="1" t="str">
        <f>TEXT(Table1[[#This Row],[Purchase_Date]],"DD")</f>
        <v>09</v>
      </c>
      <c r="O256" s="2" t="s">
        <v>22</v>
      </c>
      <c r="P256" s="3">
        <v>8</v>
      </c>
      <c r="Q256" s="2" t="s">
        <v>23</v>
      </c>
      <c r="R256" s="2" t="s">
        <v>24</v>
      </c>
      <c r="S256">
        <f>Table1[[#This Row],[Purchase_Amount]]*Table1[[#This Row],[Quantity]]</f>
        <v>995.47</v>
      </c>
      <c r="T256" t="str">
        <f>IF(Table1[[#This Row],[Age]]&lt;25,"&lt;25",IF(Table1[[#This Row],[Age]]&lt;=35,"25-35",IF(Table1[[#This Row],[Age]]&lt;=50,"36-50","50+")))</f>
        <v>50+</v>
      </c>
    </row>
    <row r="257" spans="1:20" x14ac:dyDescent="0.3">
      <c r="A257" s="2" t="s">
        <v>722</v>
      </c>
      <c r="B257" s="2" t="s">
        <v>54</v>
      </c>
      <c r="C257" s="3">
        <v>53</v>
      </c>
      <c r="D257" s="2" t="s">
        <v>32</v>
      </c>
      <c r="E257" s="2" t="s">
        <v>33</v>
      </c>
      <c r="F257" s="2" t="s">
        <v>19</v>
      </c>
      <c r="G257" t="s">
        <v>69</v>
      </c>
      <c r="H257" t="s">
        <v>255</v>
      </c>
      <c r="I257" s="4">
        <v>211.5</v>
      </c>
      <c r="J257" s="3">
        <v>1</v>
      </c>
      <c r="K257" s="1">
        <v>45332</v>
      </c>
      <c r="L257" s="1" t="str">
        <f>TEXT(Table1[[#This Row],[Purchase_Date]],"YYYY")</f>
        <v>2024</v>
      </c>
      <c r="M257" s="1" t="str">
        <f>TEXT(Table1[[#This Row],[Purchase_Date]],"MMM")</f>
        <v>Feb</v>
      </c>
      <c r="N257" s="1" t="str">
        <f>TEXT(Table1[[#This Row],[Purchase_Date]],"DD")</f>
        <v>10</v>
      </c>
      <c r="O257" s="2" t="s">
        <v>22</v>
      </c>
      <c r="P257" s="3">
        <v>9</v>
      </c>
      <c r="Q257" s="2" t="s">
        <v>23</v>
      </c>
      <c r="R257" s="2" t="s">
        <v>24</v>
      </c>
      <c r="S257">
        <f>Table1[[#This Row],[Purchase_Amount]]*Table1[[#This Row],[Quantity]]</f>
        <v>211.5</v>
      </c>
      <c r="T257" t="str">
        <f>IF(Table1[[#This Row],[Age]]&lt;25,"&lt;25",IF(Table1[[#This Row],[Age]]&lt;=35,"25-35",IF(Table1[[#This Row],[Age]]&lt;=50,"36-50","50+")))</f>
        <v>50+</v>
      </c>
    </row>
    <row r="258" spans="1:20" x14ac:dyDescent="0.3">
      <c r="A258" s="2" t="s">
        <v>270</v>
      </c>
      <c r="B258" s="2" t="s">
        <v>54</v>
      </c>
      <c r="C258" s="3">
        <v>56</v>
      </c>
      <c r="D258" s="2" t="s">
        <v>38</v>
      </c>
      <c r="E258" s="2" t="s">
        <v>49</v>
      </c>
      <c r="F258" s="2" t="s">
        <v>19</v>
      </c>
      <c r="G258" t="s">
        <v>69</v>
      </c>
      <c r="H258" t="s">
        <v>219</v>
      </c>
      <c r="I258" s="4">
        <v>79.83</v>
      </c>
      <c r="J258" s="3">
        <v>1</v>
      </c>
      <c r="K258" s="1">
        <v>45068</v>
      </c>
      <c r="L258" s="1" t="str">
        <f>TEXT(Table1[[#This Row],[Purchase_Date]],"YYYY")</f>
        <v>2023</v>
      </c>
      <c r="M258" s="1" t="str">
        <f>TEXT(Table1[[#This Row],[Purchase_Date]],"MMM")</f>
        <v>May</v>
      </c>
      <c r="N258" s="1" t="str">
        <f>TEXT(Table1[[#This Row],[Purchase_Date]],"DD")</f>
        <v>22</v>
      </c>
      <c r="O258" s="2" t="s">
        <v>41</v>
      </c>
      <c r="P258" s="3">
        <v>8</v>
      </c>
      <c r="Q258" s="2" t="s">
        <v>23</v>
      </c>
      <c r="R258" s="2" t="s">
        <v>24</v>
      </c>
      <c r="S258">
        <f>Table1[[#This Row],[Purchase_Amount]]*Table1[[#This Row],[Quantity]]</f>
        <v>79.83</v>
      </c>
      <c r="T258" t="str">
        <f>IF(Table1[[#This Row],[Age]]&lt;25,"&lt;25",IF(Table1[[#This Row],[Age]]&lt;=35,"25-35",IF(Table1[[#This Row],[Age]]&lt;=50,"36-50","50+")))</f>
        <v>50+</v>
      </c>
    </row>
    <row r="259" spans="1:20" x14ac:dyDescent="0.3">
      <c r="A259" s="2" t="s">
        <v>843</v>
      </c>
      <c r="B259" s="2" t="s">
        <v>54</v>
      </c>
      <c r="C259" s="3">
        <v>56</v>
      </c>
      <c r="D259" s="2" t="s">
        <v>60</v>
      </c>
      <c r="E259" s="2" t="s">
        <v>18</v>
      </c>
      <c r="F259" s="2" t="s">
        <v>44</v>
      </c>
      <c r="G259" t="s">
        <v>69</v>
      </c>
      <c r="H259" t="s">
        <v>114</v>
      </c>
      <c r="I259" s="4">
        <v>349.6</v>
      </c>
      <c r="J259" s="3">
        <v>2</v>
      </c>
      <c r="K259" s="1">
        <v>45180</v>
      </c>
      <c r="L259" s="1" t="str">
        <f>TEXT(Table1[[#This Row],[Purchase_Date]],"YYYY")</f>
        <v>2023</v>
      </c>
      <c r="M259" s="1" t="str">
        <f>TEXT(Table1[[#This Row],[Purchase_Date]],"MMM")</f>
        <v>Sep</v>
      </c>
      <c r="N259" s="1" t="str">
        <f>TEXT(Table1[[#This Row],[Purchase_Date]],"DD")</f>
        <v>11</v>
      </c>
      <c r="O259" s="2" t="s">
        <v>41</v>
      </c>
      <c r="P259" s="3">
        <v>6</v>
      </c>
      <c r="Q259" s="2" t="s">
        <v>23</v>
      </c>
      <c r="R259" s="2" t="s">
        <v>24</v>
      </c>
      <c r="S259">
        <f>Table1[[#This Row],[Purchase_Amount]]*Table1[[#This Row],[Quantity]]</f>
        <v>699.2</v>
      </c>
      <c r="T259" t="str">
        <f>IF(Table1[[#This Row],[Age]]&lt;25,"&lt;25",IF(Table1[[#This Row],[Age]]&lt;=35,"25-35",IF(Table1[[#This Row],[Age]]&lt;=50,"36-50","50+")))</f>
        <v>50+</v>
      </c>
    </row>
    <row r="260" spans="1:20" x14ac:dyDescent="0.3">
      <c r="A260" s="2" t="s">
        <v>1132</v>
      </c>
      <c r="B260" s="2" t="s">
        <v>54</v>
      </c>
      <c r="C260" s="3">
        <v>56</v>
      </c>
      <c r="D260" s="2" t="s">
        <v>38</v>
      </c>
      <c r="E260" s="2" t="s">
        <v>49</v>
      </c>
      <c r="F260" s="2" t="s">
        <v>27</v>
      </c>
      <c r="G260" t="s">
        <v>69</v>
      </c>
      <c r="H260" t="s">
        <v>1133</v>
      </c>
      <c r="I260" s="4">
        <v>642.72</v>
      </c>
      <c r="J260" s="3">
        <v>2</v>
      </c>
      <c r="K260" s="1">
        <v>45143</v>
      </c>
      <c r="L260" s="1" t="str">
        <f>TEXT(Table1[[#This Row],[Purchase_Date]],"YYYY")</f>
        <v>2023</v>
      </c>
      <c r="M260" s="1" t="str">
        <f>TEXT(Table1[[#This Row],[Purchase_Date]],"MMM")</f>
        <v>Aug</v>
      </c>
      <c r="N260" s="1" t="str">
        <f>TEXT(Table1[[#This Row],[Purchase_Date]],"DD")</f>
        <v>05</v>
      </c>
      <c r="O260" s="2" t="s">
        <v>36</v>
      </c>
      <c r="P260" s="3">
        <v>10</v>
      </c>
      <c r="Q260" s="2" t="s">
        <v>23</v>
      </c>
      <c r="R260" s="2" t="s">
        <v>24</v>
      </c>
      <c r="S260">
        <f>Table1[[#This Row],[Purchase_Amount]]*Table1[[#This Row],[Quantity]]</f>
        <v>1285.44</v>
      </c>
      <c r="T260" t="str">
        <f>IF(Table1[[#This Row],[Age]]&lt;25,"&lt;25",IF(Table1[[#This Row],[Age]]&lt;=35,"25-35",IF(Table1[[#This Row],[Age]]&lt;=50,"36-50","50+")))</f>
        <v>50+</v>
      </c>
    </row>
    <row r="261" spans="1:20" x14ac:dyDescent="0.3">
      <c r="A261" s="2" t="s">
        <v>241</v>
      </c>
      <c r="B261" s="2" t="s">
        <v>54</v>
      </c>
      <c r="C261" s="3">
        <v>57</v>
      </c>
      <c r="D261" s="2" t="s">
        <v>60</v>
      </c>
      <c r="E261" s="2" t="s">
        <v>33</v>
      </c>
      <c r="F261" s="2" t="s">
        <v>27</v>
      </c>
      <c r="G261" t="s">
        <v>69</v>
      </c>
      <c r="H261" t="s">
        <v>158</v>
      </c>
      <c r="I261" s="4">
        <v>298.45</v>
      </c>
      <c r="J261" s="3">
        <v>2</v>
      </c>
      <c r="K261" s="1">
        <v>45384</v>
      </c>
      <c r="L261" s="1" t="str">
        <f>TEXT(Table1[[#This Row],[Purchase_Date]],"YYYY")</f>
        <v>2024</v>
      </c>
      <c r="M261" s="1" t="str">
        <f>TEXT(Table1[[#This Row],[Purchase_Date]],"MMM")</f>
        <v>Apr</v>
      </c>
      <c r="N261" s="1" t="str">
        <f>TEXT(Table1[[#This Row],[Purchase_Date]],"DD")</f>
        <v>02</v>
      </c>
      <c r="O261" s="2" t="s">
        <v>41</v>
      </c>
      <c r="P261" s="3">
        <v>2</v>
      </c>
      <c r="Q261" s="2" t="s">
        <v>23</v>
      </c>
      <c r="R261" s="2" t="s">
        <v>47</v>
      </c>
      <c r="S261">
        <f>Table1[[#This Row],[Purchase_Amount]]*Table1[[#This Row],[Quantity]]</f>
        <v>596.9</v>
      </c>
      <c r="T261" t="str">
        <f>IF(Table1[[#This Row],[Age]]&lt;25,"&lt;25",IF(Table1[[#This Row],[Age]]&lt;=35,"25-35",IF(Table1[[#This Row],[Age]]&lt;=50,"36-50","50+")))</f>
        <v>50+</v>
      </c>
    </row>
    <row r="262" spans="1:20" x14ac:dyDescent="0.3">
      <c r="A262" s="2" t="s">
        <v>980</v>
      </c>
      <c r="B262" s="2" t="s">
        <v>54</v>
      </c>
      <c r="C262" s="3">
        <v>57</v>
      </c>
      <c r="D262" s="2" t="s">
        <v>78</v>
      </c>
      <c r="E262" s="2" t="s">
        <v>49</v>
      </c>
      <c r="F262" s="2" t="s">
        <v>27</v>
      </c>
      <c r="G262" t="s">
        <v>69</v>
      </c>
      <c r="H262" t="s">
        <v>479</v>
      </c>
      <c r="I262" s="4">
        <v>690.89</v>
      </c>
      <c r="J262" s="3">
        <v>1</v>
      </c>
      <c r="K262" s="1">
        <v>45087</v>
      </c>
      <c r="L262" s="1" t="str">
        <f>TEXT(Table1[[#This Row],[Purchase_Date]],"YYYY")</f>
        <v>2023</v>
      </c>
      <c r="M262" s="1" t="str">
        <f>TEXT(Table1[[#This Row],[Purchase_Date]],"MMM")</f>
        <v>Jun</v>
      </c>
      <c r="N262" s="1" t="str">
        <f>TEXT(Table1[[#This Row],[Purchase_Date]],"DD")</f>
        <v>10</v>
      </c>
      <c r="O262" s="2" t="s">
        <v>22</v>
      </c>
      <c r="P262" s="3">
        <v>8</v>
      </c>
      <c r="Q262" s="2" t="s">
        <v>23</v>
      </c>
      <c r="R262" s="2" t="s">
        <v>24</v>
      </c>
      <c r="S262">
        <f>Table1[[#This Row],[Purchase_Amount]]*Table1[[#This Row],[Quantity]]</f>
        <v>690.89</v>
      </c>
      <c r="T262" t="str">
        <f>IF(Table1[[#This Row],[Age]]&lt;25,"&lt;25",IF(Table1[[#This Row],[Age]]&lt;=35,"25-35",IF(Table1[[#This Row],[Age]]&lt;=50,"36-50","50+")))</f>
        <v>50+</v>
      </c>
    </row>
    <row r="263" spans="1:20" x14ac:dyDescent="0.3">
      <c r="A263" s="2" t="s">
        <v>1077</v>
      </c>
      <c r="B263" s="2" t="s">
        <v>54</v>
      </c>
      <c r="C263" s="3">
        <v>58</v>
      </c>
      <c r="D263" s="2" t="s">
        <v>60</v>
      </c>
      <c r="E263" s="2" t="s">
        <v>49</v>
      </c>
      <c r="F263" s="2" t="s">
        <v>27</v>
      </c>
      <c r="G263" t="s">
        <v>69</v>
      </c>
      <c r="H263" t="s">
        <v>1046</v>
      </c>
      <c r="I263" s="4">
        <v>317.13</v>
      </c>
      <c r="J263" s="3">
        <v>1</v>
      </c>
      <c r="K263" s="1">
        <v>45319</v>
      </c>
      <c r="L263" s="1" t="str">
        <f>TEXT(Table1[[#This Row],[Purchase_Date]],"YYYY")</f>
        <v>2024</v>
      </c>
      <c r="M263" s="1" t="str">
        <f>TEXT(Table1[[#This Row],[Purchase_Date]],"MMM")</f>
        <v>Jan</v>
      </c>
      <c r="N263" s="1" t="str">
        <f>TEXT(Table1[[#This Row],[Purchase_Date]],"DD")</f>
        <v>28</v>
      </c>
      <c r="O263" s="2" t="s">
        <v>22</v>
      </c>
      <c r="P263" s="3">
        <v>4</v>
      </c>
      <c r="Q263" s="2" t="s">
        <v>46</v>
      </c>
      <c r="R263" s="2" t="s">
        <v>24</v>
      </c>
      <c r="S263">
        <f>Table1[[#This Row],[Purchase_Amount]]*Table1[[#This Row],[Quantity]]</f>
        <v>317.13</v>
      </c>
      <c r="T263" t="str">
        <f>IF(Table1[[#This Row],[Age]]&lt;25,"&lt;25",IF(Table1[[#This Row],[Age]]&lt;=35,"25-35",IF(Table1[[#This Row],[Age]]&lt;=50,"36-50","50+")))</f>
        <v>50+</v>
      </c>
    </row>
    <row r="264" spans="1:20" x14ac:dyDescent="0.3">
      <c r="A264" s="2" t="s">
        <v>871</v>
      </c>
      <c r="B264" s="2" t="s">
        <v>54</v>
      </c>
      <c r="C264" s="3">
        <v>63</v>
      </c>
      <c r="D264" s="2" t="s">
        <v>43</v>
      </c>
      <c r="E264" s="2" t="s">
        <v>33</v>
      </c>
      <c r="F264" s="2" t="s">
        <v>44</v>
      </c>
      <c r="G264" t="s">
        <v>69</v>
      </c>
      <c r="H264" t="s">
        <v>171</v>
      </c>
      <c r="I264" s="4">
        <v>540.19000000000005</v>
      </c>
      <c r="J264" s="3">
        <v>3</v>
      </c>
      <c r="K264" s="1">
        <v>45295</v>
      </c>
      <c r="L264" s="1" t="str">
        <f>TEXT(Table1[[#This Row],[Purchase_Date]],"YYYY")</f>
        <v>2024</v>
      </c>
      <c r="M264" s="1" t="str">
        <f>TEXT(Table1[[#This Row],[Purchase_Date]],"MMM")</f>
        <v>Jan</v>
      </c>
      <c r="N264" s="1" t="str">
        <f>TEXT(Table1[[#This Row],[Purchase_Date]],"DD")</f>
        <v>04</v>
      </c>
      <c r="O264" s="2" t="s">
        <v>36</v>
      </c>
      <c r="P264" s="3">
        <v>4</v>
      </c>
      <c r="Q264" s="2" t="s">
        <v>23</v>
      </c>
      <c r="R264" s="2" t="s">
        <v>24</v>
      </c>
      <c r="S264">
        <f>Table1[[#This Row],[Purchase_Amount]]*Table1[[#This Row],[Quantity]]</f>
        <v>1620.5700000000002</v>
      </c>
      <c r="T264" t="str">
        <f>IF(Table1[[#This Row],[Age]]&lt;25,"&lt;25",IF(Table1[[#This Row],[Age]]&lt;=35,"25-35",IF(Table1[[#This Row],[Age]]&lt;=50,"36-50","50+")))</f>
        <v>50+</v>
      </c>
    </row>
    <row r="265" spans="1:20" x14ac:dyDescent="0.3">
      <c r="A265" s="2" t="s">
        <v>423</v>
      </c>
      <c r="B265" s="2" t="s">
        <v>54</v>
      </c>
      <c r="C265" s="3">
        <v>63</v>
      </c>
      <c r="D265" s="2" t="s">
        <v>38</v>
      </c>
      <c r="E265" s="2" t="s">
        <v>18</v>
      </c>
      <c r="F265" s="2" t="s">
        <v>27</v>
      </c>
      <c r="G265" t="s">
        <v>69</v>
      </c>
      <c r="H265" t="s">
        <v>117</v>
      </c>
      <c r="I265" s="4">
        <v>551.21</v>
      </c>
      <c r="J265" s="3">
        <v>2</v>
      </c>
      <c r="K265" s="1">
        <v>45109</v>
      </c>
      <c r="L265" s="1" t="str">
        <f>TEXT(Table1[[#This Row],[Purchase_Date]],"YYYY")</f>
        <v>2023</v>
      </c>
      <c r="M265" s="1" t="str">
        <f>TEXT(Table1[[#This Row],[Purchase_Date]],"MMM")</f>
        <v>Jul</v>
      </c>
      <c r="N265" s="1" t="str">
        <f>TEXT(Table1[[#This Row],[Purchase_Date]],"DD")</f>
        <v>02</v>
      </c>
      <c r="O265" s="2" t="s">
        <v>30</v>
      </c>
      <c r="P265" s="3">
        <v>6</v>
      </c>
      <c r="Q265" s="2" t="s">
        <v>23</v>
      </c>
      <c r="R265" s="2" t="s">
        <v>47</v>
      </c>
      <c r="S265">
        <f>Table1[[#This Row],[Purchase_Amount]]*Table1[[#This Row],[Quantity]]</f>
        <v>1102.42</v>
      </c>
      <c r="T265" t="str">
        <f>IF(Table1[[#This Row],[Age]]&lt;25,"&lt;25",IF(Table1[[#This Row],[Age]]&lt;=35,"25-35",IF(Table1[[#This Row],[Age]]&lt;=50,"36-50","50+")))</f>
        <v>50+</v>
      </c>
    </row>
    <row r="266" spans="1:20" x14ac:dyDescent="0.3">
      <c r="A266" s="2" t="s">
        <v>1219</v>
      </c>
      <c r="B266" s="2" t="s">
        <v>54</v>
      </c>
      <c r="C266" s="3">
        <v>64</v>
      </c>
      <c r="D266" s="2" t="s">
        <v>38</v>
      </c>
      <c r="E266" s="2" t="s">
        <v>18</v>
      </c>
      <c r="F266" s="2" t="s">
        <v>27</v>
      </c>
      <c r="G266" t="s">
        <v>69</v>
      </c>
      <c r="H266" t="s">
        <v>298</v>
      </c>
      <c r="I266" s="4">
        <v>281.47000000000003</v>
      </c>
      <c r="J266" s="3">
        <v>3</v>
      </c>
      <c r="K266" s="1">
        <v>45124</v>
      </c>
      <c r="L266" s="1" t="str">
        <f>TEXT(Table1[[#This Row],[Purchase_Date]],"YYYY")</f>
        <v>2023</v>
      </c>
      <c r="M266" s="1" t="str">
        <f>TEXT(Table1[[#This Row],[Purchase_Date]],"MMM")</f>
        <v>Jul</v>
      </c>
      <c r="N266" s="1" t="str">
        <f>TEXT(Table1[[#This Row],[Purchase_Date]],"DD")</f>
        <v>17</v>
      </c>
      <c r="O266" s="2" t="s">
        <v>41</v>
      </c>
      <c r="P266" s="3">
        <v>2</v>
      </c>
      <c r="Q266" s="2" t="s">
        <v>23</v>
      </c>
      <c r="R266" s="2" t="s">
        <v>24</v>
      </c>
      <c r="S266">
        <f>Table1[[#This Row],[Purchase_Amount]]*Table1[[#This Row],[Quantity]]</f>
        <v>844.41000000000008</v>
      </c>
      <c r="T266" t="str">
        <f>IF(Table1[[#This Row],[Age]]&lt;25,"&lt;25",IF(Table1[[#This Row],[Age]]&lt;=35,"25-35",IF(Table1[[#This Row],[Age]]&lt;=50,"36-50","50+")))</f>
        <v>50+</v>
      </c>
    </row>
    <row r="267" spans="1:20" x14ac:dyDescent="0.3">
      <c r="A267" s="2" t="s">
        <v>486</v>
      </c>
      <c r="B267" s="2" t="s">
        <v>54</v>
      </c>
      <c r="C267" s="3">
        <v>66</v>
      </c>
      <c r="D267" s="2" t="s">
        <v>64</v>
      </c>
      <c r="E267" s="2" t="s">
        <v>49</v>
      </c>
      <c r="F267" s="2" t="s">
        <v>27</v>
      </c>
      <c r="G267" t="s">
        <v>69</v>
      </c>
      <c r="H267" t="s">
        <v>101</v>
      </c>
      <c r="I267" s="4">
        <v>550.24</v>
      </c>
      <c r="J267" s="3">
        <v>1</v>
      </c>
      <c r="K267" s="1">
        <v>45088</v>
      </c>
      <c r="L267" s="1" t="str">
        <f>TEXT(Table1[[#This Row],[Purchase_Date]],"YYYY")</f>
        <v>2023</v>
      </c>
      <c r="M267" s="1" t="str">
        <f>TEXT(Table1[[#This Row],[Purchase_Date]],"MMM")</f>
        <v>Jun</v>
      </c>
      <c r="N267" s="1" t="str">
        <f>TEXT(Table1[[#This Row],[Purchase_Date]],"DD")</f>
        <v>11</v>
      </c>
      <c r="O267" s="2" t="s">
        <v>36</v>
      </c>
      <c r="P267" s="3">
        <v>8</v>
      </c>
      <c r="Q267" s="2" t="s">
        <v>23</v>
      </c>
      <c r="R267" s="2" t="s">
        <v>47</v>
      </c>
      <c r="S267">
        <f>Table1[[#This Row],[Purchase_Amount]]*Table1[[#This Row],[Quantity]]</f>
        <v>550.24</v>
      </c>
      <c r="T267" t="str">
        <f>IF(Table1[[#This Row],[Age]]&lt;25,"&lt;25",IF(Table1[[#This Row],[Age]]&lt;=35,"25-35",IF(Table1[[#This Row],[Age]]&lt;=50,"36-50","50+")))</f>
        <v>50+</v>
      </c>
    </row>
    <row r="268" spans="1:20" x14ac:dyDescent="0.3">
      <c r="A268" s="2" t="s">
        <v>524</v>
      </c>
      <c r="B268" s="2" t="s">
        <v>54</v>
      </c>
      <c r="C268" s="3">
        <v>67</v>
      </c>
      <c r="D268" s="2" t="s">
        <v>43</v>
      </c>
      <c r="E268" s="2" t="s">
        <v>18</v>
      </c>
      <c r="F268" s="2" t="s">
        <v>27</v>
      </c>
      <c r="G268" t="s">
        <v>69</v>
      </c>
      <c r="H268" t="s">
        <v>158</v>
      </c>
      <c r="I268" s="4">
        <v>772.05</v>
      </c>
      <c r="J268" s="3">
        <v>1</v>
      </c>
      <c r="K268" s="1">
        <v>45023</v>
      </c>
      <c r="L268" s="1" t="str">
        <f>TEXT(Table1[[#This Row],[Purchase_Date]],"YYYY")</f>
        <v>2023</v>
      </c>
      <c r="M268" s="1" t="str">
        <f>TEXT(Table1[[#This Row],[Purchase_Date]],"MMM")</f>
        <v>Apr</v>
      </c>
      <c r="N268" s="1" t="str">
        <f>TEXT(Table1[[#This Row],[Purchase_Date]],"DD")</f>
        <v>07</v>
      </c>
      <c r="O268" s="2" t="s">
        <v>41</v>
      </c>
      <c r="P268" s="3">
        <v>9</v>
      </c>
      <c r="Q268" s="2" t="s">
        <v>23</v>
      </c>
      <c r="R268" s="2" t="s">
        <v>47</v>
      </c>
      <c r="S268">
        <f>Table1[[#This Row],[Purchase_Amount]]*Table1[[#This Row],[Quantity]]</f>
        <v>772.05</v>
      </c>
      <c r="T268" t="str">
        <f>IF(Table1[[#This Row],[Age]]&lt;25,"&lt;25",IF(Table1[[#This Row],[Age]]&lt;=35,"25-35",IF(Table1[[#This Row],[Age]]&lt;=50,"36-50","50+")))</f>
        <v>50+</v>
      </c>
    </row>
    <row r="269" spans="1:20" x14ac:dyDescent="0.3">
      <c r="A269" s="2" t="s">
        <v>521</v>
      </c>
      <c r="B269" s="2" t="s">
        <v>54</v>
      </c>
      <c r="C269" s="3">
        <v>68</v>
      </c>
      <c r="D269" s="2" t="s">
        <v>32</v>
      </c>
      <c r="E269" s="2" t="s">
        <v>18</v>
      </c>
      <c r="F269" s="2" t="s">
        <v>44</v>
      </c>
      <c r="G269" t="s">
        <v>69</v>
      </c>
      <c r="H269" t="s">
        <v>522</v>
      </c>
      <c r="I269" s="4">
        <v>604.25</v>
      </c>
      <c r="J269" s="3">
        <v>4</v>
      </c>
      <c r="K269" s="1">
        <v>45406</v>
      </c>
      <c r="L269" s="1" t="str">
        <f>TEXT(Table1[[#This Row],[Purchase_Date]],"YYYY")</f>
        <v>2024</v>
      </c>
      <c r="M269" s="1" t="str">
        <f>TEXT(Table1[[#This Row],[Purchase_Date]],"MMM")</f>
        <v>Apr</v>
      </c>
      <c r="N269" s="1" t="str">
        <f>TEXT(Table1[[#This Row],[Purchase_Date]],"DD")</f>
        <v>24</v>
      </c>
      <c r="O269" s="2" t="s">
        <v>41</v>
      </c>
      <c r="P269" s="3">
        <v>4</v>
      </c>
      <c r="Q269" s="2" t="s">
        <v>46</v>
      </c>
      <c r="R269" s="2" t="s">
        <v>47</v>
      </c>
      <c r="S269">
        <f>Table1[[#This Row],[Purchase_Amount]]*Table1[[#This Row],[Quantity]]</f>
        <v>2417</v>
      </c>
      <c r="T269" t="str">
        <f>IF(Table1[[#This Row],[Age]]&lt;25,"&lt;25",IF(Table1[[#This Row],[Age]]&lt;=35,"25-35",IF(Table1[[#This Row],[Age]]&lt;=50,"36-50","50+")))</f>
        <v>50+</v>
      </c>
    </row>
    <row r="270" spans="1:20" x14ac:dyDescent="0.3">
      <c r="A270" s="2" t="s">
        <v>352</v>
      </c>
      <c r="B270" s="2" t="s">
        <v>54</v>
      </c>
      <c r="C270" s="3">
        <v>68</v>
      </c>
      <c r="D270" s="2" t="s">
        <v>43</v>
      </c>
      <c r="E270" s="2" t="s">
        <v>18</v>
      </c>
      <c r="F270" s="2" t="s">
        <v>27</v>
      </c>
      <c r="G270" t="s">
        <v>69</v>
      </c>
      <c r="H270" t="s">
        <v>52</v>
      </c>
      <c r="I270" s="4">
        <v>631.39</v>
      </c>
      <c r="J270" s="3">
        <v>1</v>
      </c>
      <c r="K270" s="1">
        <v>45246</v>
      </c>
      <c r="L270" s="1" t="str">
        <f>TEXT(Table1[[#This Row],[Purchase_Date]],"YYYY")</f>
        <v>2023</v>
      </c>
      <c r="M270" s="1" t="str">
        <f>TEXT(Table1[[#This Row],[Purchase_Date]],"MMM")</f>
        <v>Nov</v>
      </c>
      <c r="N270" s="1" t="str">
        <f>TEXT(Table1[[#This Row],[Purchase_Date]],"DD")</f>
        <v>16</v>
      </c>
      <c r="O270" s="2" t="s">
        <v>41</v>
      </c>
      <c r="P270" s="3">
        <v>9</v>
      </c>
      <c r="Q270" s="2" t="s">
        <v>23</v>
      </c>
      <c r="R270" s="2" t="s">
        <v>47</v>
      </c>
      <c r="S270">
        <f>Table1[[#This Row],[Purchase_Amount]]*Table1[[#This Row],[Quantity]]</f>
        <v>631.39</v>
      </c>
      <c r="T270" t="str">
        <f>IF(Table1[[#This Row],[Age]]&lt;25,"&lt;25",IF(Table1[[#This Row],[Age]]&lt;=35,"25-35",IF(Table1[[#This Row],[Age]]&lt;=50,"36-50","50+")))</f>
        <v>50+</v>
      </c>
    </row>
    <row r="271" spans="1:20" x14ac:dyDescent="0.3">
      <c r="A271" s="2" t="s">
        <v>199</v>
      </c>
      <c r="B271" s="2" t="s">
        <v>54</v>
      </c>
      <c r="C271" s="3">
        <v>18</v>
      </c>
      <c r="D271" s="2" t="s">
        <v>38</v>
      </c>
      <c r="E271" s="2" t="s">
        <v>33</v>
      </c>
      <c r="F271" s="2" t="s">
        <v>44</v>
      </c>
      <c r="G271" t="s">
        <v>34</v>
      </c>
      <c r="H271" t="s">
        <v>200</v>
      </c>
      <c r="I271" s="4">
        <v>780.27</v>
      </c>
      <c r="J271" s="3">
        <v>4</v>
      </c>
      <c r="K271" s="1">
        <v>45109</v>
      </c>
      <c r="L271" s="1" t="str">
        <f>TEXT(Table1[[#This Row],[Purchase_Date]],"YYYY")</f>
        <v>2023</v>
      </c>
      <c r="M271" s="1" t="str">
        <f>TEXT(Table1[[#This Row],[Purchase_Date]],"MMM")</f>
        <v>Jul</v>
      </c>
      <c r="N271" s="1" t="str">
        <f>TEXT(Table1[[#This Row],[Purchase_Date]],"DD")</f>
        <v>02</v>
      </c>
      <c r="O271" s="2" t="s">
        <v>30</v>
      </c>
      <c r="P271" s="3">
        <v>4</v>
      </c>
      <c r="Q271" s="2" t="s">
        <v>23</v>
      </c>
      <c r="R271" s="2" t="s">
        <v>24</v>
      </c>
      <c r="S271">
        <f>Table1[[#This Row],[Purchase_Amount]]*Table1[[#This Row],[Quantity]]</f>
        <v>3121.08</v>
      </c>
      <c r="T271" t="str">
        <f>IF(Table1[[#This Row],[Age]]&lt;25,"&lt;25",IF(Table1[[#This Row],[Age]]&lt;=35,"25-35",IF(Table1[[#This Row],[Age]]&lt;=50,"36-50","50+")))</f>
        <v>&lt;25</v>
      </c>
    </row>
    <row r="272" spans="1:20" x14ac:dyDescent="0.3">
      <c r="A272" s="2" t="s">
        <v>1207</v>
      </c>
      <c r="B272" s="2" t="s">
        <v>54</v>
      </c>
      <c r="C272" s="3">
        <v>19</v>
      </c>
      <c r="D272" s="2" t="s">
        <v>32</v>
      </c>
      <c r="E272" s="2" t="s">
        <v>33</v>
      </c>
      <c r="F272" s="2" t="s">
        <v>27</v>
      </c>
      <c r="G272" t="s">
        <v>34</v>
      </c>
      <c r="H272" t="s">
        <v>304</v>
      </c>
      <c r="I272" s="4">
        <v>196.35</v>
      </c>
      <c r="J272" s="3">
        <v>4</v>
      </c>
      <c r="K272" s="1">
        <v>45516</v>
      </c>
      <c r="L272" s="1" t="str">
        <f>TEXT(Table1[[#This Row],[Purchase_Date]],"YYYY")</f>
        <v>2024</v>
      </c>
      <c r="M272" s="1" t="str">
        <f>TEXT(Table1[[#This Row],[Purchase_Date]],"MMM")</f>
        <v>Aug</v>
      </c>
      <c r="N272" s="1" t="str">
        <f>TEXT(Table1[[#This Row],[Purchase_Date]],"DD")</f>
        <v>12</v>
      </c>
      <c r="O272" s="2" t="s">
        <v>30</v>
      </c>
      <c r="P272" s="3">
        <v>6</v>
      </c>
      <c r="Q272" s="2" t="s">
        <v>23</v>
      </c>
      <c r="R272" s="2" t="s">
        <v>24</v>
      </c>
      <c r="S272">
        <f>Table1[[#This Row],[Purchase_Amount]]*Table1[[#This Row],[Quantity]]</f>
        <v>785.4</v>
      </c>
      <c r="T272" t="str">
        <f>IF(Table1[[#This Row],[Age]]&lt;25,"&lt;25",IF(Table1[[#This Row],[Age]]&lt;=35,"25-35",IF(Table1[[#This Row],[Age]]&lt;=50,"36-50","50+")))</f>
        <v>&lt;25</v>
      </c>
    </row>
    <row r="273" spans="1:20" x14ac:dyDescent="0.3">
      <c r="A273" s="2" t="s">
        <v>156</v>
      </c>
      <c r="B273" s="2" t="s">
        <v>54</v>
      </c>
      <c r="C273" s="3">
        <v>19</v>
      </c>
      <c r="D273" s="2" t="s">
        <v>64</v>
      </c>
      <c r="E273" s="2" t="s">
        <v>33</v>
      </c>
      <c r="F273" s="2" t="s">
        <v>44</v>
      </c>
      <c r="G273" t="s">
        <v>34</v>
      </c>
      <c r="H273" t="s">
        <v>56</v>
      </c>
      <c r="I273" s="4">
        <v>726.79</v>
      </c>
      <c r="J273" s="3">
        <v>4</v>
      </c>
      <c r="K273" s="1">
        <v>45223</v>
      </c>
      <c r="L273" s="1" t="str">
        <f>TEXT(Table1[[#This Row],[Purchase_Date]],"YYYY")</f>
        <v>2023</v>
      </c>
      <c r="M273" s="1" t="str">
        <f>TEXT(Table1[[#This Row],[Purchase_Date]],"MMM")</f>
        <v>Oct</v>
      </c>
      <c r="N273" s="1" t="str">
        <f>TEXT(Table1[[#This Row],[Purchase_Date]],"DD")</f>
        <v>24</v>
      </c>
      <c r="O273" s="2" t="s">
        <v>30</v>
      </c>
      <c r="P273" s="3">
        <v>10</v>
      </c>
      <c r="Q273" s="2" t="s">
        <v>23</v>
      </c>
      <c r="R273" s="2" t="s">
        <v>24</v>
      </c>
      <c r="S273">
        <f>Table1[[#This Row],[Purchase_Amount]]*Table1[[#This Row],[Quantity]]</f>
        <v>2907.16</v>
      </c>
      <c r="T273" t="str">
        <f>IF(Table1[[#This Row],[Age]]&lt;25,"&lt;25",IF(Table1[[#This Row],[Age]]&lt;=35,"25-35",IF(Table1[[#This Row],[Age]]&lt;=50,"36-50","50+")))</f>
        <v>&lt;25</v>
      </c>
    </row>
    <row r="274" spans="1:20" x14ac:dyDescent="0.3">
      <c r="A274" s="2" t="s">
        <v>613</v>
      </c>
      <c r="B274" s="2" t="s">
        <v>54</v>
      </c>
      <c r="C274" s="3">
        <v>20</v>
      </c>
      <c r="D274" s="2" t="s">
        <v>109</v>
      </c>
      <c r="E274" s="2" t="s">
        <v>49</v>
      </c>
      <c r="F274" s="2" t="s">
        <v>44</v>
      </c>
      <c r="G274" t="s">
        <v>34</v>
      </c>
      <c r="H274" t="s">
        <v>345</v>
      </c>
      <c r="I274" s="4">
        <v>342.96</v>
      </c>
      <c r="J274" s="3">
        <v>4</v>
      </c>
      <c r="K274" s="1">
        <v>45181</v>
      </c>
      <c r="L274" s="1" t="str">
        <f>TEXT(Table1[[#This Row],[Purchase_Date]],"YYYY")</f>
        <v>2023</v>
      </c>
      <c r="M274" s="1" t="str">
        <f>TEXT(Table1[[#This Row],[Purchase_Date]],"MMM")</f>
        <v>Sep</v>
      </c>
      <c r="N274" s="1" t="str">
        <f>TEXT(Table1[[#This Row],[Purchase_Date]],"DD")</f>
        <v>12</v>
      </c>
      <c r="O274" s="2" t="s">
        <v>41</v>
      </c>
      <c r="P274" s="3">
        <v>8</v>
      </c>
      <c r="Q274" s="2" t="s">
        <v>23</v>
      </c>
      <c r="R274" s="2" t="s">
        <v>24</v>
      </c>
      <c r="S274">
        <f>Table1[[#This Row],[Purchase_Amount]]*Table1[[#This Row],[Quantity]]</f>
        <v>1371.84</v>
      </c>
      <c r="T274" t="str">
        <f>IF(Table1[[#This Row],[Age]]&lt;25,"&lt;25",IF(Table1[[#This Row],[Age]]&lt;=35,"25-35",IF(Table1[[#This Row],[Age]]&lt;=50,"36-50","50+")))</f>
        <v>&lt;25</v>
      </c>
    </row>
    <row r="275" spans="1:20" x14ac:dyDescent="0.3">
      <c r="A275" s="2" t="s">
        <v>275</v>
      </c>
      <c r="B275" s="2" t="s">
        <v>54</v>
      </c>
      <c r="C275" s="3">
        <v>20</v>
      </c>
      <c r="D275" s="2" t="s">
        <v>17</v>
      </c>
      <c r="E275" s="2" t="s">
        <v>49</v>
      </c>
      <c r="F275" s="2" t="s">
        <v>44</v>
      </c>
      <c r="G275" t="s">
        <v>34</v>
      </c>
      <c r="H275" t="s">
        <v>276</v>
      </c>
      <c r="I275" s="4">
        <v>549.17999999999995</v>
      </c>
      <c r="J275" s="3">
        <v>1</v>
      </c>
      <c r="K275" s="1">
        <v>45310</v>
      </c>
      <c r="L275" s="1" t="str">
        <f>TEXT(Table1[[#This Row],[Purchase_Date]],"YYYY")</f>
        <v>2024</v>
      </c>
      <c r="M275" s="1" t="str">
        <f>TEXT(Table1[[#This Row],[Purchase_Date]],"MMM")</f>
        <v>Jan</v>
      </c>
      <c r="N275" s="1" t="str">
        <f>TEXT(Table1[[#This Row],[Purchase_Date]],"DD")</f>
        <v>19</v>
      </c>
      <c r="O275" s="2" t="s">
        <v>30</v>
      </c>
      <c r="P275" s="3">
        <v>10</v>
      </c>
      <c r="Q275" s="2" t="s">
        <v>23</v>
      </c>
      <c r="R275" s="2" t="s">
        <v>24</v>
      </c>
      <c r="S275">
        <f>Table1[[#This Row],[Purchase_Amount]]*Table1[[#This Row],[Quantity]]</f>
        <v>549.17999999999995</v>
      </c>
      <c r="T275" t="str">
        <f>IF(Table1[[#This Row],[Age]]&lt;25,"&lt;25",IF(Table1[[#This Row],[Age]]&lt;=35,"25-35",IF(Table1[[#This Row],[Age]]&lt;=50,"36-50","50+")))</f>
        <v>&lt;25</v>
      </c>
    </row>
    <row r="276" spans="1:20" x14ac:dyDescent="0.3">
      <c r="A276" s="2" t="s">
        <v>989</v>
      </c>
      <c r="B276" s="2" t="s">
        <v>54</v>
      </c>
      <c r="C276" s="3">
        <v>22</v>
      </c>
      <c r="D276" s="2" t="s">
        <v>43</v>
      </c>
      <c r="E276" s="2" t="s">
        <v>33</v>
      </c>
      <c r="F276" s="2" t="s">
        <v>27</v>
      </c>
      <c r="G276" t="s">
        <v>34</v>
      </c>
      <c r="H276" t="s">
        <v>691</v>
      </c>
      <c r="I276" s="4">
        <v>327.52999999999997</v>
      </c>
      <c r="J276" s="3">
        <v>2</v>
      </c>
      <c r="K276" s="1">
        <v>45269</v>
      </c>
      <c r="L276" s="1" t="str">
        <f>TEXT(Table1[[#This Row],[Purchase_Date]],"YYYY")</f>
        <v>2023</v>
      </c>
      <c r="M276" s="1" t="str">
        <f>TEXT(Table1[[#This Row],[Purchase_Date]],"MMM")</f>
        <v>Dec</v>
      </c>
      <c r="N276" s="1" t="str">
        <f>TEXT(Table1[[#This Row],[Purchase_Date]],"DD")</f>
        <v>09</v>
      </c>
      <c r="O276" s="2" t="s">
        <v>36</v>
      </c>
      <c r="P276" s="3">
        <v>3</v>
      </c>
      <c r="Q276" s="2" t="s">
        <v>23</v>
      </c>
      <c r="R276" s="2" t="s">
        <v>24</v>
      </c>
      <c r="S276">
        <f>Table1[[#This Row],[Purchase_Amount]]*Table1[[#This Row],[Quantity]]</f>
        <v>655.05999999999995</v>
      </c>
      <c r="T276" t="str">
        <f>IF(Table1[[#This Row],[Age]]&lt;25,"&lt;25",IF(Table1[[#This Row],[Age]]&lt;=35,"25-35",IF(Table1[[#This Row],[Age]]&lt;=50,"36-50","50+")))</f>
        <v>&lt;25</v>
      </c>
    </row>
    <row r="277" spans="1:20" x14ac:dyDescent="0.3">
      <c r="A277" s="2" t="s">
        <v>921</v>
      </c>
      <c r="B277" s="2" t="s">
        <v>54</v>
      </c>
      <c r="C277" s="3">
        <v>24</v>
      </c>
      <c r="D277" s="2" t="s">
        <v>38</v>
      </c>
      <c r="E277" s="2" t="s">
        <v>18</v>
      </c>
      <c r="F277" s="2" t="s">
        <v>27</v>
      </c>
      <c r="G277" t="s">
        <v>34</v>
      </c>
      <c r="H277" t="s">
        <v>101</v>
      </c>
      <c r="I277" s="4">
        <v>542.84</v>
      </c>
      <c r="J277" s="3">
        <v>4</v>
      </c>
      <c r="K277" s="1">
        <v>45543</v>
      </c>
      <c r="L277" s="1" t="str">
        <f>TEXT(Table1[[#This Row],[Purchase_Date]],"YYYY")</f>
        <v>2024</v>
      </c>
      <c r="M277" s="1" t="str">
        <f>TEXT(Table1[[#This Row],[Purchase_Date]],"MMM")</f>
        <v>Sep</v>
      </c>
      <c r="N277" s="1" t="str">
        <f>TEXT(Table1[[#This Row],[Purchase_Date]],"DD")</f>
        <v>08</v>
      </c>
      <c r="O277" s="2" t="s">
        <v>36</v>
      </c>
      <c r="P277" s="3">
        <v>7</v>
      </c>
      <c r="Q277" s="2" t="s">
        <v>23</v>
      </c>
      <c r="R277" s="2" t="s">
        <v>24</v>
      </c>
      <c r="S277">
        <f>Table1[[#This Row],[Purchase_Amount]]*Table1[[#This Row],[Quantity]]</f>
        <v>2171.36</v>
      </c>
      <c r="T277" t="str">
        <f>IF(Table1[[#This Row],[Age]]&lt;25,"&lt;25",IF(Table1[[#This Row],[Age]]&lt;=35,"25-35",IF(Table1[[#This Row],[Age]]&lt;=50,"36-50","50+")))</f>
        <v>&lt;25</v>
      </c>
    </row>
    <row r="278" spans="1:20" x14ac:dyDescent="0.3">
      <c r="A278" s="2" t="s">
        <v>1186</v>
      </c>
      <c r="B278" s="2" t="s">
        <v>54</v>
      </c>
      <c r="C278" s="3">
        <v>24</v>
      </c>
      <c r="D278" s="2" t="s">
        <v>32</v>
      </c>
      <c r="E278" s="2" t="s">
        <v>33</v>
      </c>
      <c r="F278" s="2" t="s">
        <v>44</v>
      </c>
      <c r="G278" t="s">
        <v>34</v>
      </c>
      <c r="H278" t="s">
        <v>229</v>
      </c>
      <c r="I278" s="4">
        <v>823.05</v>
      </c>
      <c r="J278" s="3">
        <v>1</v>
      </c>
      <c r="K278" s="1">
        <v>45252</v>
      </c>
      <c r="L278" s="1" t="str">
        <f>TEXT(Table1[[#This Row],[Purchase_Date]],"YYYY")</f>
        <v>2023</v>
      </c>
      <c r="M278" s="1" t="str">
        <f>TEXT(Table1[[#This Row],[Purchase_Date]],"MMM")</f>
        <v>Nov</v>
      </c>
      <c r="N278" s="1" t="str">
        <f>TEXT(Table1[[#This Row],[Purchase_Date]],"DD")</f>
        <v>22</v>
      </c>
      <c r="O278" s="2" t="s">
        <v>22</v>
      </c>
      <c r="P278" s="3">
        <v>2</v>
      </c>
      <c r="Q278" s="2" t="s">
        <v>23</v>
      </c>
      <c r="R278" s="2" t="s">
        <v>47</v>
      </c>
      <c r="S278">
        <f>Table1[[#This Row],[Purchase_Amount]]*Table1[[#This Row],[Quantity]]</f>
        <v>823.05</v>
      </c>
      <c r="T278" t="str">
        <f>IF(Table1[[#This Row],[Age]]&lt;25,"&lt;25",IF(Table1[[#This Row],[Age]]&lt;=35,"25-35",IF(Table1[[#This Row],[Age]]&lt;=50,"36-50","50+")))</f>
        <v>&lt;25</v>
      </c>
    </row>
    <row r="279" spans="1:20" x14ac:dyDescent="0.3">
      <c r="A279" s="2" t="s">
        <v>281</v>
      </c>
      <c r="B279" s="2" t="s">
        <v>54</v>
      </c>
      <c r="C279" s="3">
        <v>25</v>
      </c>
      <c r="D279" s="2" t="s">
        <v>109</v>
      </c>
      <c r="E279" s="2" t="s">
        <v>18</v>
      </c>
      <c r="F279" s="2" t="s">
        <v>27</v>
      </c>
      <c r="G279" t="s">
        <v>34</v>
      </c>
      <c r="H279" t="s">
        <v>56</v>
      </c>
      <c r="I279" s="4">
        <v>254.49</v>
      </c>
      <c r="J279" s="3">
        <v>5</v>
      </c>
      <c r="K279" s="1">
        <v>45026</v>
      </c>
      <c r="L279" s="1" t="str">
        <f>TEXT(Table1[[#This Row],[Purchase_Date]],"YYYY")</f>
        <v>2023</v>
      </c>
      <c r="M279" s="1" t="str">
        <f>TEXT(Table1[[#This Row],[Purchase_Date]],"MMM")</f>
        <v>Apr</v>
      </c>
      <c r="N279" s="1" t="str">
        <f>TEXT(Table1[[#This Row],[Purchase_Date]],"DD")</f>
        <v>10</v>
      </c>
      <c r="O279" s="2" t="s">
        <v>30</v>
      </c>
      <c r="P279" s="3">
        <v>1</v>
      </c>
      <c r="Q279" s="2" t="s">
        <v>23</v>
      </c>
      <c r="R279" s="2" t="s">
        <v>24</v>
      </c>
      <c r="S279">
        <f>Table1[[#This Row],[Purchase_Amount]]*Table1[[#This Row],[Quantity]]</f>
        <v>1272.45</v>
      </c>
      <c r="T279" t="str">
        <f>IF(Table1[[#This Row],[Age]]&lt;25,"&lt;25",IF(Table1[[#This Row],[Age]]&lt;=35,"25-35",IF(Table1[[#This Row],[Age]]&lt;=50,"36-50","50+")))</f>
        <v>25-35</v>
      </c>
    </row>
    <row r="280" spans="1:20" x14ac:dyDescent="0.3">
      <c r="A280" s="2" t="s">
        <v>1175</v>
      </c>
      <c r="B280" s="2" t="s">
        <v>54</v>
      </c>
      <c r="C280" s="3">
        <v>25</v>
      </c>
      <c r="D280" s="2" t="s">
        <v>78</v>
      </c>
      <c r="E280" s="2" t="s">
        <v>33</v>
      </c>
      <c r="F280" s="2" t="s">
        <v>27</v>
      </c>
      <c r="G280" t="s">
        <v>34</v>
      </c>
      <c r="H280" t="s">
        <v>221</v>
      </c>
      <c r="I280" s="4">
        <v>322.51</v>
      </c>
      <c r="J280" s="3">
        <v>5</v>
      </c>
      <c r="K280" s="1">
        <v>45353</v>
      </c>
      <c r="L280" s="1" t="str">
        <f>TEXT(Table1[[#This Row],[Purchase_Date]],"YYYY")</f>
        <v>2024</v>
      </c>
      <c r="M280" s="1" t="str">
        <f>TEXT(Table1[[#This Row],[Purchase_Date]],"MMM")</f>
        <v>Mar</v>
      </c>
      <c r="N280" s="1" t="str">
        <f>TEXT(Table1[[#This Row],[Purchase_Date]],"DD")</f>
        <v>02</v>
      </c>
      <c r="O280" s="2" t="s">
        <v>41</v>
      </c>
      <c r="P280" s="3">
        <v>4</v>
      </c>
      <c r="Q280" s="2" t="s">
        <v>46</v>
      </c>
      <c r="R280" s="2" t="s">
        <v>24</v>
      </c>
      <c r="S280">
        <f>Table1[[#This Row],[Purchase_Amount]]*Table1[[#This Row],[Quantity]]</f>
        <v>1612.55</v>
      </c>
      <c r="T280" t="str">
        <f>IF(Table1[[#This Row],[Age]]&lt;25,"&lt;25",IF(Table1[[#This Row],[Age]]&lt;=35,"25-35",IF(Table1[[#This Row],[Age]]&lt;=50,"36-50","50+")))</f>
        <v>25-35</v>
      </c>
    </row>
    <row r="281" spans="1:20" x14ac:dyDescent="0.3">
      <c r="A281" s="2" t="s">
        <v>812</v>
      </c>
      <c r="B281" s="2" t="s">
        <v>54</v>
      </c>
      <c r="C281" s="3">
        <v>25</v>
      </c>
      <c r="D281" s="2" t="s">
        <v>109</v>
      </c>
      <c r="E281" s="2" t="s">
        <v>33</v>
      </c>
      <c r="F281" s="2" t="s">
        <v>44</v>
      </c>
      <c r="G281" t="s">
        <v>34</v>
      </c>
      <c r="H281" t="s">
        <v>479</v>
      </c>
      <c r="I281" s="4">
        <v>967.04</v>
      </c>
      <c r="J281" s="3">
        <v>4</v>
      </c>
      <c r="K281" s="1">
        <v>45564</v>
      </c>
      <c r="L281" s="1" t="str">
        <f>TEXT(Table1[[#This Row],[Purchase_Date]],"YYYY")</f>
        <v>2024</v>
      </c>
      <c r="M281" s="1" t="str">
        <f>TEXT(Table1[[#This Row],[Purchase_Date]],"MMM")</f>
        <v>Sep</v>
      </c>
      <c r="N281" s="1" t="str">
        <f>TEXT(Table1[[#This Row],[Purchase_Date]],"DD")</f>
        <v>29</v>
      </c>
      <c r="O281" s="2" t="s">
        <v>30</v>
      </c>
      <c r="P281" s="3">
        <v>4</v>
      </c>
      <c r="Q281" s="2" t="s">
        <v>23</v>
      </c>
      <c r="R281" s="2" t="s">
        <v>24</v>
      </c>
      <c r="S281">
        <f>Table1[[#This Row],[Purchase_Amount]]*Table1[[#This Row],[Quantity]]</f>
        <v>3868.16</v>
      </c>
      <c r="T281" t="str">
        <f>IF(Table1[[#This Row],[Age]]&lt;25,"&lt;25",IF(Table1[[#This Row],[Age]]&lt;=35,"25-35",IF(Table1[[#This Row],[Age]]&lt;=50,"36-50","50+")))</f>
        <v>25-35</v>
      </c>
    </row>
    <row r="282" spans="1:20" x14ac:dyDescent="0.3">
      <c r="A282" s="2" t="s">
        <v>163</v>
      </c>
      <c r="B282" s="2" t="s">
        <v>54</v>
      </c>
      <c r="C282" s="3">
        <v>26</v>
      </c>
      <c r="D282" s="2" t="s">
        <v>78</v>
      </c>
      <c r="E282" s="2" t="s">
        <v>49</v>
      </c>
      <c r="F282" s="2" t="s">
        <v>44</v>
      </c>
      <c r="G282" t="s">
        <v>34</v>
      </c>
      <c r="H282" t="s">
        <v>164</v>
      </c>
      <c r="I282" s="4">
        <v>517.27</v>
      </c>
      <c r="J282" s="3">
        <v>3</v>
      </c>
      <c r="K282" s="1">
        <v>45117</v>
      </c>
      <c r="L282" s="1" t="str">
        <f>TEXT(Table1[[#This Row],[Purchase_Date]],"YYYY")</f>
        <v>2023</v>
      </c>
      <c r="M282" s="1" t="str">
        <f>TEXT(Table1[[#This Row],[Purchase_Date]],"MMM")</f>
        <v>Jul</v>
      </c>
      <c r="N282" s="1" t="str">
        <f>TEXT(Table1[[#This Row],[Purchase_Date]],"DD")</f>
        <v>10</v>
      </c>
      <c r="O282" s="2" t="s">
        <v>36</v>
      </c>
      <c r="P282" s="3">
        <v>5</v>
      </c>
      <c r="Q282" s="2" t="s">
        <v>23</v>
      </c>
      <c r="R282" s="2" t="s">
        <v>24</v>
      </c>
      <c r="S282">
        <f>Table1[[#This Row],[Purchase_Amount]]*Table1[[#This Row],[Quantity]]</f>
        <v>1551.81</v>
      </c>
      <c r="T282" t="str">
        <f>IF(Table1[[#This Row],[Age]]&lt;25,"&lt;25",IF(Table1[[#This Row],[Age]]&lt;=35,"25-35",IF(Table1[[#This Row],[Age]]&lt;=50,"36-50","50+")))</f>
        <v>25-35</v>
      </c>
    </row>
    <row r="283" spans="1:20" x14ac:dyDescent="0.3">
      <c r="A283" s="2" t="s">
        <v>90</v>
      </c>
      <c r="B283" s="2" t="s">
        <v>54</v>
      </c>
      <c r="C283" s="3">
        <v>28</v>
      </c>
      <c r="D283" s="2" t="s">
        <v>32</v>
      </c>
      <c r="E283" s="2" t="s">
        <v>18</v>
      </c>
      <c r="F283" s="2" t="s">
        <v>44</v>
      </c>
      <c r="G283" t="s">
        <v>34</v>
      </c>
      <c r="H283" t="s">
        <v>91</v>
      </c>
      <c r="I283" s="4">
        <v>446.26</v>
      </c>
      <c r="J283" s="3">
        <v>3</v>
      </c>
      <c r="K283" s="1">
        <v>45137</v>
      </c>
      <c r="L283" s="1" t="str">
        <f>TEXT(Table1[[#This Row],[Purchase_Date]],"YYYY")</f>
        <v>2023</v>
      </c>
      <c r="M283" s="1" t="str">
        <f>TEXT(Table1[[#This Row],[Purchase_Date]],"MMM")</f>
        <v>Jul</v>
      </c>
      <c r="N283" s="1" t="str">
        <f>TEXT(Table1[[#This Row],[Purchase_Date]],"DD")</f>
        <v>30</v>
      </c>
      <c r="O283" s="2" t="s">
        <v>41</v>
      </c>
      <c r="P283" s="3">
        <v>7</v>
      </c>
      <c r="Q283" s="2" t="s">
        <v>23</v>
      </c>
      <c r="R283" s="2" t="s">
        <v>24</v>
      </c>
      <c r="S283">
        <f>Table1[[#This Row],[Purchase_Amount]]*Table1[[#This Row],[Quantity]]</f>
        <v>1338.78</v>
      </c>
      <c r="T283" t="str">
        <f>IF(Table1[[#This Row],[Age]]&lt;25,"&lt;25",IF(Table1[[#This Row],[Age]]&lt;=35,"25-35",IF(Table1[[#This Row],[Age]]&lt;=50,"36-50","50+")))</f>
        <v>25-35</v>
      </c>
    </row>
    <row r="284" spans="1:20" x14ac:dyDescent="0.3">
      <c r="A284" s="2" t="s">
        <v>1169</v>
      </c>
      <c r="B284" s="2" t="s">
        <v>54</v>
      </c>
      <c r="C284" s="3">
        <v>29</v>
      </c>
      <c r="D284" s="2" t="s">
        <v>32</v>
      </c>
      <c r="E284" s="2" t="s">
        <v>18</v>
      </c>
      <c r="F284" s="2" t="s">
        <v>44</v>
      </c>
      <c r="G284" t="s">
        <v>34</v>
      </c>
      <c r="H284" t="s">
        <v>232</v>
      </c>
      <c r="I284" s="4">
        <v>483.09</v>
      </c>
      <c r="J284" s="3">
        <v>5</v>
      </c>
      <c r="K284" s="1">
        <v>45533</v>
      </c>
      <c r="L284" s="1" t="str">
        <f>TEXT(Table1[[#This Row],[Purchase_Date]],"YYYY")</f>
        <v>2024</v>
      </c>
      <c r="M284" s="1" t="str">
        <f>TEXT(Table1[[#This Row],[Purchase_Date]],"MMM")</f>
        <v>Aug</v>
      </c>
      <c r="N284" s="1" t="str">
        <f>TEXT(Table1[[#This Row],[Purchase_Date]],"DD")</f>
        <v>29</v>
      </c>
      <c r="O284" s="2" t="s">
        <v>41</v>
      </c>
      <c r="P284" s="3">
        <v>8</v>
      </c>
      <c r="Q284" s="2" t="s">
        <v>23</v>
      </c>
      <c r="R284" s="2" t="s">
        <v>24</v>
      </c>
      <c r="S284">
        <f>Table1[[#This Row],[Purchase_Amount]]*Table1[[#This Row],[Quantity]]</f>
        <v>2415.4499999999998</v>
      </c>
      <c r="T284" t="str">
        <f>IF(Table1[[#This Row],[Age]]&lt;25,"&lt;25",IF(Table1[[#This Row],[Age]]&lt;=35,"25-35",IF(Table1[[#This Row],[Age]]&lt;=50,"36-50","50+")))</f>
        <v>25-35</v>
      </c>
    </row>
    <row r="285" spans="1:20" x14ac:dyDescent="0.3">
      <c r="A285" s="2" t="s">
        <v>1236</v>
      </c>
      <c r="B285" s="2" t="s">
        <v>54</v>
      </c>
      <c r="C285" s="3">
        <v>29</v>
      </c>
      <c r="D285" s="2" t="s">
        <v>17</v>
      </c>
      <c r="E285" s="2" t="s">
        <v>49</v>
      </c>
      <c r="F285" s="2" t="s">
        <v>27</v>
      </c>
      <c r="G285" t="s">
        <v>34</v>
      </c>
      <c r="H285" t="s">
        <v>351</v>
      </c>
      <c r="I285" s="4">
        <v>814.72</v>
      </c>
      <c r="J285" s="3">
        <v>1</v>
      </c>
      <c r="K285" s="1">
        <v>45349</v>
      </c>
      <c r="L285" s="1" t="str">
        <f>TEXT(Table1[[#This Row],[Purchase_Date]],"YYYY")</f>
        <v>2024</v>
      </c>
      <c r="M285" s="1" t="str">
        <f>TEXT(Table1[[#This Row],[Purchase_Date]],"MMM")</f>
        <v>Feb</v>
      </c>
      <c r="N285" s="1" t="str">
        <f>TEXT(Table1[[#This Row],[Purchase_Date]],"DD")</f>
        <v>27</v>
      </c>
      <c r="O285" s="2" t="s">
        <v>41</v>
      </c>
      <c r="P285" s="3">
        <v>9</v>
      </c>
      <c r="Q285" s="2" t="s">
        <v>46</v>
      </c>
      <c r="R285" s="2" t="s">
        <v>24</v>
      </c>
      <c r="S285">
        <f>Table1[[#This Row],[Purchase_Amount]]*Table1[[#This Row],[Quantity]]</f>
        <v>814.72</v>
      </c>
      <c r="T285" t="str">
        <f>IF(Table1[[#This Row],[Age]]&lt;25,"&lt;25",IF(Table1[[#This Row],[Age]]&lt;=35,"25-35",IF(Table1[[#This Row],[Age]]&lt;=50,"36-50","50+")))</f>
        <v>25-35</v>
      </c>
    </row>
    <row r="286" spans="1:20" x14ac:dyDescent="0.3">
      <c r="A286" s="2" t="s">
        <v>382</v>
      </c>
      <c r="B286" s="2" t="s">
        <v>54</v>
      </c>
      <c r="C286" s="3">
        <v>30</v>
      </c>
      <c r="D286" s="2" t="s">
        <v>60</v>
      </c>
      <c r="E286" s="2" t="s">
        <v>49</v>
      </c>
      <c r="F286" s="2" t="s">
        <v>27</v>
      </c>
      <c r="G286" t="s">
        <v>34</v>
      </c>
      <c r="H286" t="s">
        <v>383</v>
      </c>
      <c r="I286" s="4">
        <v>646.37</v>
      </c>
      <c r="J286" s="3">
        <v>5</v>
      </c>
      <c r="K286" s="1">
        <v>45496</v>
      </c>
      <c r="L286" s="1" t="str">
        <f>TEXT(Table1[[#This Row],[Purchase_Date]],"YYYY")</f>
        <v>2024</v>
      </c>
      <c r="M286" s="1" t="str">
        <f>TEXT(Table1[[#This Row],[Purchase_Date]],"MMM")</f>
        <v>Jul</v>
      </c>
      <c r="N286" s="1" t="str">
        <f>TEXT(Table1[[#This Row],[Purchase_Date]],"DD")</f>
        <v>23</v>
      </c>
      <c r="O286" s="2" t="s">
        <v>36</v>
      </c>
      <c r="P286" s="3">
        <v>7</v>
      </c>
      <c r="Q286" s="2" t="s">
        <v>23</v>
      </c>
      <c r="R286" s="2" t="s">
        <v>24</v>
      </c>
      <c r="S286">
        <f>Table1[[#This Row],[Purchase_Amount]]*Table1[[#This Row],[Quantity]]</f>
        <v>3231.85</v>
      </c>
      <c r="T286" t="str">
        <f>IF(Table1[[#This Row],[Age]]&lt;25,"&lt;25",IF(Table1[[#This Row],[Age]]&lt;=35,"25-35",IF(Table1[[#This Row],[Age]]&lt;=50,"36-50","50+")))</f>
        <v>25-35</v>
      </c>
    </row>
    <row r="287" spans="1:20" x14ac:dyDescent="0.3">
      <c r="A287" s="2" t="s">
        <v>1103</v>
      </c>
      <c r="B287" s="2" t="s">
        <v>54</v>
      </c>
      <c r="C287" s="3">
        <v>31</v>
      </c>
      <c r="D287" s="2" t="s">
        <v>60</v>
      </c>
      <c r="E287" s="2" t="s">
        <v>49</v>
      </c>
      <c r="F287" s="2" t="s">
        <v>27</v>
      </c>
      <c r="G287" t="s">
        <v>34</v>
      </c>
      <c r="H287" t="s">
        <v>391</v>
      </c>
      <c r="I287" s="4">
        <v>549.97</v>
      </c>
      <c r="J287" s="3">
        <v>4</v>
      </c>
      <c r="K287" s="1">
        <v>45384</v>
      </c>
      <c r="L287" s="1" t="str">
        <f>TEXT(Table1[[#This Row],[Purchase_Date]],"YYYY")</f>
        <v>2024</v>
      </c>
      <c r="M287" s="1" t="str">
        <f>TEXT(Table1[[#This Row],[Purchase_Date]],"MMM")</f>
        <v>Apr</v>
      </c>
      <c r="N287" s="1" t="str">
        <f>TEXT(Table1[[#This Row],[Purchase_Date]],"DD")</f>
        <v>02</v>
      </c>
      <c r="O287" s="2" t="s">
        <v>41</v>
      </c>
      <c r="P287" s="3">
        <v>2</v>
      </c>
      <c r="Q287" s="2" t="s">
        <v>23</v>
      </c>
      <c r="R287" s="2" t="s">
        <v>24</v>
      </c>
      <c r="S287">
        <f>Table1[[#This Row],[Purchase_Amount]]*Table1[[#This Row],[Quantity]]</f>
        <v>2199.88</v>
      </c>
      <c r="T287" t="str">
        <f>IF(Table1[[#This Row],[Age]]&lt;25,"&lt;25",IF(Table1[[#This Row],[Age]]&lt;=35,"25-35",IF(Table1[[#This Row],[Age]]&lt;=50,"36-50","50+")))</f>
        <v>25-35</v>
      </c>
    </row>
    <row r="288" spans="1:20" x14ac:dyDescent="0.3">
      <c r="A288" s="2" t="s">
        <v>905</v>
      </c>
      <c r="B288" s="2" t="s">
        <v>54</v>
      </c>
      <c r="C288" s="3">
        <v>32</v>
      </c>
      <c r="D288" s="2" t="s">
        <v>64</v>
      </c>
      <c r="E288" s="2" t="s">
        <v>18</v>
      </c>
      <c r="F288" s="2" t="s">
        <v>27</v>
      </c>
      <c r="G288" t="s">
        <v>34</v>
      </c>
      <c r="H288" t="s">
        <v>893</v>
      </c>
      <c r="I288" s="4">
        <v>575.15</v>
      </c>
      <c r="J288" s="3">
        <v>1</v>
      </c>
      <c r="K288" s="1">
        <v>44943</v>
      </c>
      <c r="L288" s="1" t="str">
        <f>TEXT(Table1[[#This Row],[Purchase_Date]],"YYYY")</f>
        <v>2023</v>
      </c>
      <c r="M288" s="1" t="str">
        <f>TEXT(Table1[[#This Row],[Purchase_Date]],"MMM")</f>
        <v>Jan</v>
      </c>
      <c r="N288" s="1" t="str">
        <f>TEXT(Table1[[#This Row],[Purchase_Date]],"DD")</f>
        <v>17</v>
      </c>
      <c r="O288" s="2" t="s">
        <v>36</v>
      </c>
      <c r="P288" s="3">
        <v>2</v>
      </c>
      <c r="Q288" s="2" t="s">
        <v>23</v>
      </c>
      <c r="R288" s="2" t="s">
        <v>47</v>
      </c>
      <c r="S288">
        <f>Table1[[#This Row],[Purchase_Amount]]*Table1[[#This Row],[Quantity]]</f>
        <v>575.15</v>
      </c>
      <c r="T288" t="str">
        <f>IF(Table1[[#This Row],[Age]]&lt;25,"&lt;25",IF(Table1[[#This Row],[Age]]&lt;=35,"25-35",IF(Table1[[#This Row],[Age]]&lt;=50,"36-50","50+")))</f>
        <v>25-35</v>
      </c>
    </row>
    <row r="289" spans="1:20" x14ac:dyDescent="0.3">
      <c r="A289" s="2" t="s">
        <v>429</v>
      </c>
      <c r="B289" s="2" t="s">
        <v>54</v>
      </c>
      <c r="C289" s="3">
        <v>32</v>
      </c>
      <c r="D289" s="2" t="s">
        <v>60</v>
      </c>
      <c r="E289" s="2" t="s">
        <v>18</v>
      </c>
      <c r="F289" s="2" t="s">
        <v>27</v>
      </c>
      <c r="G289" t="s">
        <v>34</v>
      </c>
      <c r="H289" t="s">
        <v>119</v>
      </c>
      <c r="I289" s="4">
        <v>917.32</v>
      </c>
      <c r="J289" s="3">
        <v>1</v>
      </c>
      <c r="K289" s="1">
        <v>45454</v>
      </c>
      <c r="L289" s="1" t="str">
        <f>TEXT(Table1[[#This Row],[Purchase_Date]],"YYYY")</f>
        <v>2024</v>
      </c>
      <c r="M289" s="1" t="str">
        <f>TEXT(Table1[[#This Row],[Purchase_Date]],"MMM")</f>
        <v>Jun</v>
      </c>
      <c r="N289" s="1" t="str">
        <f>TEXT(Table1[[#This Row],[Purchase_Date]],"DD")</f>
        <v>11</v>
      </c>
      <c r="O289" s="2" t="s">
        <v>30</v>
      </c>
      <c r="P289" s="3">
        <v>5</v>
      </c>
      <c r="Q289" s="2" t="s">
        <v>23</v>
      </c>
      <c r="R289" s="2" t="s">
        <v>24</v>
      </c>
      <c r="S289">
        <f>Table1[[#This Row],[Purchase_Amount]]*Table1[[#This Row],[Quantity]]</f>
        <v>917.32</v>
      </c>
      <c r="T289" t="str">
        <f>IF(Table1[[#This Row],[Age]]&lt;25,"&lt;25",IF(Table1[[#This Row],[Age]]&lt;=35,"25-35",IF(Table1[[#This Row],[Age]]&lt;=50,"36-50","50+")))</f>
        <v>25-35</v>
      </c>
    </row>
    <row r="290" spans="1:20" x14ac:dyDescent="0.3">
      <c r="A290" s="2" t="s">
        <v>903</v>
      </c>
      <c r="B290" s="2" t="s">
        <v>54</v>
      </c>
      <c r="C290" s="3">
        <v>32</v>
      </c>
      <c r="D290" s="2" t="s">
        <v>109</v>
      </c>
      <c r="E290" s="2" t="s">
        <v>49</v>
      </c>
      <c r="F290" s="2" t="s">
        <v>27</v>
      </c>
      <c r="G290" t="s">
        <v>34</v>
      </c>
      <c r="H290" t="s">
        <v>291</v>
      </c>
      <c r="I290" s="4">
        <v>945.26</v>
      </c>
      <c r="J290" s="3">
        <v>2</v>
      </c>
      <c r="K290" s="1">
        <v>45569</v>
      </c>
      <c r="L290" s="1" t="str">
        <f>TEXT(Table1[[#This Row],[Purchase_Date]],"YYYY")</f>
        <v>2024</v>
      </c>
      <c r="M290" s="1" t="str">
        <f>TEXT(Table1[[#This Row],[Purchase_Date]],"MMM")</f>
        <v>Oct</v>
      </c>
      <c r="N290" s="1" t="str">
        <f>TEXT(Table1[[#This Row],[Purchase_Date]],"DD")</f>
        <v>04</v>
      </c>
      <c r="O290" s="2" t="s">
        <v>36</v>
      </c>
      <c r="P290" s="3">
        <v>5</v>
      </c>
      <c r="Q290" s="2" t="s">
        <v>23</v>
      </c>
      <c r="R290" s="2" t="s">
        <v>24</v>
      </c>
      <c r="S290">
        <f>Table1[[#This Row],[Purchase_Amount]]*Table1[[#This Row],[Quantity]]</f>
        <v>1890.52</v>
      </c>
      <c r="T290" t="str">
        <f>IF(Table1[[#This Row],[Age]]&lt;25,"&lt;25",IF(Table1[[#This Row],[Age]]&lt;=35,"25-35",IF(Table1[[#This Row],[Age]]&lt;=50,"36-50","50+")))</f>
        <v>25-35</v>
      </c>
    </row>
    <row r="291" spans="1:20" x14ac:dyDescent="0.3">
      <c r="A291" s="2" t="s">
        <v>773</v>
      </c>
      <c r="B291" s="2" t="s">
        <v>54</v>
      </c>
      <c r="C291" s="3">
        <v>33</v>
      </c>
      <c r="D291" s="2" t="s">
        <v>64</v>
      </c>
      <c r="E291" s="2" t="s">
        <v>33</v>
      </c>
      <c r="F291" s="2" t="s">
        <v>44</v>
      </c>
      <c r="G291" t="s">
        <v>34</v>
      </c>
      <c r="H291" t="s">
        <v>83</v>
      </c>
      <c r="I291" s="4">
        <v>758.63</v>
      </c>
      <c r="J291" s="3">
        <v>1</v>
      </c>
      <c r="K291" s="1">
        <v>44928</v>
      </c>
      <c r="L291" s="1" t="str">
        <f>TEXT(Table1[[#This Row],[Purchase_Date]],"YYYY")</f>
        <v>2023</v>
      </c>
      <c r="M291" s="1" t="str">
        <f>TEXT(Table1[[#This Row],[Purchase_Date]],"MMM")</f>
        <v>Jan</v>
      </c>
      <c r="N291" s="1" t="str">
        <f>TEXT(Table1[[#This Row],[Purchase_Date]],"DD")</f>
        <v>02</v>
      </c>
      <c r="O291" s="2" t="s">
        <v>30</v>
      </c>
      <c r="P291" s="3">
        <v>7</v>
      </c>
      <c r="Q291" s="2" t="s">
        <v>23</v>
      </c>
      <c r="R291" s="2" t="s">
        <v>24</v>
      </c>
      <c r="S291">
        <f>Table1[[#This Row],[Purchase_Amount]]*Table1[[#This Row],[Quantity]]</f>
        <v>758.63</v>
      </c>
      <c r="T291" t="str">
        <f>IF(Table1[[#This Row],[Age]]&lt;25,"&lt;25",IF(Table1[[#This Row],[Age]]&lt;=35,"25-35",IF(Table1[[#This Row],[Age]]&lt;=50,"36-50","50+")))</f>
        <v>25-35</v>
      </c>
    </row>
    <row r="292" spans="1:20" x14ac:dyDescent="0.3">
      <c r="A292" s="2" t="s">
        <v>455</v>
      </c>
      <c r="B292" s="2" t="s">
        <v>54</v>
      </c>
      <c r="C292" s="3">
        <v>34</v>
      </c>
      <c r="D292" s="2" t="s">
        <v>60</v>
      </c>
      <c r="E292" s="2" t="s">
        <v>49</v>
      </c>
      <c r="F292" s="2" t="s">
        <v>27</v>
      </c>
      <c r="G292" t="s">
        <v>34</v>
      </c>
      <c r="H292" t="s">
        <v>167</v>
      </c>
      <c r="I292" s="4">
        <v>910.45</v>
      </c>
      <c r="J292" s="3">
        <v>1</v>
      </c>
      <c r="K292" s="1">
        <v>45083</v>
      </c>
      <c r="L292" s="1" t="str">
        <f>TEXT(Table1[[#This Row],[Purchase_Date]],"YYYY")</f>
        <v>2023</v>
      </c>
      <c r="M292" s="1" t="str">
        <f>TEXT(Table1[[#This Row],[Purchase_Date]],"MMM")</f>
        <v>Jun</v>
      </c>
      <c r="N292" s="1" t="str">
        <f>TEXT(Table1[[#This Row],[Purchase_Date]],"DD")</f>
        <v>06</v>
      </c>
      <c r="O292" s="2" t="s">
        <v>41</v>
      </c>
      <c r="P292" s="3">
        <v>3</v>
      </c>
      <c r="Q292" s="2" t="s">
        <v>46</v>
      </c>
      <c r="R292" s="2" t="s">
        <v>24</v>
      </c>
      <c r="S292">
        <f>Table1[[#This Row],[Purchase_Amount]]*Table1[[#This Row],[Quantity]]</f>
        <v>910.45</v>
      </c>
      <c r="T292" t="str">
        <f>IF(Table1[[#This Row],[Age]]&lt;25,"&lt;25",IF(Table1[[#This Row],[Age]]&lt;=35,"25-35",IF(Table1[[#This Row],[Age]]&lt;=50,"36-50","50+")))</f>
        <v>25-35</v>
      </c>
    </row>
    <row r="293" spans="1:20" x14ac:dyDescent="0.3">
      <c r="A293" s="2" t="s">
        <v>951</v>
      </c>
      <c r="B293" s="2" t="s">
        <v>54</v>
      </c>
      <c r="C293" s="3">
        <v>35</v>
      </c>
      <c r="D293" s="2" t="s">
        <v>64</v>
      </c>
      <c r="E293" s="2" t="s">
        <v>33</v>
      </c>
      <c r="F293" s="2" t="s">
        <v>44</v>
      </c>
      <c r="G293" t="s">
        <v>34</v>
      </c>
      <c r="H293" t="s">
        <v>206</v>
      </c>
      <c r="I293" s="4">
        <v>268.24</v>
      </c>
      <c r="J293" s="3">
        <v>4</v>
      </c>
      <c r="K293" s="1">
        <v>45299</v>
      </c>
      <c r="L293" s="1" t="str">
        <f>TEXT(Table1[[#This Row],[Purchase_Date]],"YYYY")</f>
        <v>2024</v>
      </c>
      <c r="M293" s="1" t="str">
        <f>TEXT(Table1[[#This Row],[Purchase_Date]],"MMM")</f>
        <v>Jan</v>
      </c>
      <c r="N293" s="1" t="str">
        <f>TEXT(Table1[[#This Row],[Purchase_Date]],"DD")</f>
        <v>08</v>
      </c>
      <c r="O293" s="2" t="s">
        <v>22</v>
      </c>
      <c r="P293" s="3">
        <v>7</v>
      </c>
      <c r="Q293" s="2" t="s">
        <v>23</v>
      </c>
      <c r="R293" s="2" t="s">
        <v>47</v>
      </c>
      <c r="S293">
        <f>Table1[[#This Row],[Purchase_Amount]]*Table1[[#This Row],[Quantity]]</f>
        <v>1072.96</v>
      </c>
      <c r="T293" t="str">
        <f>IF(Table1[[#This Row],[Age]]&lt;25,"&lt;25",IF(Table1[[#This Row],[Age]]&lt;=35,"25-35",IF(Table1[[#This Row],[Age]]&lt;=50,"36-50","50+")))</f>
        <v>25-35</v>
      </c>
    </row>
    <row r="294" spans="1:20" x14ac:dyDescent="0.3">
      <c r="A294" s="2" t="s">
        <v>1048</v>
      </c>
      <c r="B294" s="2" t="s">
        <v>54</v>
      </c>
      <c r="C294" s="3">
        <v>35</v>
      </c>
      <c r="D294" s="2" t="s">
        <v>60</v>
      </c>
      <c r="E294" s="2" t="s">
        <v>33</v>
      </c>
      <c r="F294" s="2" t="s">
        <v>44</v>
      </c>
      <c r="G294" t="s">
        <v>34</v>
      </c>
      <c r="H294" t="s">
        <v>730</v>
      </c>
      <c r="I294" s="4">
        <v>336.09</v>
      </c>
      <c r="J294" s="3">
        <v>3</v>
      </c>
      <c r="K294" s="1">
        <v>45002</v>
      </c>
      <c r="L294" s="1" t="str">
        <f>TEXT(Table1[[#This Row],[Purchase_Date]],"YYYY")</f>
        <v>2023</v>
      </c>
      <c r="M294" s="1" t="str">
        <f>TEXT(Table1[[#This Row],[Purchase_Date]],"MMM")</f>
        <v>Mar</v>
      </c>
      <c r="N294" s="1" t="str">
        <f>TEXT(Table1[[#This Row],[Purchase_Date]],"DD")</f>
        <v>17</v>
      </c>
      <c r="O294" s="2" t="s">
        <v>36</v>
      </c>
      <c r="P294" s="3">
        <v>7</v>
      </c>
      <c r="Q294" s="2" t="s">
        <v>23</v>
      </c>
      <c r="R294" s="2" t="s">
        <v>24</v>
      </c>
      <c r="S294">
        <f>Table1[[#This Row],[Purchase_Amount]]*Table1[[#This Row],[Quantity]]</f>
        <v>1008.27</v>
      </c>
      <c r="T294" t="str">
        <f>IF(Table1[[#This Row],[Age]]&lt;25,"&lt;25",IF(Table1[[#This Row],[Age]]&lt;=35,"25-35",IF(Table1[[#This Row],[Age]]&lt;=50,"36-50","50+")))</f>
        <v>25-35</v>
      </c>
    </row>
    <row r="295" spans="1:20" x14ac:dyDescent="0.3">
      <c r="A295" s="2" t="s">
        <v>946</v>
      </c>
      <c r="B295" s="2" t="s">
        <v>54</v>
      </c>
      <c r="C295" s="3">
        <v>37</v>
      </c>
      <c r="D295" s="2" t="s">
        <v>60</v>
      </c>
      <c r="E295" s="2" t="s">
        <v>33</v>
      </c>
      <c r="F295" s="2" t="s">
        <v>19</v>
      </c>
      <c r="G295" t="s">
        <v>34</v>
      </c>
      <c r="H295" t="s">
        <v>196</v>
      </c>
      <c r="I295" s="4">
        <v>348.65</v>
      </c>
      <c r="J295" s="3">
        <v>2</v>
      </c>
      <c r="K295" s="1">
        <v>45287</v>
      </c>
      <c r="L295" s="1" t="str">
        <f>TEXT(Table1[[#This Row],[Purchase_Date]],"YYYY")</f>
        <v>2023</v>
      </c>
      <c r="M295" s="1" t="str">
        <f>TEXT(Table1[[#This Row],[Purchase_Date]],"MMM")</f>
        <v>Dec</v>
      </c>
      <c r="N295" s="1" t="str">
        <f>TEXT(Table1[[#This Row],[Purchase_Date]],"DD")</f>
        <v>27</v>
      </c>
      <c r="O295" s="2" t="s">
        <v>30</v>
      </c>
      <c r="P295" s="3">
        <v>3</v>
      </c>
      <c r="Q295" s="2" t="s">
        <v>46</v>
      </c>
      <c r="R295" s="2" t="s">
        <v>47</v>
      </c>
      <c r="S295">
        <f>Table1[[#This Row],[Purchase_Amount]]*Table1[[#This Row],[Quantity]]</f>
        <v>697.3</v>
      </c>
      <c r="T295" t="str">
        <f>IF(Table1[[#This Row],[Age]]&lt;25,"&lt;25",IF(Table1[[#This Row],[Age]]&lt;=35,"25-35",IF(Table1[[#This Row],[Age]]&lt;=50,"36-50","50+")))</f>
        <v>36-50</v>
      </c>
    </row>
    <row r="296" spans="1:20" x14ac:dyDescent="0.3">
      <c r="A296" s="2" t="s">
        <v>1143</v>
      </c>
      <c r="B296" s="2" t="s">
        <v>54</v>
      </c>
      <c r="C296" s="3">
        <v>37</v>
      </c>
      <c r="D296" s="2" t="s">
        <v>38</v>
      </c>
      <c r="E296" s="2" t="s">
        <v>18</v>
      </c>
      <c r="F296" s="2" t="s">
        <v>19</v>
      </c>
      <c r="G296" t="s">
        <v>34</v>
      </c>
      <c r="H296" t="s">
        <v>728</v>
      </c>
      <c r="I296" s="4">
        <v>974.69</v>
      </c>
      <c r="J296" s="3">
        <v>2</v>
      </c>
      <c r="K296" s="1">
        <v>45549</v>
      </c>
      <c r="L296" s="1" t="str">
        <f>TEXT(Table1[[#This Row],[Purchase_Date]],"YYYY")</f>
        <v>2024</v>
      </c>
      <c r="M296" s="1" t="str">
        <f>TEXT(Table1[[#This Row],[Purchase_Date]],"MMM")</f>
        <v>Sep</v>
      </c>
      <c r="N296" s="1" t="str">
        <f>TEXT(Table1[[#This Row],[Purchase_Date]],"DD")</f>
        <v>14</v>
      </c>
      <c r="O296" s="2" t="s">
        <v>41</v>
      </c>
      <c r="P296" s="3">
        <v>4</v>
      </c>
      <c r="Q296" s="2" t="s">
        <v>23</v>
      </c>
      <c r="R296" s="2" t="s">
        <v>24</v>
      </c>
      <c r="S296">
        <f>Table1[[#This Row],[Purchase_Amount]]*Table1[[#This Row],[Quantity]]</f>
        <v>1949.38</v>
      </c>
      <c r="T296" t="str">
        <f>IF(Table1[[#This Row],[Age]]&lt;25,"&lt;25",IF(Table1[[#This Row],[Age]]&lt;=35,"25-35",IF(Table1[[#This Row],[Age]]&lt;=50,"36-50","50+")))</f>
        <v>36-50</v>
      </c>
    </row>
    <row r="297" spans="1:20" x14ac:dyDescent="0.3">
      <c r="A297" s="2" t="s">
        <v>584</v>
      </c>
      <c r="B297" s="2" t="s">
        <v>54</v>
      </c>
      <c r="C297" s="3">
        <v>38</v>
      </c>
      <c r="D297" s="2" t="s">
        <v>43</v>
      </c>
      <c r="E297" s="2" t="s">
        <v>18</v>
      </c>
      <c r="F297" s="2" t="s">
        <v>27</v>
      </c>
      <c r="G297" t="s">
        <v>34</v>
      </c>
      <c r="H297" t="s">
        <v>179</v>
      </c>
      <c r="I297" s="4">
        <v>200.1</v>
      </c>
      <c r="J297" s="3">
        <v>2</v>
      </c>
      <c r="K297" s="1">
        <v>45231</v>
      </c>
      <c r="L297" s="1" t="str">
        <f>TEXT(Table1[[#This Row],[Purchase_Date]],"YYYY")</f>
        <v>2023</v>
      </c>
      <c r="M297" s="1" t="str">
        <f>TEXT(Table1[[#This Row],[Purchase_Date]],"MMM")</f>
        <v>Nov</v>
      </c>
      <c r="N297" s="1" t="str">
        <f>TEXT(Table1[[#This Row],[Purchase_Date]],"DD")</f>
        <v>01</v>
      </c>
      <c r="O297" s="2" t="s">
        <v>36</v>
      </c>
      <c r="P297" s="3">
        <v>4</v>
      </c>
      <c r="Q297" s="2" t="s">
        <v>46</v>
      </c>
      <c r="R297" s="2" t="s">
        <v>47</v>
      </c>
      <c r="S297">
        <f>Table1[[#This Row],[Purchase_Amount]]*Table1[[#This Row],[Quantity]]</f>
        <v>400.2</v>
      </c>
      <c r="T297" t="str">
        <f>IF(Table1[[#This Row],[Age]]&lt;25,"&lt;25",IF(Table1[[#This Row],[Age]]&lt;=35,"25-35",IF(Table1[[#This Row],[Age]]&lt;=50,"36-50","50+")))</f>
        <v>36-50</v>
      </c>
    </row>
    <row r="298" spans="1:20" x14ac:dyDescent="0.3">
      <c r="A298" s="2" t="s">
        <v>706</v>
      </c>
      <c r="B298" s="2" t="s">
        <v>54</v>
      </c>
      <c r="C298" s="3">
        <v>38</v>
      </c>
      <c r="D298" s="2" t="s">
        <v>32</v>
      </c>
      <c r="E298" s="2" t="s">
        <v>33</v>
      </c>
      <c r="F298" s="2" t="s">
        <v>44</v>
      </c>
      <c r="G298" t="s">
        <v>34</v>
      </c>
      <c r="H298" t="s">
        <v>136</v>
      </c>
      <c r="I298" s="4">
        <v>762.8</v>
      </c>
      <c r="J298" s="3">
        <v>2</v>
      </c>
      <c r="K298" s="1">
        <v>44975</v>
      </c>
      <c r="L298" s="1" t="str">
        <f>TEXT(Table1[[#This Row],[Purchase_Date]],"YYYY")</f>
        <v>2023</v>
      </c>
      <c r="M298" s="1" t="str">
        <f>TEXT(Table1[[#This Row],[Purchase_Date]],"MMM")</f>
        <v>Feb</v>
      </c>
      <c r="N298" s="1" t="str">
        <f>TEXT(Table1[[#This Row],[Purchase_Date]],"DD")</f>
        <v>18</v>
      </c>
      <c r="O298" s="2" t="s">
        <v>41</v>
      </c>
      <c r="P298" s="3">
        <v>10</v>
      </c>
      <c r="Q298" s="2" t="s">
        <v>23</v>
      </c>
      <c r="R298" s="2" t="s">
        <v>24</v>
      </c>
      <c r="S298">
        <f>Table1[[#This Row],[Purchase_Amount]]*Table1[[#This Row],[Quantity]]</f>
        <v>1525.6</v>
      </c>
      <c r="T298" t="str">
        <f>IF(Table1[[#This Row],[Age]]&lt;25,"&lt;25",IF(Table1[[#This Row],[Age]]&lt;=35,"25-35",IF(Table1[[#This Row],[Age]]&lt;=50,"36-50","50+")))</f>
        <v>36-50</v>
      </c>
    </row>
    <row r="299" spans="1:20" x14ac:dyDescent="0.3">
      <c r="A299" s="2" t="s">
        <v>1241</v>
      </c>
      <c r="B299" s="2" t="s">
        <v>54</v>
      </c>
      <c r="C299" s="3">
        <v>39</v>
      </c>
      <c r="D299" s="2" t="s">
        <v>32</v>
      </c>
      <c r="E299" s="2" t="s">
        <v>18</v>
      </c>
      <c r="F299" s="2" t="s">
        <v>27</v>
      </c>
      <c r="G299" t="s">
        <v>34</v>
      </c>
      <c r="H299" t="s">
        <v>317</v>
      </c>
      <c r="I299" s="4">
        <v>836.11</v>
      </c>
      <c r="J299" s="3">
        <v>2</v>
      </c>
      <c r="K299" s="1">
        <v>45593</v>
      </c>
      <c r="L299" s="1" t="str">
        <f>TEXT(Table1[[#This Row],[Purchase_Date]],"YYYY")</f>
        <v>2024</v>
      </c>
      <c r="M299" s="1" t="str">
        <f>TEXT(Table1[[#This Row],[Purchase_Date]],"MMM")</f>
        <v>Oct</v>
      </c>
      <c r="N299" s="1" t="str">
        <f>TEXT(Table1[[#This Row],[Purchase_Date]],"DD")</f>
        <v>28</v>
      </c>
      <c r="O299" s="2" t="s">
        <v>22</v>
      </c>
      <c r="P299" s="3">
        <v>8</v>
      </c>
      <c r="Q299" s="2" t="s">
        <v>46</v>
      </c>
      <c r="R299" s="2" t="s">
        <v>24</v>
      </c>
      <c r="S299">
        <f>Table1[[#This Row],[Purchase_Amount]]*Table1[[#This Row],[Quantity]]</f>
        <v>1672.22</v>
      </c>
      <c r="T299" t="str">
        <f>IF(Table1[[#This Row],[Age]]&lt;25,"&lt;25",IF(Table1[[#This Row],[Age]]&lt;=35,"25-35",IF(Table1[[#This Row],[Age]]&lt;=50,"36-50","50+")))</f>
        <v>36-50</v>
      </c>
    </row>
    <row r="300" spans="1:20" x14ac:dyDescent="0.3">
      <c r="A300" s="2" t="s">
        <v>675</v>
      </c>
      <c r="B300" s="2" t="s">
        <v>54</v>
      </c>
      <c r="C300" s="3">
        <v>40</v>
      </c>
      <c r="D300" s="2" t="s">
        <v>17</v>
      </c>
      <c r="E300" s="2" t="s">
        <v>49</v>
      </c>
      <c r="F300" s="2" t="s">
        <v>44</v>
      </c>
      <c r="G300" t="s">
        <v>34</v>
      </c>
      <c r="H300" t="s">
        <v>246</v>
      </c>
      <c r="I300" s="4">
        <v>614.26</v>
      </c>
      <c r="J300" s="3">
        <v>3</v>
      </c>
      <c r="K300" s="1">
        <v>45126</v>
      </c>
      <c r="L300" s="1" t="str">
        <f>TEXT(Table1[[#This Row],[Purchase_Date]],"YYYY")</f>
        <v>2023</v>
      </c>
      <c r="M300" s="1" t="str">
        <f>TEXT(Table1[[#This Row],[Purchase_Date]],"MMM")</f>
        <v>Jul</v>
      </c>
      <c r="N300" s="1" t="str">
        <f>TEXT(Table1[[#This Row],[Purchase_Date]],"DD")</f>
        <v>19</v>
      </c>
      <c r="O300" s="2" t="s">
        <v>41</v>
      </c>
      <c r="P300" s="3">
        <v>7</v>
      </c>
      <c r="Q300" s="2" t="s">
        <v>23</v>
      </c>
      <c r="R300" s="2" t="s">
        <v>47</v>
      </c>
      <c r="S300">
        <f>Table1[[#This Row],[Purchase_Amount]]*Table1[[#This Row],[Quantity]]</f>
        <v>1842.78</v>
      </c>
      <c r="T300" t="str">
        <f>IF(Table1[[#This Row],[Age]]&lt;25,"&lt;25",IF(Table1[[#This Row],[Age]]&lt;=35,"25-35",IF(Table1[[#This Row],[Age]]&lt;=50,"36-50","50+")))</f>
        <v>36-50</v>
      </c>
    </row>
    <row r="301" spans="1:20" x14ac:dyDescent="0.3">
      <c r="A301" s="2" t="s">
        <v>1122</v>
      </c>
      <c r="B301" s="2" t="s">
        <v>54</v>
      </c>
      <c r="C301" s="3">
        <v>43</v>
      </c>
      <c r="D301" s="2" t="s">
        <v>43</v>
      </c>
      <c r="E301" s="2" t="s">
        <v>33</v>
      </c>
      <c r="F301" s="2" t="s">
        <v>27</v>
      </c>
      <c r="G301" t="s">
        <v>34</v>
      </c>
      <c r="H301" t="s">
        <v>853</v>
      </c>
      <c r="I301" s="4">
        <v>144.30000000000001</v>
      </c>
      <c r="J301" s="3">
        <v>1</v>
      </c>
      <c r="K301" s="1">
        <v>45109</v>
      </c>
      <c r="L301" s="1" t="str">
        <f>TEXT(Table1[[#This Row],[Purchase_Date]],"YYYY")</f>
        <v>2023</v>
      </c>
      <c r="M301" s="1" t="str">
        <f>TEXT(Table1[[#This Row],[Purchase_Date]],"MMM")</f>
        <v>Jul</v>
      </c>
      <c r="N301" s="1" t="str">
        <f>TEXT(Table1[[#This Row],[Purchase_Date]],"DD")</f>
        <v>02</v>
      </c>
      <c r="O301" s="2" t="s">
        <v>36</v>
      </c>
      <c r="P301" s="3">
        <v>9</v>
      </c>
      <c r="Q301" s="2" t="s">
        <v>23</v>
      </c>
      <c r="R301" s="2" t="s">
        <v>24</v>
      </c>
      <c r="S301">
        <f>Table1[[#This Row],[Purchase_Amount]]*Table1[[#This Row],[Quantity]]</f>
        <v>144.30000000000001</v>
      </c>
      <c r="T301" t="str">
        <f>IF(Table1[[#This Row],[Age]]&lt;25,"&lt;25",IF(Table1[[#This Row],[Age]]&lt;=35,"25-35",IF(Table1[[#This Row],[Age]]&lt;=50,"36-50","50+")))</f>
        <v>36-50</v>
      </c>
    </row>
    <row r="302" spans="1:20" x14ac:dyDescent="0.3">
      <c r="A302" s="2" t="s">
        <v>375</v>
      </c>
      <c r="B302" s="2" t="s">
        <v>54</v>
      </c>
      <c r="C302" s="3">
        <v>43</v>
      </c>
      <c r="D302" s="2" t="s">
        <v>43</v>
      </c>
      <c r="E302" s="2" t="s">
        <v>18</v>
      </c>
      <c r="F302" s="2" t="s">
        <v>27</v>
      </c>
      <c r="G302" t="s">
        <v>34</v>
      </c>
      <c r="H302" t="s">
        <v>269</v>
      </c>
      <c r="I302" s="4">
        <v>388.3</v>
      </c>
      <c r="J302" s="3">
        <v>4</v>
      </c>
      <c r="K302" s="1">
        <v>45193</v>
      </c>
      <c r="L302" s="1" t="str">
        <f>TEXT(Table1[[#This Row],[Purchase_Date]],"YYYY")</f>
        <v>2023</v>
      </c>
      <c r="M302" s="1" t="str">
        <f>TEXT(Table1[[#This Row],[Purchase_Date]],"MMM")</f>
        <v>Sep</v>
      </c>
      <c r="N302" s="1" t="str">
        <f>TEXT(Table1[[#This Row],[Purchase_Date]],"DD")</f>
        <v>24</v>
      </c>
      <c r="O302" s="2" t="s">
        <v>36</v>
      </c>
      <c r="P302" s="3">
        <v>7</v>
      </c>
      <c r="Q302" s="2" t="s">
        <v>23</v>
      </c>
      <c r="R302" s="2" t="s">
        <v>47</v>
      </c>
      <c r="S302">
        <f>Table1[[#This Row],[Purchase_Amount]]*Table1[[#This Row],[Quantity]]</f>
        <v>1553.2</v>
      </c>
      <c r="T302" t="str">
        <f>IF(Table1[[#This Row],[Age]]&lt;25,"&lt;25",IF(Table1[[#This Row],[Age]]&lt;=35,"25-35",IF(Table1[[#This Row],[Age]]&lt;=50,"36-50","50+")))</f>
        <v>36-50</v>
      </c>
    </row>
    <row r="303" spans="1:20" x14ac:dyDescent="0.3">
      <c r="A303" s="2" t="s">
        <v>696</v>
      </c>
      <c r="B303" s="2" t="s">
        <v>54</v>
      </c>
      <c r="C303" s="3">
        <v>45</v>
      </c>
      <c r="D303" s="2" t="s">
        <v>43</v>
      </c>
      <c r="E303" s="2" t="s">
        <v>33</v>
      </c>
      <c r="F303" s="2" t="s">
        <v>44</v>
      </c>
      <c r="G303" t="s">
        <v>34</v>
      </c>
      <c r="H303" t="s">
        <v>650</v>
      </c>
      <c r="I303" s="4">
        <v>768.68</v>
      </c>
      <c r="J303" s="3">
        <v>2</v>
      </c>
      <c r="K303" s="1">
        <v>45113</v>
      </c>
      <c r="L303" s="1" t="str">
        <f>TEXT(Table1[[#This Row],[Purchase_Date]],"YYYY")</f>
        <v>2023</v>
      </c>
      <c r="M303" s="1" t="str">
        <f>TEXT(Table1[[#This Row],[Purchase_Date]],"MMM")</f>
        <v>Jul</v>
      </c>
      <c r="N303" s="1" t="str">
        <f>TEXT(Table1[[#This Row],[Purchase_Date]],"DD")</f>
        <v>06</v>
      </c>
      <c r="O303" s="2" t="s">
        <v>36</v>
      </c>
      <c r="P303" s="3">
        <v>5</v>
      </c>
      <c r="Q303" s="2" t="s">
        <v>23</v>
      </c>
      <c r="R303" s="2" t="s">
        <v>47</v>
      </c>
      <c r="S303">
        <f>Table1[[#This Row],[Purchase_Amount]]*Table1[[#This Row],[Quantity]]</f>
        <v>1537.36</v>
      </c>
      <c r="T303" t="str">
        <f>IF(Table1[[#This Row],[Age]]&lt;25,"&lt;25",IF(Table1[[#This Row],[Age]]&lt;=35,"25-35",IF(Table1[[#This Row],[Age]]&lt;=50,"36-50","50+")))</f>
        <v>36-50</v>
      </c>
    </row>
    <row r="304" spans="1:20" x14ac:dyDescent="0.3">
      <c r="A304" s="2" t="s">
        <v>176</v>
      </c>
      <c r="B304" s="2" t="s">
        <v>54</v>
      </c>
      <c r="C304" s="3">
        <v>47</v>
      </c>
      <c r="D304" s="2" t="s">
        <v>32</v>
      </c>
      <c r="E304" s="2" t="s">
        <v>18</v>
      </c>
      <c r="F304" s="2" t="s">
        <v>44</v>
      </c>
      <c r="G304" t="s">
        <v>34</v>
      </c>
      <c r="H304" t="s">
        <v>177</v>
      </c>
      <c r="I304" s="4">
        <v>240.4</v>
      </c>
      <c r="J304" s="3">
        <v>5</v>
      </c>
      <c r="K304" s="1">
        <v>45042</v>
      </c>
      <c r="L304" s="1" t="str">
        <f>TEXT(Table1[[#This Row],[Purchase_Date]],"YYYY")</f>
        <v>2023</v>
      </c>
      <c r="M304" s="1" t="str">
        <f>TEXT(Table1[[#This Row],[Purchase_Date]],"MMM")</f>
        <v>Apr</v>
      </c>
      <c r="N304" s="1" t="str">
        <f>TEXT(Table1[[#This Row],[Purchase_Date]],"DD")</f>
        <v>26</v>
      </c>
      <c r="O304" s="2" t="s">
        <v>36</v>
      </c>
      <c r="P304" s="3">
        <v>2</v>
      </c>
      <c r="Q304" s="2" t="s">
        <v>23</v>
      </c>
      <c r="R304" s="2" t="s">
        <v>47</v>
      </c>
      <c r="S304">
        <f>Table1[[#This Row],[Purchase_Amount]]*Table1[[#This Row],[Quantity]]</f>
        <v>1202</v>
      </c>
      <c r="T304" t="str">
        <f>IF(Table1[[#This Row],[Age]]&lt;25,"&lt;25",IF(Table1[[#This Row],[Age]]&lt;=35,"25-35",IF(Table1[[#This Row],[Age]]&lt;=50,"36-50","50+")))</f>
        <v>36-50</v>
      </c>
    </row>
    <row r="305" spans="1:20" x14ac:dyDescent="0.3">
      <c r="A305" s="2" t="s">
        <v>499</v>
      </c>
      <c r="B305" s="2" t="s">
        <v>54</v>
      </c>
      <c r="C305" s="3">
        <v>47</v>
      </c>
      <c r="D305" s="2" t="s">
        <v>109</v>
      </c>
      <c r="E305" s="2" t="s">
        <v>18</v>
      </c>
      <c r="F305" s="2" t="s">
        <v>44</v>
      </c>
      <c r="G305" t="s">
        <v>34</v>
      </c>
      <c r="H305" t="s">
        <v>243</v>
      </c>
      <c r="I305" s="4">
        <v>480.35</v>
      </c>
      <c r="J305" s="3">
        <v>2</v>
      </c>
      <c r="K305" s="1">
        <v>45435</v>
      </c>
      <c r="L305" s="1" t="str">
        <f>TEXT(Table1[[#This Row],[Purchase_Date]],"YYYY")</f>
        <v>2024</v>
      </c>
      <c r="M305" s="1" t="str">
        <f>TEXT(Table1[[#This Row],[Purchase_Date]],"MMM")</f>
        <v>May</v>
      </c>
      <c r="N305" s="1" t="str">
        <f>TEXT(Table1[[#This Row],[Purchase_Date]],"DD")</f>
        <v>23</v>
      </c>
      <c r="O305" s="2" t="s">
        <v>36</v>
      </c>
      <c r="P305" s="3">
        <v>7</v>
      </c>
      <c r="Q305" s="2" t="s">
        <v>23</v>
      </c>
      <c r="R305" s="2" t="s">
        <v>47</v>
      </c>
      <c r="S305">
        <f>Table1[[#This Row],[Purchase_Amount]]*Table1[[#This Row],[Quantity]]</f>
        <v>960.7</v>
      </c>
      <c r="T305" t="str">
        <f>IF(Table1[[#This Row],[Age]]&lt;25,"&lt;25",IF(Table1[[#This Row],[Age]]&lt;=35,"25-35",IF(Table1[[#This Row],[Age]]&lt;=50,"36-50","50+")))</f>
        <v>36-50</v>
      </c>
    </row>
    <row r="306" spans="1:20" x14ac:dyDescent="0.3">
      <c r="A306" s="2" t="s">
        <v>178</v>
      </c>
      <c r="B306" s="2" t="s">
        <v>54</v>
      </c>
      <c r="C306" s="3">
        <v>48</v>
      </c>
      <c r="D306" s="2" t="s">
        <v>64</v>
      </c>
      <c r="E306" s="2" t="s">
        <v>33</v>
      </c>
      <c r="F306" s="2" t="s">
        <v>27</v>
      </c>
      <c r="G306" t="s">
        <v>34</v>
      </c>
      <c r="H306" t="s">
        <v>179</v>
      </c>
      <c r="I306" s="4">
        <v>63.29</v>
      </c>
      <c r="J306" s="3">
        <v>4</v>
      </c>
      <c r="K306" s="1">
        <v>45118</v>
      </c>
      <c r="L306" s="1" t="str">
        <f>TEXT(Table1[[#This Row],[Purchase_Date]],"YYYY")</f>
        <v>2023</v>
      </c>
      <c r="M306" s="1" t="str">
        <f>TEXT(Table1[[#This Row],[Purchase_Date]],"MMM")</f>
        <v>Jul</v>
      </c>
      <c r="N306" s="1" t="str">
        <f>TEXT(Table1[[#This Row],[Purchase_Date]],"DD")</f>
        <v>11</v>
      </c>
      <c r="O306" s="2" t="s">
        <v>41</v>
      </c>
      <c r="P306" s="3">
        <v>3</v>
      </c>
      <c r="Q306" s="2" t="s">
        <v>23</v>
      </c>
      <c r="R306" s="2" t="s">
        <v>47</v>
      </c>
      <c r="S306">
        <f>Table1[[#This Row],[Purchase_Amount]]*Table1[[#This Row],[Quantity]]</f>
        <v>253.16</v>
      </c>
      <c r="T306" t="str">
        <f>IF(Table1[[#This Row],[Age]]&lt;25,"&lt;25",IF(Table1[[#This Row],[Age]]&lt;=35,"25-35",IF(Table1[[#This Row],[Age]]&lt;=50,"36-50","50+")))</f>
        <v>36-50</v>
      </c>
    </row>
    <row r="307" spans="1:20" x14ac:dyDescent="0.3">
      <c r="A307" s="2" t="s">
        <v>322</v>
      </c>
      <c r="B307" s="2" t="s">
        <v>54</v>
      </c>
      <c r="C307" s="3">
        <v>48</v>
      </c>
      <c r="D307" s="2" t="s">
        <v>78</v>
      </c>
      <c r="E307" s="2" t="s">
        <v>18</v>
      </c>
      <c r="F307" s="2" t="s">
        <v>27</v>
      </c>
      <c r="G307" t="s">
        <v>34</v>
      </c>
      <c r="H307" t="s">
        <v>234</v>
      </c>
      <c r="I307" s="4">
        <v>96.57</v>
      </c>
      <c r="J307" s="3">
        <v>1</v>
      </c>
      <c r="K307" s="1">
        <v>45212</v>
      </c>
      <c r="L307" s="1" t="str">
        <f>TEXT(Table1[[#This Row],[Purchase_Date]],"YYYY")</f>
        <v>2023</v>
      </c>
      <c r="M307" s="1" t="str">
        <f>TEXT(Table1[[#This Row],[Purchase_Date]],"MMM")</f>
        <v>Oct</v>
      </c>
      <c r="N307" s="1" t="str">
        <f>TEXT(Table1[[#This Row],[Purchase_Date]],"DD")</f>
        <v>13</v>
      </c>
      <c r="O307" s="2" t="s">
        <v>41</v>
      </c>
      <c r="P307" s="3">
        <v>7</v>
      </c>
      <c r="Q307" s="2" t="s">
        <v>46</v>
      </c>
      <c r="R307" s="2" t="s">
        <v>24</v>
      </c>
      <c r="S307">
        <f>Table1[[#This Row],[Purchase_Amount]]*Table1[[#This Row],[Quantity]]</f>
        <v>96.57</v>
      </c>
      <c r="T307" t="str">
        <f>IF(Table1[[#This Row],[Age]]&lt;25,"&lt;25",IF(Table1[[#This Row],[Age]]&lt;=35,"25-35",IF(Table1[[#This Row],[Age]]&lt;=50,"36-50","50+")))</f>
        <v>36-50</v>
      </c>
    </row>
    <row r="308" spans="1:20" x14ac:dyDescent="0.3">
      <c r="A308" s="2" t="s">
        <v>257</v>
      </c>
      <c r="B308" s="2" t="s">
        <v>54</v>
      </c>
      <c r="C308" s="3">
        <v>50</v>
      </c>
      <c r="D308" s="2" t="s">
        <v>32</v>
      </c>
      <c r="E308" s="2" t="s">
        <v>18</v>
      </c>
      <c r="F308" s="2" t="s">
        <v>27</v>
      </c>
      <c r="G308" t="s">
        <v>34</v>
      </c>
      <c r="H308" t="s">
        <v>258</v>
      </c>
      <c r="I308" s="4">
        <v>305.08999999999997</v>
      </c>
      <c r="J308" s="3">
        <v>3</v>
      </c>
      <c r="K308" s="1">
        <v>45153</v>
      </c>
      <c r="L308" s="1" t="str">
        <f>TEXT(Table1[[#This Row],[Purchase_Date]],"YYYY")</f>
        <v>2023</v>
      </c>
      <c r="M308" s="1" t="str">
        <f>TEXT(Table1[[#This Row],[Purchase_Date]],"MMM")</f>
        <v>Aug</v>
      </c>
      <c r="N308" s="1" t="str">
        <f>TEXT(Table1[[#This Row],[Purchase_Date]],"DD")</f>
        <v>15</v>
      </c>
      <c r="O308" s="2" t="s">
        <v>41</v>
      </c>
      <c r="P308" s="3">
        <v>8</v>
      </c>
      <c r="Q308" s="2" t="s">
        <v>23</v>
      </c>
      <c r="R308" s="2" t="s">
        <v>24</v>
      </c>
      <c r="S308">
        <f>Table1[[#This Row],[Purchase_Amount]]*Table1[[#This Row],[Quantity]]</f>
        <v>915.27</v>
      </c>
      <c r="T308" t="str">
        <f>IF(Table1[[#This Row],[Age]]&lt;25,"&lt;25",IF(Table1[[#This Row],[Age]]&lt;=35,"25-35",IF(Table1[[#This Row],[Age]]&lt;=50,"36-50","50+")))</f>
        <v>36-50</v>
      </c>
    </row>
    <row r="309" spans="1:20" x14ac:dyDescent="0.3">
      <c r="A309" s="2" t="s">
        <v>546</v>
      </c>
      <c r="B309" s="2" t="s">
        <v>54</v>
      </c>
      <c r="C309" s="3">
        <v>50</v>
      </c>
      <c r="D309" s="2" t="s">
        <v>43</v>
      </c>
      <c r="E309" s="2" t="s">
        <v>18</v>
      </c>
      <c r="F309" s="2" t="s">
        <v>19</v>
      </c>
      <c r="G309" t="s">
        <v>34</v>
      </c>
      <c r="H309" t="s">
        <v>452</v>
      </c>
      <c r="I309" s="4">
        <v>436.04</v>
      </c>
      <c r="J309" s="3">
        <v>1</v>
      </c>
      <c r="K309" s="1">
        <v>45495</v>
      </c>
      <c r="L309" s="1" t="str">
        <f>TEXT(Table1[[#This Row],[Purchase_Date]],"YYYY")</f>
        <v>2024</v>
      </c>
      <c r="M309" s="1" t="str">
        <f>TEXT(Table1[[#This Row],[Purchase_Date]],"MMM")</f>
        <v>Jul</v>
      </c>
      <c r="N309" s="1" t="str">
        <f>TEXT(Table1[[#This Row],[Purchase_Date]],"DD")</f>
        <v>22</v>
      </c>
      <c r="O309" s="2" t="s">
        <v>41</v>
      </c>
      <c r="P309" s="3">
        <v>2</v>
      </c>
      <c r="Q309" s="2" t="s">
        <v>46</v>
      </c>
      <c r="R309" s="2" t="s">
        <v>24</v>
      </c>
      <c r="S309">
        <f>Table1[[#This Row],[Purchase_Amount]]*Table1[[#This Row],[Quantity]]</f>
        <v>436.04</v>
      </c>
      <c r="T309" t="str">
        <f>IF(Table1[[#This Row],[Age]]&lt;25,"&lt;25",IF(Table1[[#This Row],[Age]]&lt;=35,"25-35",IF(Table1[[#This Row],[Age]]&lt;=50,"36-50","50+")))</f>
        <v>36-50</v>
      </c>
    </row>
    <row r="310" spans="1:20" x14ac:dyDescent="0.3">
      <c r="A310" s="2" t="s">
        <v>290</v>
      </c>
      <c r="B310" s="2" t="s">
        <v>54</v>
      </c>
      <c r="C310" s="3">
        <v>50</v>
      </c>
      <c r="D310" s="2" t="s">
        <v>32</v>
      </c>
      <c r="E310" s="2" t="s">
        <v>18</v>
      </c>
      <c r="F310" s="2" t="s">
        <v>27</v>
      </c>
      <c r="G310" t="s">
        <v>34</v>
      </c>
      <c r="H310" t="s">
        <v>291</v>
      </c>
      <c r="I310" s="4">
        <v>771.75</v>
      </c>
      <c r="J310" s="3">
        <v>4</v>
      </c>
      <c r="K310" s="1">
        <v>45104</v>
      </c>
      <c r="L310" s="1" t="str">
        <f>TEXT(Table1[[#This Row],[Purchase_Date]],"YYYY")</f>
        <v>2023</v>
      </c>
      <c r="M310" s="1" t="str">
        <f>TEXT(Table1[[#This Row],[Purchase_Date]],"MMM")</f>
        <v>Jun</v>
      </c>
      <c r="N310" s="1" t="str">
        <f>TEXT(Table1[[#This Row],[Purchase_Date]],"DD")</f>
        <v>27</v>
      </c>
      <c r="O310" s="2" t="s">
        <v>22</v>
      </c>
      <c r="P310" s="3">
        <v>4</v>
      </c>
      <c r="Q310" s="2" t="s">
        <v>23</v>
      </c>
      <c r="R310" s="2" t="s">
        <v>24</v>
      </c>
      <c r="S310">
        <f>Table1[[#This Row],[Purchase_Amount]]*Table1[[#This Row],[Quantity]]</f>
        <v>3087</v>
      </c>
      <c r="T310" t="str">
        <f>IF(Table1[[#This Row],[Age]]&lt;25,"&lt;25",IF(Table1[[#This Row],[Age]]&lt;=35,"25-35",IF(Table1[[#This Row],[Age]]&lt;=50,"36-50","50+")))</f>
        <v>36-50</v>
      </c>
    </row>
    <row r="311" spans="1:20" x14ac:dyDescent="0.3">
      <c r="A311" s="2" t="s">
        <v>956</v>
      </c>
      <c r="B311" s="2" t="s">
        <v>54</v>
      </c>
      <c r="C311" s="3">
        <v>52</v>
      </c>
      <c r="D311" s="2" t="s">
        <v>38</v>
      </c>
      <c r="E311" s="2" t="s">
        <v>18</v>
      </c>
      <c r="F311" s="2" t="s">
        <v>27</v>
      </c>
      <c r="G311" t="s">
        <v>34</v>
      </c>
      <c r="H311" t="s">
        <v>458</v>
      </c>
      <c r="I311" s="4">
        <v>967.3</v>
      </c>
      <c r="J311" s="3">
        <v>2</v>
      </c>
      <c r="K311" s="1">
        <v>45091</v>
      </c>
      <c r="L311" s="1" t="str">
        <f>TEXT(Table1[[#This Row],[Purchase_Date]],"YYYY")</f>
        <v>2023</v>
      </c>
      <c r="M311" s="1" t="str">
        <f>TEXT(Table1[[#This Row],[Purchase_Date]],"MMM")</f>
        <v>Jun</v>
      </c>
      <c r="N311" s="1" t="str">
        <f>TEXT(Table1[[#This Row],[Purchase_Date]],"DD")</f>
        <v>14</v>
      </c>
      <c r="O311" s="2" t="s">
        <v>22</v>
      </c>
      <c r="P311" s="3">
        <v>9</v>
      </c>
      <c r="Q311" s="2" t="s">
        <v>23</v>
      </c>
      <c r="R311" s="2" t="s">
        <v>47</v>
      </c>
      <c r="S311">
        <f>Table1[[#This Row],[Purchase_Amount]]*Table1[[#This Row],[Quantity]]</f>
        <v>1934.6</v>
      </c>
      <c r="T311" t="str">
        <f>IF(Table1[[#This Row],[Age]]&lt;25,"&lt;25",IF(Table1[[#This Row],[Age]]&lt;=35,"25-35",IF(Table1[[#This Row],[Age]]&lt;=50,"36-50","50+")))</f>
        <v>50+</v>
      </c>
    </row>
    <row r="312" spans="1:20" x14ac:dyDescent="0.3">
      <c r="A312" s="2" t="s">
        <v>710</v>
      </c>
      <c r="B312" s="2" t="s">
        <v>54</v>
      </c>
      <c r="C312" s="3">
        <v>53</v>
      </c>
      <c r="D312" s="2" t="s">
        <v>17</v>
      </c>
      <c r="E312" s="2" t="s">
        <v>33</v>
      </c>
      <c r="F312" s="2" t="s">
        <v>27</v>
      </c>
      <c r="G312" t="s">
        <v>34</v>
      </c>
      <c r="H312" t="s">
        <v>45</v>
      </c>
      <c r="I312" s="4">
        <v>758.89</v>
      </c>
      <c r="J312" s="3">
        <v>4</v>
      </c>
      <c r="K312" s="1">
        <v>45588</v>
      </c>
      <c r="L312" s="1" t="str">
        <f>TEXT(Table1[[#This Row],[Purchase_Date]],"YYYY")</f>
        <v>2024</v>
      </c>
      <c r="M312" s="1" t="str">
        <f>TEXT(Table1[[#This Row],[Purchase_Date]],"MMM")</f>
        <v>Oct</v>
      </c>
      <c r="N312" s="1" t="str">
        <f>TEXT(Table1[[#This Row],[Purchase_Date]],"DD")</f>
        <v>23</v>
      </c>
      <c r="O312" s="2" t="s">
        <v>41</v>
      </c>
      <c r="P312" s="3">
        <v>5</v>
      </c>
      <c r="Q312" s="2" t="s">
        <v>23</v>
      </c>
      <c r="R312" s="2" t="s">
        <v>24</v>
      </c>
      <c r="S312">
        <f>Table1[[#This Row],[Purchase_Amount]]*Table1[[#This Row],[Quantity]]</f>
        <v>3035.56</v>
      </c>
      <c r="T312" t="str">
        <f>IF(Table1[[#This Row],[Age]]&lt;25,"&lt;25",IF(Table1[[#This Row],[Age]]&lt;=35,"25-35",IF(Table1[[#This Row],[Age]]&lt;=50,"36-50","50+")))</f>
        <v>50+</v>
      </c>
    </row>
    <row r="313" spans="1:20" x14ac:dyDescent="0.3">
      <c r="A313" s="2" t="s">
        <v>161</v>
      </c>
      <c r="B313" s="2" t="s">
        <v>54</v>
      </c>
      <c r="C313" s="3">
        <v>54</v>
      </c>
      <c r="D313" s="2" t="s">
        <v>32</v>
      </c>
      <c r="E313" s="2" t="s">
        <v>33</v>
      </c>
      <c r="F313" s="2" t="s">
        <v>19</v>
      </c>
      <c r="G313" t="s">
        <v>34</v>
      </c>
      <c r="H313" t="s">
        <v>162</v>
      </c>
      <c r="I313" s="4">
        <v>127.95</v>
      </c>
      <c r="J313" s="3">
        <v>2</v>
      </c>
      <c r="K313" s="1">
        <v>45391</v>
      </c>
      <c r="L313" s="1" t="str">
        <f>TEXT(Table1[[#This Row],[Purchase_Date]],"YYYY")</f>
        <v>2024</v>
      </c>
      <c r="M313" s="1" t="str">
        <f>TEXT(Table1[[#This Row],[Purchase_Date]],"MMM")</f>
        <v>Apr</v>
      </c>
      <c r="N313" s="1" t="str">
        <f>TEXT(Table1[[#This Row],[Purchase_Date]],"DD")</f>
        <v>09</v>
      </c>
      <c r="O313" s="2" t="s">
        <v>36</v>
      </c>
      <c r="P313" s="3">
        <v>7</v>
      </c>
      <c r="Q313" s="2" t="s">
        <v>46</v>
      </c>
      <c r="R313" s="2" t="s">
        <v>47</v>
      </c>
      <c r="S313">
        <f>Table1[[#This Row],[Purchase_Amount]]*Table1[[#This Row],[Quantity]]</f>
        <v>255.9</v>
      </c>
      <c r="T313" t="str">
        <f>IF(Table1[[#This Row],[Age]]&lt;25,"&lt;25",IF(Table1[[#This Row],[Age]]&lt;=35,"25-35",IF(Table1[[#This Row],[Age]]&lt;=50,"36-50","50+")))</f>
        <v>50+</v>
      </c>
    </row>
    <row r="314" spans="1:20" x14ac:dyDescent="0.3">
      <c r="A314" s="2" t="s">
        <v>666</v>
      </c>
      <c r="B314" s="2" t="s">
        <v>54</v>
      </c>
      <c r="C314" s="3">
        <v>55</v>
      </c>
      <c r="D314" s="2" t="s">
        <v>17</v>
      </c>
      <c r="E314" s="2" t="s">
        <v>18</v>
      </c>
      <c r="F314" s="2" t="s">
        <v>44</v>
      </c>
      <c r="G314" t="s">
        <v>34</v>
      </c>
      <c r="H314" t="s">
        <v>667</v>
      </c>
      <c r="I314" s="4">
        <v>760.2</v>
      </c>
      <c r="J314" s="3">
        <v>3</v>
      </c>
      <c r="K314" s="1">
        <v>45126</v>
      </c>
      <c r="L314" s="1" t="str">
        <f>TEXT(Table1[[#This Row],[Purchase_Date]],"YYYY")</f>
        <v>2023</v>
      </c>
      <c r="M314" s="1" t="str">
        <f>TEXT(Table1[[#This Row],[Purchase_Date]],"MMM")</f>
        <v>Jul</v>
      </c>
      <c r="N314" s="1" t="str">
        <f>TEXT(Table1[[#This Row],[Purchase_Date]],"DD")</f>
        <v>19</v>
      </c>
      <c r="O314" s="2" t="s">
        <v>22</v>
      </c>
      <c r="P314" s="3">
        <v>3</v>
      </c>
      <c r="Q314" s="2" t="s">
        <v>23</v>
      </c>
      <c r="R314" s="2" t="s">
        <v>47</v>
      </c>
      <c r="S314">
        <f>Table1[[#This Row],[Purchase_Amount]]*Table1[[#This Row],[Quantity]]</f>
        <v>2280.6000000000004</v>
      </c>
      <c r="T314" t="str">
        <f>IF(Table1[[#This Row],[Age]]&lt;25,"&lt;25",IF(Table1[[#This Row],[Age]]&lt;=35,"25-35",IF(Table1[[#This Row],[Age]]&lt;=50,"36-50","50+")))</f>
        <v>50+</v>
      </c>
    </row>
    <row r="315" spans="1:20" x14ac:dyDescent="0.3">
      <c r="A315" s="2" t="s">
        <v>247</v>
      </c>
      <c r="B315" s="2" t="s">
        <v>54</v>
      </c>
      <c r="C315" s="3">
        <v>55</v>
      </c>
      <c r="D315" s="2" t="s">
        <v>43</v>
      </c>
      <c r="E315" s="2" t="s">
        <v>33</v>
      </c>
      <c r="F315" s="2" t="s">
        <v>19</v>
      </c>
      <c r="G315" t="s">
        <v>34</v>
      </c>
      <c r="H315" t="s">
        <v>35</v>
      </c>
      <c r="I315" s="4">
        <v>906.25</v>
      </c>
      <c r="J315" s="3">
        <v>4</v>
      </c>
      <c r="K315" s="1">
        <v>45244</v>
      </c>
      <c r="L315" s="1" t="str">
        <f>TEXT(Table1[[#This Row],[Purchase_Date]],"YYYY")</f>
        <v>2023</v>
      </c>
      <c r="M315" s="1" t="str">
        <f>TEXT(Table1[[#This Row],[Purchase_Date]],"MMM")</f>
        <v>Nov</v>
      </c>
      <c r="N315" s="1" t="str">
        <f>TEXT(Table1[[#This Row],[Purchase_Date]],"DD")</f>
        <v>14</v>
      </c>
      <c r="O315" s="2" t="s">
        <v>36</v>
      </c>
      <c r="P315" s="3">
        <v>10</v>
      </c>
      <c r="Q315" s="2" t="s">
        <v>23</v>
      </c>
      <c r="R315" s="2" t="s">
        <v>47</v>
      </c>
      <c r="S315">
        <f>Table1[[#This Row],[Purchase_Amount]]*Table1[[#This Row],[Quantity]]</f>
        <v>3625</v>
      </c>
      <c r="T315" t="str">
        <f>IF(Table1[[#This Row],[Age]]&lt;25,"&lt;25",IF(Table1[[#This Row],[Age]]&lt;=35,"25-35",IF(Table1[[#This Row],[Age]]&lt;=50,"36-50","50+")))</f>
        <v>50+</v>
      </c>
    </row>
    <row r="316" spans="1:20" x14ac:dyDescent="0.3">
      <c r="A316" s="2" t="s">
        <v>1045</v>
      </c>
      <c r="B316" s="2" t="s">
        <v>54</v>
      </c>
      <c r="C316" s="3">
        <v>56</v>
      </c>
      <c r="D316" s="2" t="s">
        <v>32</v>
      </c>
      <c r="E316" s="2" t="s">
        <v>33</v>
      </c>
      <c r="F316" s="2" t="s">
        <v>44</v>
      </c>
      <c r="G316" t="s">
        <v>34</v>
      </c>
      <c r="H316" t="s">
        <v>1046</v>
      </c>
      <c r="I316" s="4">
        <v>19.73</v>
      </c>
      <c r="J316" s="3">
        <v>2</v>
      </c>
      <c r="K316" s="1">
        <v>45394</v>
      </c>
      <c r="L316" s="1" t="str">
        <f>TEXT(Table1[[#This Row],[Purchase_Date]],"YYYY")</f>
        <v>2024</v>
      </c>
      <c r="M316" s="1" t="str">
        <f>TEXT(Table1[[#This Row],[Purchase_Date]],"MMM")</f>
        <v>Apr</v>
      </c>
      <c r="N316" s="1" t="str">
        <f>TEXT(Table1[[#This Row],[Purchase_Date]],"DD")</f>
        <v>12</v>
      </c>
      <c r="O316" s="2" t="s">
        <v>36</v>
      </c>
      <c r="P316" s="3">
        <v>2</v>
      </c>
      <c r="Q316" s="2" t="s">
        <v>46</v>
      </c>
      <c r="R316" s="2" t="s">
        <v>47</v>
      </c>
      <c r="S316">
        <f>Table1[[#This Row],[Purchase_Amount]]*Table1[[#This Row],[Quantity]]</f>
        <v>39.46</v>
      </c>
      <c r="T316" t="str">
        <f>IF(Table1[[#This Row],[Age]]&lt;25,"&lt;25",IF(Table1[[#This Row],[Age]]&lt;=35,"25-35",IF(Table1[[#This Row],[Age]]&lt;=50,"36-50","50+")))</f>
        <v>50+</v>
      </c>
    </row>
    <row r="317" spans="1:20" x14ac:dyDescent="0.3">
      <c r="A317" s="2" t="s">
        <v>484</v>
      </c>
      <c r="B317" s="2" t="s">
        <v>54</v>
      </c>
      <c r="C317" s="3">
        <v>58</v>
      </c>
      <c r="D317" s="2" t="s">
        <v>109</v>
      </c>
      <c r="E317" s="2" t="s">
        <v>49</v>
      </c>
      <c r="F317" s="2" t="s">
        <v>19</v>
      </c>
      <c r="G317" t="s">
        <v>34</v>
      </c>
      <c r="H317" t="s">
        <v>485</v>
      </c>
      <c r="I317" s="4">
        <v>751.88</v>
      </c>
      <c r="J317" s="3">
        <v>2</v>
      </c>
      <c r="K317" s="1">
        <v>45441</v>
      </c>
      <c r="L317" s="1" t="str">
        <f>TEXT(Table1[[#This Row],[Purchase_Date]],"YYYY")</f>
        <v>2024</v>
      </c>
      <c r="M317" s="1" t="str">
        <f>TEXT(Table1[[#This Row],[Purchase_Date]],"MMM")</f>
        <v>May</v>
      </c>
      <c r="N317" s="1" t="str">
        <f>TEXT(Table1[[#This Row],[Purchase_Date]],"DD")</f>
        <v>29</v>
      </c>
      <c r="O317" s="2" t="s">
        <v>22</v>
      </c>
      <c r="P317" s="3">
        <v>3</v>
      </c>
      <c r="Q317" s="2" t="s">
        <v>23</v>
      </c>
      <c r="R317" s="2" t="s">
        <v>47</v>
      </c>
      <c r="S317">
        <f>Table1[[#This Row],[Purchase_Amount]]*Table1[[#This Row],[Quantity]]</f>
        <v>1503.76</v>
      </c>
      <c r="T317" t="str">
        <f>IF(Table1[[#This Row],[Age]]&lt;25,"&lt;25",IF(Table1[[#This Row],[Age]]&lt;=35,"25-35",IF(Table1[[#This Row],[Age]]&lt;=50,"36-50","50+")))</f>
        <v>50+</v>
      </c>
    </row>
    <row r="318" spans="1:20" x14ac:dyDescent="0.3">
      <c r="A318" s="2" t="s">
        <v>1043</v>
      </c>
      <c r="B318" s="2" t="s">
        <v>54</v>
      </c>
      <c r="C318" s="3">
        <v>60</v>
      </c>
      <c r="D318" s="2" t="s">
        <v>32</v>
      </c>
      <c r="E318" s="2" t="s">
        <v>18</v>
      </c>
      <c r="F318" s="2" t="s">
        <v>27</v>
      </c>
      <c r="G318" t="s">
        <v>34</v>
      </c>
      <c r="H318" t="s">
        <v>234</v>
      </c>
      <c r="I318" s="4">
        <v>70.3</v>
      </c>
      <c r="J318" s="3">
        <v>3</v>
      </c>
      <c r="K318" s="1">
        <v>45491</v>
      </c>
      <c r="L318" s="1" t="str">
        <f>TEXT(Table1[[#This Row],[Purchase_Date]],"YYYY")</f>
        <v>2024</v>
      </c>
      <c r="M318" s="1" t="str">
        <f>TEXT(Table1[[#This Row],[Purchase_Date]],"MMM")</f>
        <v>Jul</v>
      </c>
      <c r="N318" s="1" t="str">
        <f>TEXT(Table1[[#This Row],[Purchase_Date]],"DD")</f>
        <v>18</v>
      </c>
      <c r="O318" s="2" t="s">
        <v>22</v>
      </c>
      <c r="P318" s="3">
        <v>5</v>
      </c>
      <c r="Q318" s="2" t="s">
        <v>46</v>
      </c>
      <c r="R318" s="2" t="s">
        <v>24</v>
      </c>
      <c r="S318">
        <f>Table1[[#This Row],[Purchase_Amount]]*Table1[[#This Row],[Quantity]]</f>
        <v>210.89999999999998</v>
      </c>
      <c r="T318" t="str">
        <f>IF(Table1[[#This Row],[Age]]&lt;25,"&lt;25",IF(Table1[[#This Row],[Age]]&lt;=35,"25-35",IF(Table1[[#This Row],[Age]]&lt;=50,"36-50","50+")))</f>
        <v>50+</v>
      </c>
    </row>
    <row r="319" spans="1:20" x14ac:dyDescent="0.3">
      <c r="A319" s="2" t="s">
        <v>182</v>
      </c>
      <c r="B319" s="2" t="s">
        <v>54</v>
      </c>
      <c r="C319" s="3">
        <v>61</v>
      </c>
      <c r="D319" s="2" t="s">
        <v>38</v>
      </c>
      <c r="E319" s="2" t="s">
        <v>33</v>
      </c>
      <c r="F319" s="2" t="s">
        <v>44</v>
      </c>
      <c r="G319" t="s">
        <v>34</v>
      </c>
      <c r="H319" t="s">
        <v>183</v>
      </c>
      <c r="I319" s="4">
        <v>397.89</v>
      </c>
      <c r="J319" s="3">
        <v>4</v>
      </c>
      <c r="K319" s="1">
        <v>45249</v>
      </c>
      <c r="L319" s="1" t="str">
        <f>TEXT(Table1[[#This Row],[Purchase_Date]],"YYYY")</f>
        <v>2023</v>
      </c>
      <c r="M319" s="1" t="str">
        <f>TEXT(Table1[[#This Row],[Purchase_Date]],"MMM")</f>
        <v>Nov</v>
      </c>
      <c r="N319" s="1" t="str">
        <f>TEXT(Table1[[#This Row],[Purchase_Date]],"DD")</f>
        <v>19</v>
      </c>
      <c r="O319" s="2" t="s">
        <v>41</v>
      </c>
      <c r="P319" s="3">
        <v>7</v>
      </c>
      <c r="Q319" s="2" t="s">
        <v>23</v>
      </c>
      <c r="R319" s="2" t="s">
        <v>24</v>
      </c>
      <c r="S319">
        <f>Table1[[#This Row],[Purchase_Amount]]*Table1[[#This Row],[Quantity]]</f>
        <v>1591.56</v>
      </c>
      <c r="T319" t="str">
        <f>IF(Table1[[#This Row],[Age]]&lt;25,"&lt;25",IF(Table1[[#This Row],[Age]]&lt;=35,"25-35",IF(Table1[[#This Row],[Age]]&lt;=50,"36-50","50+")))</f>
        <v>50+</v>
      </c>
    </row>
    <row r="320" spans="1:20" x14ac:dyDescent="0.3">
      <c r="A320" s="2" t="s">
        <v>1200</v>
      </c>
      <c r="B320" s="2" t="s">
        <v>54</v>
      </c>
      <c r="C320" s="3">
        <v>61</v>
      </c>
      <c r="D320" s="2" t="s">
        <v>109</v>
      </c>
      <c r="E320" s="2" t="s">
        <v>49</v>
      </c>
      <c r="F320" s="2" t="s">
        <v>27</v>
      </c>
      <c r="G320" t="s">
        <v>34</v>
      </c>
      <c r="H320" t="s">
        <v>87</v>
      </c>
      <c r="I320" s="4">
        <v>443.66</v>
      </c>
      <c r="J320" s="3">
        <v>3</v>
      </c>
      <c r="K320" s="1">
        <v>45262</v>
      </c>
      <c r="L320" s="1" t="str">
        <f>TEXT(Table1[[#This Row],[Purchase_Date]],"YYYY")</f>
        <v>2023</v>
      </c>
      <c r="M320" s="1" t="str">
        <f>TEXT(Table1[[#This Row],[Purchase_Date]],"MMM")</f>
        <v>Dec</v>
      </c>
      <c r="N320" s="1" t="str">
        <f>TEXT(Table1[[#This Row],[Purchase_Date]],"DD")</f>
        <v>02</v>
      </c>
      <c r="O320" s="2" t="s">
        <v>36</v>
      </c>
      <c r="P320" s="3">
        <v>8</v>
      </c>
      <c r="Q320" s="2" t="s">
        <v>23</v>
      </c>
      <c r="R320" s="2" t="s">
        <v>47</v>
      </c>
      <c r="S320">
        <f>Table1[[#This Row],[Purchase_Amount]]*Table1[[#This Row],[Quantity]]</f>
        <v>1330.98</v>
      </c>
      <c r="T320" t="str">
        <f>IF(Table1[[#This Row],[Age]]&lt;25,"&lt;25",IF(Table1[[#This Row],[Age]]&lt;=35,"25-35",IF(Table1[[#This Row],[Age]]&lt;=50,"36-50","50+")))</f>
        <v>50+</v>
      </c>
    </row>
    <row r="321" spans="1:20" x14ac:dyDescent="0.3">
      <c r="A321" s="2" t="s">
        <v>342</v>
      </c>
      <c r="B321" s="2" t="s">
        <v>54</v>
      </c>
      <c r="C321" s="3">
        <v>62</v>
      </c>
      <c r="D321" s="2" t="s">
        <v>78</v>
      </c>
      <c r="E321" s="2" t="s">
        <v>33</v>
      </c>
      <c r="F321" s="2" t="s">
        <v>19</v>
      </c>
      <c r="G321" t="s">
        <v>34</v>
      </c>
      <c r="H321" t="s">
        <v>343</v>
      </c>
      <c r="I321" s="4">
        <v>117.6</v>
      </c>
      <c r="J321" s="3">
        <v>2</v>
      </c>
      <c r="K321" s="1">
        <v>45020</v>
      </c>
      <c r="L321" s="1" t="str">
        <f>TEXT(Table1[[#This Row],[Purchase_Date]],"YYYY")</f>
        <v>2023</v>
      </c>
      <c r="M321" s="1" t="str">
        <f>TEXT(Table1[[#This Row],[Purchase_Date]],"MMM")</f>
        <v>Apr</v>
      </c>
      <c r="N321" s="1" t="str">
        <f>TEXT(Table1[[#This Row],[Purchase_Date]],"DD")</f>
        <v>04</v>
      </c>
      <c r="O321" s="2" t="s">
        <v>30</v>
      </c>
      <c r="P321" s="3">
        <v>5</v>
      </c>
      <c r="Q321" s="2" t="s">
        <v>46</v>
      </c>
      <c r="R321" s="2" t="s">
        <v>24</v>
      </c>
      <c r="S321">
        <f>Table1[[#This Row],[Purchase_Amount]]*Table1[[#This Row],[Quantity]]</f>
        <v>235.2</v>
      </c>
      <c r="T321" t="str">
        <f>IF(Table1[[#This Row],[Age]]&lt;25,"&lt;25",IF(Table1[[#This Row],[Age]]&lt;=35,"25-35",IF(Table1[[#This Row],[Age]]&lt;=50,"36-50","50+")))</f>
        <v>50+</v>
      </c>
    </row>
    <row r="322" spans="1:20" x14ac:dyDescent="0.3">
      <c r="A322" s="2" t="s">
        <v>1124</v>
      </c>
      <c r="B322" s="2" t="s">
        <v>54</v>
      </c>
      <c r="C322" s="3">
        <v>63</v>
      </c>
      <c r="D322" s="2" t="s">
        <v>64</v>
      </c>
      <c r="E322" s="2" t="s">
        <v>18</v>
      </c>
      <c r="F322" s="2" t="s">
        <v>19</v>
      </c>
      <c r="G322" t="s">
        <v>34</v>
      </c>
      <c r="H322" t="s">
        <v>171</v>
      </c>
      <c r="I322" s="4">
        <v>391.21</v>
      </c>
      <c r="J322" s="3">
        <v>5</v>
      </c>
      <c r="K322" s="1">
        <v>45214</v>
      </c>
      <c r="L322" s="1" t="str">
        <f>TEXT(Table1[[#This Row],[Purchase_Date]],"YYYY")</f>
        <v>2023</v>
      </c>
      <c r="M322" s="1" t="str">
        <f>TEXT(Table1[[#This Row],[Purchase_Date]],"MMM")</f>
        <v>Oct</v>
      </c>
      <c r="N322" s="1" t="str">
        <f>TEXT(Table1[[#This Row],[Purchase_Date]],"DD")</f>
        <v>15</v>
      </c>
      <c r="O322" s="2" t="s">
        <v>36</v>
      </c>
      <c r="P322" s="3">
        <v>5</v>
      </c>
      <c r="Q322" s="2" t="s">
        <v>23</v>
      </c>
      <c r="R322" s="2" t="s">
        <v>24</v>
      </c>
      <c r="S322">
        <f>Table1[[#This Row],[Purchase_Amount]]*Table1[[#This Row],[Quantity]]</f>
        <v>1956.05</v>
      </c>
      <c r="T322" t="str">
        <f>IF(Table1[[#This Row],[Age]]&lt;25,"&lt;25",IF(Table1[[#This Row],[Age]]&lt;=35,"25-35",IF(Table1[[#This Row],[Age]]&lt;=50,"36-50","50+")))</f>
        <v>50+</v>
      </c>
    </row>
    <row r="323" spans="1:20" x14ac:dyDescent="0.3">
      <c r="A323" s="2" t="s">
        <v>180</v>
      </c>
      <c r="B323" s="2" t="s">
        <v>54</v>
      </c>
      <c r="C323" s="3">
        <v>66</v>
      </c>
      <c r="D323" s="2" t="s">
        <v>38</v>
      </c>
      <c r="E323" s="2" t="s">
        <v>18</v>
      </c>
      <c r="F323" s="2" t="s">
        <v>19</v>
      </c>
      <c r="G323" t="s">
        <v>34</v>
      </c>
      <c r="H323" t="s">
        <v>72</v>
      </c>
      <c r="I323" s="4">
        <v>197.98</v>
      </c>
      <c r="J323" s="3">
        <v>4</v>
      </c>
      <c r="K323" s="1">
        <v>45591</v>
      </c>
      <c r="L323" s="1" t="str">
        <f>TEXT(Table1[[#This Row],[Purchase_Date]],"YYYY")</f>
        <v>2024</v>
      </c>
      <c r="M323" s="1" t="str">
        <f>TEXT(Table1[[#This Row],[Purchase_Date]],"MMM")</f>
        <v>Oct</v>
      </c>
      <c r="N323" s="1" t="str">
        <f>TEXT(Table1[[#This Row],[Purchase_Date]],"DD")</f>
        <v>26</v>
      </c>
      <c r="O323" s="2" t="s">
        <v>30</v>
      </c>
      <c r="P323" s="3">
        <v>9</v>
      </c>
      <c r="Q323" s="2" t="s">
        <v>23</v>
      </c>
      <c r="R323" s="2" t="s">
        <v>24</v>
      </c>
      <c r="S323">
        <f>Table1[[#This Row],[Purchase_Amount]]*Table1[[#This Row],[Quantity]]</f>
        <v>791.92</v>
      </c>
      <c r="T323" t="str">
        <f>IF(Table1[[#This Row],[Age]]&lt;25,"&lt;25",IF(Table1[[#This Row],[Age]]&lt;=35,"25-35",IF(Table1[[#This Row],[Age]]&lt;=50,"36-50","50+")))</f>
        <v>50+</v>
      </c>
    </row>
    <row r="324" spans="1:20" x14ac:dyDescent="0.3">
      <c r="A324" s="2" t="s">
        <v>845</v>
      </c>
      <c r="B324" s="2" t="s">
        <v>54</v>
      </c>
      <c r="C324" s="3">
        <v>66</v>
      </c>
      <c r="D324" s="2" t="s">
        <v>109</v>
      </c>
      <c r="E324" s="2" t="s">
        <v>49</v>
      </c>
      <c r="F324" s="2" t="s">
        <v>27</v>
      </c>
      <c r="G324" t="s">
        <v>34</v>
      </c>
      <c r="H324" t="s">
        <v>671</v>
      </c>
      <c r="I324" s="4">
        <v>490.38</v>
      </c>
      <c r="J324" s="3">
        <v>3</v>
      </c>
      <c r="K324" s="1">
        <v>45266</v>
      </c>
      <c r="L324" s="1" t="str">
        <f>TEXT(Table1[[#This Row],[Purchase_Date]],"YYYY")</f>
        <v>2023</v>
      </c>
      <c r="M324" s="1" t="str">
        <f>TEXT(Table1[[#This Row],[Purchase_Date]],"MMM")</f>
        <v>Dec</v>
      </c>
      <c r="N324" s="1" t="str">
        <f>TEXT(Table1[[#This Row],[Purchase_Date]],"DD")</f>
        <v>06</v>
      </c>
      <c r="O324" s="2" t="s">
        <v>22</v>
      </c>
      <c r="P324" s="3">
        <v>1</v>
      </c>
      <c r="Q324" s="2" t="s">
        <v>23</v>
      </c>
      <c r="R324" s="2" t="s">
        <v>24</v>
      </c>
      <c r="S324">
        <f>Table1[[#This Row],[Purchase_Amount]]*Table1[[#This Row],[Quantity]]</f>
        <v>1471.1399999999999</v>
      </c>
      <c r="T324" t="str">
        <f>IF(Table1[[#This Row],[Age]]&lt;25,"&lt;25",IF(Table1[[#This Row],[Age]]&lt;=35,"25-35",IF(Table1[[#This Row],[Age]]&lt;=50,"36-50","50+")))</f>
        <v>50+</v>
      </c>
    </row>
    <row r="325" spans="1:20" x14ac:dyDescent="0.3">
      <c r="A325" s="2" t="s">
        <v>84</v>
      </c>
      <c r="B325" s="2" t="s">
        <v>54</v>
      </c>
      <c r="C325" s="3">
        <v>68</v>
      </c>
      <c r="D325" s="2" t="s">
        <v>78</v>
      </c>
      <c r="E325" s="2" t="s">
        <v>49</v>
      </c>
      <c r="F325" s="2" t="s">
        <v>44</v>
      </c>
      <c r="G325" t="s">
        <v>34</v>
      </c>
      <c r="H325" t="s">
        <v>85</v>
      </c>
      <c r="I325" s="4">
        <v>363.62</v>
      </c>
      <c r="J325" s="3">
        <v>4</v>
      </c>
      <c r="K325" s="1">
        <v>45371</v>
      </c>
      <c r="L325" s="1" t="str">
        <f>TEXT(Table1[[#This Row],[Purchase_Date]],"YYYY")</f>
        <v>2024</v>
      </c>
      <c r="M325" s="1" t="str">
        <f>TEXT(Table1[[#This Row],[Purchase_Date]],"MMM")</f>
        <v>Mar</v>
      </c>
      <c r="N325" s="1" t="str">
        <f>TEXT(Table1[[#This Row],[Purchase_Date]],"DD")</f>
        <v>20</v>
      </c>
      <c r="O325" s="2" t="s">
        <v>41</v>
      </c>
      <c r="P325" s="3">
        <v>9</v>
      </c>
      <c r="Q325" s="2" t="s">
        <v>46</v>
      </c>
      <c r="R325" s="2" t="s">
        <v>24</v>
      </c>
      <c r="S325">
        <f>Table1[[#This Row],[Purchase_Amount]]*Table1[[#This Row],[Quantity]]</f>
        <v>1454.48</v>
      </c>
      <c r="T325" t="str">
        <f>IF(Table1[[#This Row],[Age]]&lt;25,"&lt;25",IF(Table1[[#This Row],[Age]]&lt;=35,"25-35",IF(Table1[[#This Row],[Age]]&lt;=50,"36-50","50+")))</f>
        <v>50+</v>
      </c>
    </row>
    <row r="326" spans="1:20" x14ac:dyDescent="0.3">
      <c r="A326" s="2" t="s">
        <v>625</v>
      </c>
      <c r="B326" s="2" t="s">
        <v>54</v>
      </c>
      <c r="C326" s="3">
        <v>69</v>
      </c>
      <c r="D326" s="2" t="s">
        <v>78</v>
      </c>
      <c r="E326" s="2" t="s">
        <v>18</v>
      </c>
      <c r="F326" s="2" t="s">
        <v>44</v>
      </c>
      <c r="G326" t="s">
        <v>34</v>
      </c>
      <c r="H326" t="s">
        <v>349</v>
      </c>
      <c r="I326" s="4">
        <v>434.86</v>
      </c>
      <c r="J326" s="3">
        <v>5</v>
      </c>
      <c r="K326" s="1">
        <v>45429</v>
      </c>
      <c r="L326" s="1" t="str">
        <f>TEXT(Table1[[#This Row],[Purchase_Date]],"YYYY")</f>
        <v>2024</v>
      </c>
      <c r="M326" s="1" t="str">
        <f>TEXT(Table1[[#This Row],[Purchase_Date]],"MMM")</f>
        <v>May</v>
      </c>
      <c r="N326" s="1" t="str">
        <f>TEXT(Table1[[#This Row],[Purchase_Date]],"DD")</f>
        <v>17</v>
      </c>
      <c r="O326" s="2" t="s">
        <v>22</v>
      </c>
      <c r="P326" s="3">
        <v>1</v>
      </c>
      <c r="Q326" s="2" t="s">
        <v>46</v>
      </c>
      <c r="R326" s="2" t="s">
        <v>47</v>
      </c>
      <c r="S326">
        <f>Table1[[#This Row],[Purchase_Amount]]*Table1[[#This Row],[Quantity]]</f>
        <v>2174.3000000000002</v>
      </c>
      <c r="T326" t="str">
        <f>IF(Table1[[#This Row],[Age]]&lt;25,"&lt;25",IF(Table1[[#This Row],[Age]]&lt;=35,"25-35",IF(Table1[[#This Row],[Age]]&lt;=50,"36-50","50+")))</f>
        <v>50+</v>
      </c>
    </row>
    <row r="327" spans="1:20" x14ac:dyDescent="0.3">
      <c r="A327" s="2" t="s">
        <v>581</v>
      </c>
      <c r="B327" s="2" t="s">
        <v>54</v>
      </c>
      <c r="C327" s="3">
        <v>69</v>
      </c>
      <c r="D327" s="2" t="s">
        <v>43</v>
      </c>
      <c r="E327" s="2" t="s">
        <v>33</v>
      </c>
      <c r="F327" s="2" t="s">
        <v>44</v>
      </c>
      <c r="G327" t="s">
        <v>34</v>
      </c>
      <c r="H327" t="s">
        <v>582</v>
      </c>
      <c r="I327" s="4">
        <v>764.59</v>
      </c>
      <c r="J327" s="3">
        <v>5</v>
      </c>
      <c r="K327" s="1">
        <v>45486</v>
      </c>
      <c r="L327" s="1" t="str">
        <f>TEXT(Table1[[#This Row],[Purchase_Date]],"YYYY")</f>
        <v>2024</v>
      </c>
      <c r="M327" s="1" t="str">
        <f>TEXT(Table1[[#This Row],[Purchase_Date]],"MMM")</f>
        <v>Jul</v>
      </c>
      <c r="N327" s="1" t="str">
        <f>TEXT(Table1[[#This Row],[Purchase_Date]],"DD")</f>
        <v>13</v>
      </c>
      <c r="O327" s="2" t="s">
        <v>22</v>
      </c>
      <c r="P327" s="3">
        <v>5</v>
      </c>
      <c r="Q327" s="2" t="s">
        <v>23</v>
      </c>
      <c r="R327" s="2" t="s">
        <v>24</v>
      </c>
      <c r="S327">
        <f>Table1[[#This Row],[Purchase_Amount]]*Table1[[#This Row],[Quantity]]</f>
        <v>3822.9500000000003</v>
      </c>
      <c r="T327" t="str">
        <f>IF(Table1[[#This Row],[Age]]&lt;25,"&lt;25",IF(Table1[[#This Row],[Age]]&lt;=35,"25-35",IF(Table1[[#This Row],[Age]]&lt;=50,"36-50","50+")))</f>
        <v>50+</v>
      </c>
    </row>
    <row r="328" spans="1:20" x14ac:dyDescent="0.3">
      <c r="A328" s="2" t="s">
        <v>1161</v>
      </c>
      <c r="B328" s="2" t="s">
        <v>26</v>
      </c>
      <c r="C328" s="3">
        <v>18</v>
      </c>
      <c r="D328" s="2" t="s">
        <v>64</v>
      </c>
      <c r="E328" s="2" t="s">
        <v>49</v>
      </c>
      <c r="F328" s="2" t="s">
        <v>27</v>
      </c>
      <c r="G328" t="s">
        <v>55</v>
      </c>
      <c r="H328" t="s">
        <v>160</v>
      </c>
      <c r="I328" s="4">
        <v>474.33</v>
      </c>
      <c r="J328" s="3">
        <v>2</v>
      </c>
      <c r="K328" s="1">
        <v>45124</v>
      </c>
      <c r="L328" s="1" t="str">
        <f>TEXT(Table1[[#This Row],[Purchase_Date]],"YYYY")</f>
        <v>2023</v>
      </c>
      <c r="M328" s="1" t="str">
        <f>TEXT(Table1[[#This Row],[Purchase_Date]],"MMM")</f>
        <v>Jul</v>
      </c>
      <c r="N328" s="1" t="str">
        <f>TEXT(Table1[[#This Row],[Purchase_Date]],"DD")</f>
        <v>17</v>
      </c>
      <c r="O328" s="2" t="s">
        <v>36</v>
      </c>
      <c r="P328" s="3">
        <v>10</v>
      </c>
      <c r="Q328" s="2" t="s">
        <v>23</v>
      </c>
      <c r="R328" s="2" t="s">
        <v>47</v>
      </c>
      <c r="S328">
        <f>Table1[[#This Row],[Purchase_Amount]]*Table1[[#This Row],[Quantity]]</f>
        <v>948.66</v>
      </c>
      <c r="T328" t="str">
        <f>IF(Table1[[#This Row],[Age]]&lt;25,"&lt;25",IF(Table1[[#This Row],[Age]]&lt;=35,"25-35",IF(Table1[[#This Row],[Age]]&lt;=50,"36-50","50+")))</f>
        <v>&lt;25</v>
      </c>
    </row>
    <row r="329" spans="1:20" x14ac:dyDescent="0.3">
      <c r="A329" s="2" t="s">
        <v>426</v>
      </c>
      <c r="B329" s="2" t="s">
        <v>26</v>
      </c>
      <c r="C329" s="3">
        <v>18</v>
      </c>
      <c r="D329" s="2" t="s">
        <v>109</v>
      </c>
      <c r="E329" s="2" t="s">
        <v>18</v>
      </c>
      <c r="F329" s="2" t="s">
        <v>19</v>
      </c>
      <c r="G329" t="s">
        <v>55</v>
      </c>
      <c r="H329" t="s">
        <v>198</v>
      </c>
      <c r="I329" s="4">
        <v>539.21</v>
      </c>
      <c r="J329" s="3">
        <v>4</v>
      </c>
      <c r="K329" s="1">
        <v>45085</v>
      </c>
      <c r="L329" s="1" t="str">
        <f>TEXT(Table1[[#This Row],[Purchase_Date]],"YYYY")</f>
        <v>2023</v>
      </c>
      <c r="M329" s="1" t="str">
        <f>TEXT(Table1[[#This Row],[Purchase_Date]],"MMM")</f>
        <v>Jun</v>
      </c>
      <c r="N329" s="1" t="str">
        <f>TEXT(Table1[[#This Row],[Purchase_Date]],"DD")</f>
        <v>08</v>
      </c>
      <c r="O329" s="2" t="s">
        <v>36</v>
      </c>
      <c r="P329" s="3">
        <v>7</v>
      </c>
      <c r="Q329" s="2" t="s">
        <v>46</v>
      </c>
      <c r="R329" s="2" t="s">
        <v>24</v>
      </c>
      <c r="S329">
        <f>Table1[[#This Row],[Purchase_Amount]]*Table1[[#This Row],[Quantity]]</f>
        <v>2156.84</v>
      </c>
      <c r="T329" t="str">
        <f>IF(Table1[[#This Row],[Age]]&lt;25,"&lt;25",IF(Table1[[#This Row],[Age]]&lt;=35,"25-35",IF(Table1[[#This Row],[Age]]&lt;=50,"36-50","50+")))</f>
        <v>&lt;25</v>
      </c>
    </row>
    <row r="330" spans="1:20" x14ac:dyDescent="0.3">
      <c r="A330" s="2" t="s">
        <v>309</v>
      </c>
      <c r="B330" s="2" t="s">
        <v>26</v>
      </c>
      <c r="C330" s="3">
        <v>21</v>
      </c>
      <c r="D330" s="2" t="s">
        <v>32</v>
      </c>
      <c r="E330" s="2" t="s">
        <v>33</v>
      </c>
      <c r="F330" s="2" t="s">
        <v>44</v>
      </c>
      <c r="G330" t="s">
        <v>55</v>
      </c>
      <c r="H330" t="s">
        <v>95</v>
      </c>
      <c r="I330" s="4">
        <v>694.33</v>
      </c>
      <c r="J330" s="3">
        <v>2</v>
      </c>
      <c r="K330" s="1">
        <v>45424</v>
      </c>
      <c r="L330" s="1" t="str">
        <f>TEXT(Table1[[#This Row],[Purchase_Date]],"YYYY")</f>
        <v>2024</v>
      </c>
      <c r="M330" s="1" t="str">
        <f>TEXT(Table1[[#This Row],[Purchase_Date]],"MMM")</f>
        <v>May</v>
      </c>
      <c r="N330" s="1" t="str">
        <f>TEXT(Table1[[#This Row],[Purchase_Date]],"DD")</f>
        <v>12</v>
      </c>
      <c r="O330" s="2" t="s">
        <v>36</v>
      </c>
      <c r="P330" s="3">
        <v>10</v>
      </c>
      <c r="Q330" s="2" t="s">
        <v>46</v>
      </c>
      <c r="R330" s="2" t="s">
        <v>24</v>
      </c>
      <c r="S330">
        <f>Table1[[#This Row],[Purchase_Amount]]*Table1[[#This Row],[Quantity]]</f>
        <v>1388.66</v>
      </c>
      <c r="T330" t="str">
        <f>IF(Table1[[#This Row],[Age]]&lt;25,"&lt;25",IF(Table1[[#This Row],[Age]]&lt;=35,"25-35",IF(Table1[[#This Row],[Age]]&lt;=50,"36-50","50+")))</f>
        <v>&lt;25</v>
      </c>
    </row>
    <row r="331" spans="1:20" x14ac:dyDescent="0.3">
      <c r="A331" s="2" t="s">
        <v>938</v>
      </c>
      <c r="B331" s="2" t="s">
        <v>26</v>
      </c>
      <c r="C331" s="3">
        <v>22</v>
      </c>
      <c r="D331" s="2" t="s">
        <v>17</v>
      </c>
      <c r="E331" s="2" t="s">
        <v>18</v>
      </c>
      <c r="F331" s="2" t="s">
        <v>44</v>
      </c>
      <c r="G331" t="s">
        <v>55</v>
      </c>
      <c r="H331" t="s">
        <v>294</v>
      </c>
      <c r="I331" s="4">
        <v>390.67</v>
      </c>
      <c r="J331" s="3">
        <v>5</v>
      </c>
      <c r="K331" s="1">
        <v>45143</v>
      </c>
      <c r="L331" s="1" t="str">
        <f>TEXT(Table1[[#This Row],[Purchase_Date]],"YYYY")</f>
        <v>2023</v>
      </c>
      <c r="M331" s="1" t="str">
        <f>TEXT(Table1[[#This Row],[Purchase_Date]],"MMM")</f>
        <v>Aug</v>
      </c>
      <c r="N331" s="1" t="str">
        <f>TEXT(Table1[[#This Row],[Purchase_Date]],"DD")</f>
        <v>05</v>
      </c>
      <c r="O331" s="2" t="s">
        <v>41</v>
      </c>
      <c r="P331" s="3">
        <v>1</v>
      </c>
      <c r="Q331" s="2" t="s">
        <v>23</v>
      </c>
      <c r="R331" s="2" t="s">
        <v>24</v>
      </c>
      <c r="S331">
        <f>Table1[[#This Row],[Purchase_Amount]]*Table1[[#This Row],[Quantity]]</f>
        <v>1953.3500000000001</v>
      </c>
      <c r="T331" t="str">
        <f>IF(Table1[[#This Row],[Age]]&lt;25,"&lt;25",IF(Table1[[#This Row],[Age]]&lt;=35,"25-35",IF(Table1[[#This Row],[Age]]&lt;=50,"36-50","50+")))</f>
        <v>&lt;25</v>
      </c>
    </row>
    <row r="332" spans="1:20" x14ac:dyDescent="0.3">
      <c r="A332" s="2" t="s">
        <v>272</v>
      </c>
      <c r="B332" s="2" t="s">
        <v>26</v>
      </c>
      <c r="C332" s="3">
        <v>23</v>
      </c>
      <c r="D332" s="2" t="s">
        <v>38</v>
      </c>
      <c r="E332" s="2" t="s">
        <v>18</v>
      </c>
      <c r="F332" s="2" t="s">
        <v>27</v>
      </c>
      <c r="G332" t="s">
        <v>55</v>
      </c>
      <c r="H332" t="s">
        <v>273</v>
      </c>
      <c r="I332" s="4">
        <v>198.23</v>
      </c>
      <c r="J332" s="3">
        <v>4</v>
      </c>
      <c r="K332" s="1">
        <v>44978</v>
      </c>
      <c r="L332" s="1" t="str">
        <f>TEXT(Table1[[#This Row],[Purchase_Date]],"YYYY")</f>
        <v>2023</v>
      </c>
      <c r="M332" s="1" t="str">
        <f>TEXT(Table1[[#This Row],[Purchase_Date]],"MMM")</f>
        <v>Feb</v>
      </c>
      <c r="N332" s="1" t="str">
        <f>TEXT(Table1[[#This Row],[Purchase_Date]],"DD")</f>
        <v>21</v>
      </c>
      <c r="O332" s="2" t="s">
        <v>36</v>
      </c>
      <c r="P332" s="3">
        <v>4</v>
      </c>
      <c r="Q332" s="2" t="s">
        <v>23</v>
      </c>
      <c r="R332" s="2" t="s">
        <v>24</v>
      </c>
      <c r="S332">
        <f>Table1[[#This Row],[Purchase_Amount]]*Table1[[#This Row],[Quantity]]</f>
        <v>792.92</v>
      </c>
      <c r="T332" t="str">
        <f>IF(Table1[[#This Row],[Age]]&lt;25,"&lt;25",IF(Table1[[#This Row],[Age]]&lt;=35,"25-35",IF(Table1[[#This Row],[Age]]&lt;=50,"36-50","50+")))</f>
        <v>&lt;25</v>
      </c>
    </row>
    <row r="333" spans="1:20" x14ac:dyDescent="0.3">
      <c r="A333" s="2" t="s">
        <v>448</v>
      </c>
      <c r="B333" s="2" t="s">
        <v>26</v>
      </c>
      <c r="C333" s="3">
        <v>24</v>
      </c>
      <c r="D333" s="2" t="s">
        <v>32</v>
      </c>
      <c r="E333" s="2" t="s">
        <v>18</v>
      </c>
      <c r="F333" s="2" t="s">
        <v>19</v>
      </c>
      <c r="G333" t="s">
        <v>55</v>
      </c>
      <c r="H333" t="s">
        <v>202</v>
      </c>
      <c r="I333" s="4">
        <v>348.71</v>
      </c>
      <c r="J333" s="3">
        <v>1</v>
      </c>
      <c r="K333" s="1">
        <v>45045</v>
      </c>
      <c r="L333" s="1" t="str">
        <f>TEXT(Table1[[#This Row],[Purchase_Date]],"YYYY")</f>
        <v>2023</v>
      </c>
      <c r="M333" s="1" t="str">
        <f>TEXT(Table1[[#This Row],[Purchase_Date]],"MMM")</f>
        <v>Apr</v>
      </c>
      <c r="N333" s="1" t="str">
        <f>TEXT(Table1[[#This Row],[Purchase_Date]],"DD")</f>
        <v>29</v>
      </c>
      <c r="O333" s="2" t="s">
        <v>41</v>
      </c>
      <c r="P333" s="3">
        <v>1</v>
      </c>
      <c r="Q333" s="2" t="s">
        <v>23</v>
      </c>
      <c r="R333" s="2" t="s">
        <v>47</v>
      </c>
      <c r="S333">
        <f>Table1[[#This Row],[Purchase_Amount]]*Table1[[#This Row],[Quantity]]</f>
        <v>348.71</v>
      </c>
      <c r="T333" t="str">
        <f>IF(Table1[[#This Row],[Age]]&lt;25,"&lt;25",IF(Table1[[#This Row],[Age]]&lt;=35,"25-35",IF(Table1[[#This Row],[Age]]&lt;=50,"36-50","50+")))</f>
        <v>&lt;25</v>
      </c>
    </row>
    <row r="334" spans="1:20" x14ac:dyDescent="0.3">
      <c r="A334" s="2" t="s">
        <v>1111</v>
      </c>
      <c r="B334" s="2" t="s">
        <v>26</v>
      </c>
      <c r="C334" s="3">
        <v>24</v>
      </c>
      <c r="D334" s="2" t="s">
        <v>32</v>
      </c>
      <c r="E334" s="2" t="s">
        <v>33</v>
      </c>
      <c r="F334" s="2" t="s">
        <v>27</v>
      </c>
      <c r="G334" t="s">
        <v>55</v>
      </c>
      <c r="H334" t="s">
        <v>40</v>
      </c>
      <c r="I334" s="4">
        <v>532.91</v>
      </c>
      <c r="J334" s="3">
        <v>3</v>
      </c>
      <c r="K334" s="1">
        <v>45421</v>
      </c>
      <c r="L334" s="1" t="str">
        <f>TEXT(Table1[[#This Row],[Purchase_Date]],"YYYY")</f>
        <v>2024</v>
      </c>
      <c r="M334" s="1" t="str">
        <f>TEXT(Table1[[#This Row],[Purchase_Date]],"MMM")</f>
        <v>May</v>
      </c>
      <c r="N334" s="1" t="str">
        <f>TEXT(Table1[[#This Row],[Purchase_Date]],"DD")</f>
        <v>09</v>
      </c>
      <c r="O334" s="2" t="s">
        <v>36</v>
      </c>
      <c r="P334" s="3">
        <v>4</v>
      </c>
      <c r="Q334" s="2" t="s">
        <v>23</v>
      </c>
      <c r="R334" s="2" t="s">
        <v>47</v>
      </c>
      <c r="S334">
        <f>Table1[[#This Row],[Purchase_Amount]]*Table1[[#This Row],[Quantity]]</f>
        <v>1598.73</v>
      </c>
      <c r="T334" t="str">
        <f>IF(Table1[[#This Row],[Age]]&lt;25,"&lt;25",IF(Table1[[#This Row],[Age]]&lt;=35,"25-35",IF(Table1[[#This Row],[Age]]&lt;=50,"36-50","50+")))</f>
        <v>&lt;25</v>
      </c>
    </row>
    <row r="335" spans="1:20" x14ac:dyDescent="0.3">
      <c r="A335" s="2" t="s">
        <v>554</v>
      </c>
      <c r="B335" s="2" t="s">
        <v>26</v>
      </c>
      <c r="C335" s="3">
        <v>25</v>
      </c>
      <c r="D335" s="2" t="s">
        <v>109</v>
      </c>
      <c r="E335" s="2" t="s">
        <v>18</v>
      </c>
      <c r="F335" s="2" t="s">
        <v>19</v>
      </c>
      <c r="G335" t="s">
        <v>55</v>
      </c>
      <c r="H335" t="s">
        <v>229</v>
      </c>
      <c r="I335" s="4">
        <v>51.08</v>
      </c>
      <c r="J335" s="3">
        <v>2</v>
      </c>
      <c r="K335" s="1">
        <v>45015</v>
      </c>
      <c r="L335" s="1" t="str">
        <f>TEXT(Table1[[#This Row],[Purchase_Date]],"YYYY")</f>
        <v>2023</v>
      </c>
      <c r="M335" s="1" t="str">
        <f>TEXT(Table1[[#This Row],[Purchase_Date]],"MMM")</f>
        <v>Mar</v>
      </c>
      <c r="N335" s="1" t="str">
        <f>TEXT(Table1[[#This Row],[Purchase_Date]],"DD")</f>
        <v>30</v>
      </c>
      <c r="O335" s="2" t="s">
        <v>22</v>
      </c>
      <c r="P335" s="3">
        <v>6</v>
      </c>
      <c r="Q335" s="2" t="s">
        <v>23</v>
      </c>
      <c r="R335" s="2" t="s">
        <v>24</v>
      </c>
      <c r="S335">
        <f>Table1[[#This Row],[Purchase_Amount]]*Table1[[#This Row],[Quantity]]</f>
        <v>102.16</v>
      </c>
      <c r="T335" t="str">
        <f>IF(Table1[[#This Row],[Age]]&lt;25,"&lt;25",IF(Table1[[#This Row],[Age]]&lt;=35,"25-35",IF(Table1[[#This Row],[Age]]&lt;=50,"36-50","50+")))</f>
        <v>25-35</v>
      </c>
    </row>
    <row r="336" spans="1:20" x14ac:dyDescent="0.3">
      <c r="A336" s="2" t="s">
        <v>785</v>
      </c>
      <c r="B336" s="2" t="s">
        <v>26</v>
      </c>
      <c r="C336" s="3">
        <v>25</v>
      </c>
      <c r="D336" s="2" t="s">
        <v>32</v>
      </c>
      <c r="E336" s="2" t="s">
        <v>18</v>
      </c>
      <c r="F336" s="2" t="s">
        <v>27</v>
      </c>
      <c r="G336" t="s">
        <v>55</v>
      </c>
      <c r="H336" t="s">
        <v>167</v>
      </c>
      <c r="I336" s="4">
        <v>405.98</v>
      </c>
      <c r="J336" s="3">
        <v>4</v>
      </c>
      <c r="K336" s="1">
        <v>45498</v>
      </c>
      <c r="L336" s="1" t="str">
        <f>TEXT(Table1[[#This Row],[Purchase_Date]],"YYYY")</f>
        <v>2024</v>
      </c>
      <c r="M336" s="1" t="str">
        <f>TEXT(Table1[[#This Row],[Purchase_Date]],"MMM")</f>
        <v>Jul</v>
      </c>
      <c r="N336" s="1" t="str">
        <f>TEXT(Table1[[#This Row],[Purchase_Date]],"DD")</f>
        <v>25</v>
      </c>
      <c r="O336" s="2" t="s">
        <v>30</v>
      </c>
      <c r="P336" s="3">
        <v>8</v>
      </c>
      <c r="Q336" s="2" t="s">
        <v>46</v>
      </c>
      <c r="R336" s="2" t="s">
        <v>47</v>
      </c>
      <c r="S336">
        <f>Table1[[#This Row],[Purchase_Amount]]*Table1[[#This Row],[Quantity]]</f>
        <v>1623.92</v>
      </c>
      <c r="T336" t="str">
        <f>IF(Table1[[#This Row],[Age]]&lt;25,"&lt;25",IF(Table1[[#This Row],[Age]]&lt;=35,"25-35",IF(Table1[[#This Row],[Age]]&lt;=50,"36-50","50+")))</f>
        <v>25-35</v>
      </c>
    </row>
    <row r="337" spans="1:20" x14ac:dyDescent="0.3">
      <c r="A337" s="2" t="s">
        <v>1203</v>
      </c>
      <c r="B337" s="2" t="s">
        <v>26</v>
      </c>
      <c r="C337" s="3">
        <v>26</v>
      </c>
      <c r="D337" s="2" t="s">
        <v>38</v>
      </c>
      <c r="E337" s="2" t="s">
        <v>18</v>
      </c>
      <c r="F337" s="2" t="s">
        <v>44</v>
      </c>
      <c r="G337" t="s">
        <v>55</v>
      </c>
      <c r="H337" t="s">
        <v>76</v>
      </c>
      <c r="I337" s="4">
        <v>100.44</v>
      </c>
      <c r="J337" s="3">
        <v>4</v>
      </c>
      <c r="K337" s="1">
        <v>45533</v>
      </c>
      <c r="L337" s="1" t="str">
        <f>TEXT(Table1[[#This Row],[Purchase_Date]],"YYYY")</f>
        <v>2024</v>
      </c>
      <c r="M337" s="1" t="str">
        <f>TEXT(Table1[[#This Row],[Purchase_Date]],"MMM")</f>
        <v>Aug</v>
      </c>
      <c r="N337" s="1" t="str">
        <f>TEXT(Table1[[#This Row],[Purchase_Date]],"DD")</f>
        <v>29</v>
      </c>
      <c r="O337" s="2" t="s">
        <v>22</v>
      </c>
      <c r="P337" s="3">
        <v>8</v>
      </c>
      <c r="Q337" s="2" t="s">
        <v>23</v>
      </c>
      <c r="R337" s="2" t="s">
        <v>47</v>
      </c>
      <c r="S337">
        <f>Table1[[#This Row],[Purchase_Amount]]*Table1[[#This Row],[Quantity]]</f>
        <v>401.76</v>
      </c>
      <c r="T337" t="str">
        <f>IF(Table1[[#This Row],[Age]]&lt;25,"&lt;25",IF(Table1[[#This Row],[Age]]&lt;=35,"25-35",IF(Table1[[#This Row],[Age]]&lt;=50,"36-50","50+")))</f>
        <v>25-35</v>
      </c>
    </row>
    <row r="338" spans="1:20" x14ac:dyDescent="0.3">
      <c r="A338" s="2" t="s">
        <v>809</v>
      </c>
      <c r="B338" s="2" t="s">
        <v>26</v>
      </c>
      <c r="C338" s="3">
        <v>26</v>
      </c>
      <c r="D338" s="2" t="s">
        <v>60</v>
      </c>
      <c r="E338" s="2" t="s">
        <v>49</v>
      </c>
      <c r="F338" s="2" t="s">
        <v>19</v>
      </c>
      <c r="G338" t="s">
        <v>55</v>
      </c>
      <c r="H338" t="s">
        <v>520</v>
      </c>
      <c r="I338" s="4">
        <v>462.32</v>
      </c>
      <c r="J338" s="3">
        <v>5</v>
      </c>
      <c r="K338" s="1">
        <v>45293</v>
      </c>
      <c r="L338" s="1" t="str">
        <f>TEXT(Table1[[#This Row],[Purchase_Date]],"YYYY")</f>
        <v>2024</v>
      </c>
      <c r="M338" s="1" t="str">
        <f>TEXT(Table1[[#This Row],[Purchase_Date]],"MMM")</f>
        <v>Jan</v>
      </c>
      <c r="N338" s="1" t="str">
        <f>TEXT(Table1[[#This Row],[Purchase_Date]],"DD")</f>
        <v>02</v>
      </c>
      <c r="O338" s="2" t="s">
        <v>30</v>
      </c>
      <c r="P338" s="3">
        <v>3</v>
      </c>
      <c r="Q338" s="2" t="s">
        <v>46</v>
      </c>
      <c r="R338" s="2" t="s">
        <v>47</v>
      </c>
      <c r="S338">
        <f>Table1[[#This Row],[Purchase_Amount]]*Table1[[#This Row],[Quantity]]</f>
        <v>2311.6</v>
      </c>
      <c r="T338" t="str">
        <f>IF(Table1[[#This Row],[Age]]&lt;25,"&lt;25",IF(Table1[[#This Row],[Age]]&lt;=35,"25-35",IF(Table1[[#This Row],[Age]]&lt;=50,"36-50","50+")))</f>
        <v>25-35</v>
      </c>
    </row>
    <row r="339" spans="1:20" x14ac:dyDescent="0.3">
      <c r="A339" s="2" t="s">
        <v>967</v>
      </c>
      <c r="B339" s="2" t="s">
        <v>26</v>
      </c>
      <c r="C339" s="3">
        <v>28</v>
      </c>
      <c r="D339" s="2" t="s">
        <v>78</v>
      </c>
      <c r="E339" s="2" t="s">
        <v>18</v>
      </c>
      <c r="F339" s="2" t="s">
        <v>27</v>
      </c>
      <c r="G339" t="s">
        <v>55</v>
      </c>
      <c r="H339" t="s">
        <v>728</v>
      </c>
      <c r="I339" s="4">
        <v>463.32</v>
      </c>
      <c r="J339" s="3">
        <v>4</v>
      </c>
      <c r="K339" s="1">
        <v>45018</v>
      </c>
      <c r="L339" s="1" t="str">
        <f>TEXT(Table1[[#This Row],[Purchase_Date]],"YYYY")</f>
        <v>2023</v>
      </c>
      <c r="M339" s="1" t="str">
        <f>TEXT(Table1[[#This Row],[Purchase_Date]],"MMM")</f>
        <v>Apr</v>
      </c>
      <c r="N339" s="1" t="str">
        <f>TEXT(Table1[[#This Row],[Purchase_Date]],"DD")</f>
        <v>02</v>
      </c>
      <c r="O339" s="2" t="s">
        <v>41</v>
      </c>
      <c r="P339" s="3">
        <v>6</v>
      </c>
      <c r="Q339" s="2" t="s">
        <v>23</v>
      </c>
      <c r="R339" s="2" t="s">
        <v>24</v>
      </c>
      <c r="S339">
        <f>Table1[[#This Row],[Purchase_Amount]]*Table1[[#This Row],[Quantity]]</f>
        <v>1853.28</v>
      </c>
      <c r="T339" t="str">
        <f>IF(Table1[[#This Row],[Age]]&lt;25,"&lt;25",IF(Table1[[#This Row],[Age]]&lt;=35,"25-35",IF(Table1[[#This Row],[Age]]&lt;=50,"36-50","50+")))</f>
        <v>25-35</v>
      </c>
    </row>
    <row r="340" spans="1:20" x14ac:dyDescent="0.3">
      <c r="A340" s="2" t="s">
        <v>207</v>
      </c>
      <c r="B340" s="2" t="s">
        <v>26</v>
      </c>
      <c r="C340" s="3">
        <v>28</v>
      </c>
      <c r="D340" s="2" t="s">
        <v>60</v>
      </c>
      <c r="E340" s="2" t="s">
        <v>49</v>
      </c>
      <c r="F340" s="2" t="s">
        <v>44</v>
      </c>
      <c r="G340" t="s">
        <v>55</v>
      </c>
      <c r="H340" t="s">
        <v>208</v>
      </c>
      <c r="I340" s="4">
        <v>757.02</v>
      </c>
      <c r="J340" s="3">
        <v>1</v>
      </c>
      <c r="K340" s="1">
        <v>45432</v>
      </c>
      <c r="L340" s="1" t="str">
        <f>TEXT(Table1[[#This Row],[Purchase_Date]],"YYYY")</f>
        <v>2024</v>
      </c>
      <c r="M340" s="1" t="str">
        <f>TEXT(Table1[[#This Row],[Purchase_Date]],"MMM")</f>
        <v>May</v>
      </c>
      <c r="N340" s="1" t="str">
        <f>TEXT(Table1[[#This Row],[Purchase_Date]],"DD")</f>
        <v>20</v>
      </c>
      <c r="O340" s="2" t="s">
        <v>22</v>
      </c>
      <c r="P340" s="3">
        <v>9</v>
      </c>
      <c r="Q340" s="2" t="s">
        <v>23</v>
      </c>
      <c r="R340" s="2" t="s">
        <v>47</v>
      </c>
      <c r="S340">
        <f>Table1[[#This Row],[Purchase_Amount]]*Table1[[#This Row],[Quantity]]</f>
        <v>757.02</v>
      </c>
      <c r="T340" t="str">
        <f>IF(Table1[[#This Row],[Age]]&lt;25,"&lt;25",IF(Table1[[#This Row],[Age]]&lt;=35,"25-35",IF(Table1[[#This Row],[Age]]&lt;=50,"36-50","50+")))</f>
        <v>25-35</v>
      </c>
    </row>
    <row r="341" spans="1:20" x14ac:dyDescent="0.3">
      <c r="A341" s="2" t="s">
        <v>242</v>
      </c>
      <c r="B341" s="2" t="s">
        <v>26</v>
      </c>
      <c r="C341" s="3">
        <v>31</v>
      </c>
      <c r="D341" s="2" t="s">
        <v>64</v>
      </c>
      <c r="E341" s="2" t="s">
        <v>33</v>
      </c>
      <c r="F341" s="2" t="s">
        <v>27</v>
      </c>
      <c r="G341" t="s">
        <v>55</v>
      </c>
      <c r="H341" t="s">
        <v>243</v>
      </c>
      <c r="I341" s="4">
        <v>423.22</v>
      </c>
      <c r="J341" s="3">
        <v>4</v>
      </c>
      <c r="K341" s="1">
        <v>44956</v>
      </c>
      <c r="L341" s="1" t="str">
        <f>TEXT(Table1[[#This Row],[Purchase_Date]],"YYYY")</f>
        <v>2023</v>
      </c>
      <c r="M341" s="1" t="str">
        <f>TEXT(Table1[[#This Row],[Purchase_Date]],"MMM")</f>
        <v>Jan</v>
      </c>
      <c r="N341" s="1" t="str">
        <f>TEXT(Table1[[#This Row],[Purchase_Date]],"DD")</f>
        <v>30</v>
      </c>
      <c r="O341" s="2" t="s">
        <v>30</v>
      </c>
      <c r="P341" s="3">
        <v>1</v>
      </c>
      <c r="Q341" s="2" t="s">
        <v>46</v>
      </c>
      <c r="R341" s="2" t="s">
        <v>47</v>
      </c>
      <c r="S341">
        <f>Table1[[#This Row],[Purchase_Amount]]*Table1[[#This Row],[Quantity]]</f>
        <v>1692.88</v>
      </c>
      <c r="T341" t="str">
        <f>IF(Table1[[#This Row],[Age]]&lt;25,"&lt;25",IF(Table1[[#This Row],[Age]]&lt;=35,"25-35",IF(Table1[[#This Row],[Age]]&lt;=50,"36-50","50+")))</f>
        <v>25-35</v>
      </c>
    </row>
    <row r="342" spans="1:20" x14ac:dyDescent="0.3">
      <c r="A342" s="2" t="s">
        <v>806</v>
      </c>
      <c r="B342" s="2" t="s">
        <v>26</v>
      </c>
      <c r="C342" s="3">
        <v>31</v>
      </c>
      <c r="D342" s="2" t="s">
        <v>43</v>
      </c>
      <c r="E342" s="2" t="s">
        <v>18</v>
      </c>
      <c r="F342" s="2" t="s">
        <v>44</v>
      </c>
      <c r="G342" t="s">
        <v>55</v>
      </c>
      <c r="H342" t="s">
        <v>229</v>
      </c>
      <c r="I342" s="4">
        <v>586.25</v>
      </c>
      <c r="J342" s="3">
        <v>4</v>
      </c>
      <c r="K342" s="1">
        <v>45359</v>
      </c>
      <c r="L342" s="1" t="str">
        <f>TEXT(Table1[[#This Row],[Purchase_Date]],"YYYY")</f>
        <v>2024</v>
      </c>
      <c r="M342" s="1" t="str">
        <f>TEXT(Table1[[#This Row],[Purchase_Date]],"MMM")</f>
        <v>Mar</v>
      </c>
      <c r="N342" s="1" t="str">
        <f>TEXT(Table1[[#This Row],[Purchase_Date]],"DD")</f>
        <v>08</v>
      </c>
      <c r="O342" s="2" t="s">
        <v>30</v>
      </c>
      <c r="P342" s="3">
        <v>3</v>
      </c>
      <c r="Q342" s="2" t="s">
        <v>23</v>
      </c>
      <c r="R342" s="2" t="s">
        <v>47</v>
      </c>
      <c r="S342">
        <f>Table1[[#This Row],[Purchase_Amount]]*Table1[[#This Row],[Quantity]]</f>
        <v>2345</v>
      </c>
      <c r="T342" t="str">
        <f>IF(Table1[[#This Row],[Age]]&lt;25,"&lt;25",IF(Table1[[#This Row],[Age]]&lt;=35,"25-35",IF(Table1[[#This Row],[Age]]&lt;=50,"36-50","50+")))</f>
        <v>25-35</v>
      </c>
    </row>
    <row r="343" spans="1:20" x14ac:dyDescent="0.3">
      <c r="A343" s="2" t="s">
        <v>1194</v>
      </c>
      <c r="B343" s="2" t="s">
        <v>26</v>
      </c>
      <c r="C343" s="3">
        <v>32</v>
      </c>
      <c r="D343" s="2" t="s">
        <v>17</v>
      </c>
      <c r="E343" s="2" t="s">
        <v>18</v>
      </c>
      <c r="F343" s="2" t="s">
        <v>44</v>
      </c>
      <c r="G343" t="s">
        <v>55</v>
      </c>
      <c r="H343" t="s">
        <v>824</v>
      </c>
      <c r="I343" s="4">
        <v>110.86</v>
      </c>
      <c r="J343" s="3">
        <v>1</v>
      </c>
      <c r="K343" s="1">
        <v>45362</v>
      </c>
      <c r="L343" s="1" t="str">
        <f>TEXT(Table1[[#This Row],[Purchase_Date]],"YYYY")</f>
        <v>2024</v>
      </c>
      <c r="M343" s="1" t="str">
        <f>TEXT(Table1[[#This Row],[Purchase_Date]],"MMM")</f>
        <v>Mar</v>
      </c>
      <c r="N343" s="1" t="str">
        <f>TEXT(Table1[[#This Row],[Purchase_Date]],"DD")</f>
        <v>11</v>
      </c>
      <c r="O343" s="2" t="s">
        <v>22</v>
      </c>
      <c r="P343" s="3">
        <v>8</v>
      </c>
      <c r="Q343" s="2" t="s">
        <v>23</v>
      </c>
      <c r="R343" s="2" t="s">
        <v>24</v>
      </c>
      <c r="S343">
        <f>Table1[[#This Row],[Purchase_Amount]]*Table1[[#This Row],[Quantity]]</f>
        <v>110.86</v>
      </c>
      <c r="T343" t="str">
        <f>IF(Table1[[#This Row],[Age]]&lt;25,"&lt;25",IF(Table1[[#This Row],[Age]]&lt;=35,"25-35",IF(Table1[[#This Row],[Age]]&lt;=50,"36-50","50+")))</f>
        <v>25-35</v>
      </c>
    </row>
    <row r="344" spans="1:20" x14ac:dyDescent="0.3">
      <c r="A344" s="2" t="s">
        <v>285</v>
      </c>
      <c r="B344" s="2" t="s">
        <v>26</v>
      </c>
      <c r="C344" s="3">
        <v>32</v>
      </c>
      <c r="D344" s="2" t="s">
        <v>38</v>
      </c>
      <c r="E344" s="2" t="s">
        <v>18</v>
      </c>
      <c r="F344" s="2" t="s">
        <v>27</v>
      </c>
      <c r="G344" t="s">
        <v>55</v>
      </c>
      <c r="H344" t="s">
        <v>219</v>
      </c>
      <c r="I344" s="4">
        <v>855.4</v>
      </c>
      <c r="J344" s="3">
        <v>2</v>
      </c>
      <c r="K344" s="1">
        <v>45595</v>
      </c>
      <c r="L344" s="1" t="str">
        <f>TEXT(Table1[[#This Row],[Purchase_Date]],"YYYY")</f>
        <v>2024</v>
      </c>
      <c r="M344" s="1" t="str">
        <f>TEXT(Table1[[#This Row],[Purchase_Date]],"MMM")</f>
        <v>Oct</v>
      </c>
      <c r="N344" s="1" t="str">
        <f>TEXT(Table1[[#This Row],[Purchase_Date]],"DD")</f>
        <v>30</v>
      </c>
      <c r="O344" s="2" t="s">
        <v>36</v>
      </c>
      <c r="P344" s="3">
        <v>1</v>
      </c>
      <c r="Q344" s="2" t="s">
        <v>46</v>
      </c>
      <c r="R344" s="2" t="s">
        <v>24</v>
      </c>
      <c r="S344">
        <f>Table1[[#This Row],[Purchase_Amount]]*Table1[[#This Row],[Quantity]]</f>
        <v>1710.8</v>
      </c>
      <c r="T344" t="str">
        <f>IF(Table1[[#This Row],[Age]]&lt;25,"&lt;25",IF(Table1[[#This Row],[Age]]&lt;=35,"25-35",IF(Table1[[#This Row],[Age]]&lt;=50,"36-50","50+")))</f>
        <v>25-35</v>
      </c>
    </row>
    <row r="345" spans="1:20" x14ac:dyDescent="0.3">
      <c r="A345" s="2" t="s">
        <v>512</v>
      </c>
      <c r="B345" s="2" t="s">
        <v>26</v>
      </c>
      <c r="C345" s="3">
        <v>33</v>
      </c>
      <c r="D345" s="2" t="s">
        <v>17</v>
      </c>
      <c r="E345" s="2" t="s">
        <v>49</v>
      </c>
      <c r="F345" s="2" t="s">
        <v>44</v>
      </c>
      <c r="G345" t="s">
        <v>55</v>
      </c>
      <c r="H345" t="s">
        <v>513</v>
      </c>
      <c r="I345" s="4">
        <v>249.93</v>
      </c>
      <c r="J345" s="3">
        <v>5</v>
      </c>
      <c r="K345" s="1">
        <v>45296</v>
      </c>
      <c r="L345" s="1" t="str">
        <f>TEXT(Table1[[#This Row],[Purchase_Date]],"YYYY")</f>
        <v>2024</v>
      </c>
      <c r="M345" s="1" t="str">
        <f>TEXT(Table1[[#This Row],[Purchase_Date]],"MMM")</f>
        <v>Jan</v>
      </c>
      <c r="N345" s="1" t="str">
        <f>TEXT(Table1[[#This Row],[Purchase_Date]],"DD")</f>
        <v>05</v>
      </c>
      <c r="O345" s="2" t="s">
        <v>22</v>
      </c>
      <c r="P345" s="3">
        <v>6</v>
      </c>
      <c r="Q345" s="2" t="s">
        <v>46</v>
      </c>
      <c r="R345" s="2" t="s">
        <v>47</v>
      </c>
      <c r="S345">
        <f>Table1[[#This Row],[Purchase_Amount]]*Table1[[#This Row],[Quantity]]</f>
        <v>1249.6500000000001</v>
      </c>
      <c r="T345" t="str">
        <f>IF(Table1[[#This Row],[Age]]&lt;25,"&lt;25",IF(Table1[[#This Row],[Age]]&lt;=35,"25-35",IF(Table1[[#This Row],[Age]]&lt;=50,"36-50","50+")))</f>
        <v>25-35</v>
      </c>
    </row>
    <row r="346" spans="1:20" x14ac:dyDescent="0.3">
      <c r="A346" s="2" t="s">
        <v>1128</v>
      </c>
      <c r="B346" s="2" t="s">
        <v>26</v>
      </c>
      <c r="C346" s="3">
        <v>34</v>
      </c>
      <c r="D346" s="2" t="s">
        <v>17</v>
      </c>
      <c r="E346" s="2" t="s">
        <v>18</v>
      </c>
      <c r="F346" s="2" t="s">
        <v>27</v>
      </c>
      <c r="G346" t="s">
        <v>55</v>
      </c>
      <c r="H346" t="s">
        <v>824</v>
      </c>
      <c r="I346" s="4">
        <v>713.25</v>
      </c>
      <c r="J346" s="3">
        <v>4</v>
      </c>
      <c r="K346" s="1">
        <v>45593</v>
      </c>
      <c r="L346" s="1" t="str">
        <f>TEXT(Table1[[#This Row],[Purchase_Date]],"YYYY")</f>
        <v>2024</v>
      </c>
      <c r="M346" s="1" t="str">
        <f>TEXT(Table1[[#This Row],[Purchase_Date]],"MMM")</f>
        <v>Oct</v>
      </c>
      <c r="N346" s="1" t="str">
        <f>TEXT(Table1[[#This Row],[Purchase_Date]],"DD")</f>
        <v>28</v>
      </c>
      <c r="O346" s="2" t="s">
        <v>22</v>
      </c>
      <c r="P346" s="3">
        <v>8</v>
      </c>
      <c r="Q346" s="2" t="s">
        <v>23</v>
      </c>
      <c r="R346" s="2" t="s">
        <v>24</v>
      </c>
      <c r="S346">
        <f>Table1[[#This Row],[Purchase_Amount]]*Table1[[#This Row],[Quantity]]</f>
        <v>2853</v>
      </c>
      <c r="T346" t="str">
        <f>IF(Table1[[#This Row],[Age]]&lt;25,"&lt;25",IF(Table1[[#This Row],[Age]]&lt;=35,"25-35",IF(Table1[[#This Row],[Age]]&lt;=50,"36-50","50+")))</f>
        <v>25-35</v>
      </c>
    </row>
    <row r="347" spans="1:20" x14ac:dyDescent="0.3">
      <c r="A347" s="2" t="s">
        <v>1217</v>
      </c>
      <c r="B347" s="2" t="s">
        <v>26</v>
      </c>
      <c r="C347" s="3">
        <v>35</v>
      </c>
      <c r="D347" s="2" t="s">
        <v>43</v>
      </c>
      <c r="E347" s="2" t="s">
        <v>18</v>
      </c>
      <c r="F347" s="2" t="s">
        <v>27</v>
      </c>
      <c r="G347" t="s">
        <v>55</v>
      </c>
      <c r="H347" t="s">
        <v>314</v>
      </c>
      <c r="I347" s="4">
        <v>356.12</v>
      </c>
      <c r="J347" s="3">
        <v>2</v>
      </c>
      <c r="K347" s="1">
        <v>45326</v>
      </c>
      <c r="L347" s="1" t="str">
        <f>TEXT(Table1[[#This Row],[Purchase_Date]],"YYYY")</f>
        <v>2024</v>
      </c>
      <c r="M347" s="1" t="str">
        <f>TEXT(Table1[[#This Row],[Purchase_Date]],"MMM")</f>
        <v>Feb</v>
      </c>
      <c r="N347" s="1" t="str">
        <f>TEXT(Table1[[#This Row],[Purchase_Date]],"DD")</f>
        <v>04</v>
      </c>
      <c r="O347" s="2" t="s">
        <v>30</v>
      </c>
      <c r="P347" s="3">
        <v>8</v>
      </c>
      <c r="Q347" s="2" t="s">
        <v>23</v>
      </c>
      <c r="R347" s="2" t="s">
        <v>24</v>
      </c>
      <c r="S347">
        <f>Table1[[#This Row],[Purchase_Amount]]*Table1[[#This Row],[Quantity]]</f>
        <v>712.24</v>
      </c>
      <c r="T347" t="str">
        <f>IF(Table1[[#This Row],[Age]]&lt;25,"&lt;25",IF(Table1[[#This Row],[Age]]&lt;=35,"25-35",IF(Table1[[#This Row],[Age]]&lt;=50,"36-50","50+")))</f>
        <v>25-35</v>
      </c>
    </row>
    <row r="348" spans="1:20" x14ac:dyDescent="0.3">
      <c r="A348" s="2" t="s">
        <v>430</v>
      </c>
      <c r="B348" s="2" t="s">
        <v>26</v>
      </c>
      <c r="C348" s="3">
        <v>38</v>
      </c>
      <c r="D348" s="2" t="s">
        <v>38</v>
      </c>
      <c r="E348" s="2" t="s">
        <v>18</v>
      </c>
      <c r="F348" s="2" t="s">
        <v>19</v>
      </c>
      <c r="G348" t="s">
        <v>55</v>
      </c>
      <c r="H348" t="s">
        <v>431</v>
      </c>
      <c r="I348" s="4">
        <v>334.56</v>
      </c>
      <c r="J348" s="3">
        <v>3</v>
      </c>
      <c r="K348" s="1">
        <v>45218</v>
      </c>
      <c r="L348" s="1" t="str">
        <f>TEXT(Table1[[#This Row],[Purchase_Date]],"YYYY")</f>
        <v>2023</v>
      </c>
      <c r="M348" s="1" t="str">
        <f>TEXT(Table1[[#This Row],[Purchase_Date]],"MMM")</f>
        <v>Oct</v>
      </c>
      <c r="N348" s="1" t="str">
        <f>TEXT(Table1[[#This Row],[Purchase_Date]],"DD")</f>
        <v>19</v>
      </c>
      <c r="O348" s="2" t="s">
        <v>36</v>
      </c>
      <c r="P348" s="3">
        <v>8</v>
      </c>
      <c r="Q348" s="2" t="s">
        <v>46</v>
      </c>
      <c r="R348" s="2" t="s">
        <v>47</v>
      </c>
      <c r="S348">
        <f>Table1[[#This Row],[Purchase_Amount]]*Table1[[#This Row],[Quantity]]</f>
        <v>1003.6800000000001</v>
      </c>
      <c r="T348" t="str">
        <f>IF(Table1[[#This Row],[Age]]&lt;25,"&lt;25",IF(Table1[[#This Row],[Age]]&lt;=35,"25-35",IF(Table1[[#This Row],[Age]]&lt;=50,"36-50","50+")))</f>
        <v>36-50</v>
      </c>
    </row>
    <row r="349" spans="1:20" x14ac:dyDescent="0.3">
      <c r="A349" s="2" t="s">
        <v>848</v>
      </c>
      <c r="B349" s="2" t="s">
        <v>26</v>
      </c>
      <c r="C349" s="3">
        <v>39</v>
      </c>
      <c r="D349" s="2" t="s">
        <v>60</v>
      </c>
      <c r="E349" s="2" t="s">
        <v>33</v>
      </c>
      <c r="F349" s="2" t="s">
        <v>44</v>
      </c>
      <c r="G349" t="s">
        <v>55</v>
      </c>
      <c r="H349" t="s">
        <v>302</v>
      </c>
      <c r="I349" s="4">
        <v>465.75</v>
      </c>
      <c r="J349" s="3">
        <v>3</v>
      </c>
      <c r="K349" s="1">
        <v>45578</v>
      </c>
      <c r="L349" s="1" t="str">
        <f>TEXT(Table1[[#This Row],[Purchase_Date]],"YYYY")</f>
        <v>2024</v>
      </c>
      <c r="M349" s="1" t="str">
        <f>TEXT(Table1[[#This Row],[Purchase_Date]],"MMM")</f>
        <v>Oct</v>
      </c>
      <c r="N349" s="1" t="str">
        <f>TEXT(Table1[[#This Row],[Purchase_Date]],"DD")</f>
        <v>13</v>
      </c>
      <c r="O349" s="2" t="s">
        <v>41</v>
      </c>
      <c r="P349" s="3">
        <v>9</v>
      </c>
      <c r="Q349" s="2" t="s">
        <v>23</v>
      </c>
      <c r="R349" s="2" t="s">
        <v>47</v>
      </c>
      <c r="S349">
        <f>Table1[[#This Row],[Purchase_Amount]]*Table1[[#This Row],[Quantity]]</f>
        <v>1397.25</v>
      </c>
      <c r="T349" t="str">
        <f>IF(Table1[[#This Row],[Age]]&lt;25,"&lt;25",IF(Table1[[#This Row],[Age]]&lt;=35,"25-35",IF(Table1[[#This Row],[Age]]&lt;=50,"36-50","50+")))</f>
        <v>36-50</v>
      </c>
    </row>
    <row r="350" spans="1:20" x14ac:dyDescent="0.3">
      <c r="A350" s="2" t="s">
        <v>1099</v>
      </c>
      <c r="B350" s="2" t="s">
        <v>26</v>
      </c>
      <c r="C350" s="3">
        <v>39</v>
      </c>
      <c r="D350" s="2" t="s">
        <v>78</v>
      </c>
      <c r="E350" s="2" t="s">
        <v>33</v>
      </c>
      <c r="F350" s="2" t="s">
        <v>27</v>
      </c>
      <c r="G350" t="s">
        <v>55</v>
      </c>
      <c r="H350" t="s">
        <v>122</v>
      </c>
      <c r="I350" s="4">
        <v>642.57000000000005</v>
      </c>
      <c r="J350" s="3">
        <v>5</v>
      </c>
      <c r="K350" s="1">
        <v>45359</v>
      </c>
      <c r="L350" s="1" t="str">
        <f>TEXT(Table1[[#This Row],[Purchase_Date]],"YYYY")</f>
        <v>2024</v>
      </c>
      <c r="M350" s="1" t="str">
        <f>TEXT(Table1[[#This Row],[Purchase_Date]],"MMM")</f>
        <v>Mar</v>
      </c>
      <c r="N350" s="1" t="str">
        <f>TEXT(Table1[[#This Row],[Purchase_Date]],"DD")</f>
        <v>08</v>
      </c>
      <c r="O350" s="2" t="s">
        <v>36</v>
      </c>
      <c r="P350" s="3">
        <v>4</v>
      </c>
      <c r="Q350" s="2" t="s">
        <v>46</v>
      </c>
      <c r="R350" s="2" t="s">
        <v>24</v>
      </c>
      <c r="S350">
        <f>Table1[[#This Row],[Purchase_Amount]]*Table1[[#This Row],[Quantity]]</f>
        <v>3212.8500000000004</v>
      </c>
      <c r="T350" t="str">
        <f>IF(Table1[[#This Row],[Age]]&lt;25,"&lt;25",IF(Table1[[#This Row],[Age]]&lt;=35,"25-35",IF(Table1[[#This Row],[Age]]&lt;=50,"36-50","50+")))</f>
        <v>36-50</v>
      </c>
    </row>
    <row r="351" spans="1:20" x14ac:dyDescent="0.3">
      <c r="A351" s="2" t="s">
        <v>841</v>
      </c>
      <c r="B351" s="2" t="s">
        <v>26</v>
      </c>
      <c r="C351" s="3">
        <v>40</v>
      </c>
      <c r="D351" s="2" t="s">
        <v>109</v>
      </c>
      <c r="E351" s="2" t="s">
        <v>18</v>
      </c>
      <c r="F351" s="2" t="s">
        <v>44</v>
      </c>
      <c r="G351" t="s">
        <v>55</v>
      </c>
      <c r="H351" t="s">
        <v>766</v>
      </c>
      <c r="I351" s="4">
        <v>339.4</v>
      </c>
      <c r="J351" s="3">
        <v>2</v>
      </c>
      <c r="K351" s="1">
        <v>45566</v>
      </c>
      <c r="L351" s="1" t="str">
        <f>TEXT(Table1[[#This Row],[Purchase_Date]],"YYYY")</f>
        <v>2024</v>
      </c>
      <c r="M351" s="1" t="str">
        <f>TEXT(Table1[[#This Row],[Purchase_Date]],"MMM")</f>
        <v>Oct</v>
      </c>
      <c r="N351" s="1" t="str">
        <f>TEXT(Table1[[#This Row],[Purchase_Date]],"DD")</f>
        <v>01</v>
      </c>
      <c r="O351" s="2" t="s">
        <v>41</v>
      </c>
      <c r="P351" s="3">
        <v>1</v>
      </c>
      <c r="Q351" s="2" t="s">
        <v>23</v>
      </c>
      <c r="R351" s="2" t="s">
        <v>47</v>
      </c>
      <c r="S351">
        <f>Table1[[#This Row],[Purchase_Amount]]*Table1[[#This Row],[Quantity]]</f>
        <v>678.8</v>
      </c>
      <c r="T351" t="str">
        <f>IF(Table1[[#This Row],[Age]]&lt;25,"&lt;25",IF(Table1[[#This Row],[Age]]&lt;=35,"25-35",IF(Table1[[#This Row],[Age]]&lt;=50,"36-50","50+")))</f>
        <v>36-50</v>
      </c>
    </row>
    <row r="352" spans="1:20" x14ac:dyDescent="0.3">
      <c r="A352" s="2" t="s">
        <v>985</v>
      </c>
      <c r="B352" s="2" t="s">
        <v>26</v>
      </c>
      <c r="C352" s="3">
        <v>41</v>
      </c>
      <c r="D352" s="2" t="s">
        <v>60</v>
      </c>
      <c r="E352" s="2" t="s">
        <v>49</v>
      </c>
      <c r="F352" s="2" t="s">
        <v>27</v>
      </c>
      <c r="G352" t="s">
        <v>55</v>
      </c>
      <c r="H352" t="s">
        <v>127</v>
      </c>
      <c r="I352" s="4">
        <v>392.42</v>
      </c>
      <c r="J352" s="3">
        <v>4</v>
      </c>
      <c r="K352" s="1">
        <v>44954</v>
      </c>
      <c r="L352" s="1" t="str">
        <f>TEXT(Table1[[#This Row],[Purchase_Date]],"YYYY")</f>
        <v>2023</v>
      </c>
      <c r="M352" s="1" t="str">
        <f>TEXT(Table1[[#This Row],[Purchase_Date]],"MMM")</f>
        <v>Jan</v>
      </c>
      <c r="N352" s="1" t="str">
        <f>TEXT(Table1[[#This Row],[Purchase_Date]],"DD")</f>
        <v>28</v>
      </c>
      <c r="O352" s="2" t="s">
        <v>41</v>
      </c>
      <c r="P352" s="3">
        <v>4</v>
      </c>
      <c r="Q352" s="2" t="s">
        <v>23</v>
      </c>
      <c r="R352" s="2" t="s">
        <v>24</v>
      </c>
      <c r="S352">
        <f>Table1[[#This Row],[Purchase_Amount]]*Table1[[#This Row],[Quantity]]</f>
        <v>1569.68</v>
      </c>
      <c r="T352" t="str">
        <f>IF(Table1[[#This Row],[Age]]&lt;25,"&lt;25",IF(Table1[[#This Row],[Age]]&lt;=35,"25-35",IF(Table1[[#This Row],[Age]]&lt;=50,"36-50","50+")))</f>
        <v>36-50</v>
      </c>
    </row>
    <row r="353" spans="1:20" x14ac:dyDescent="0.3">
      <c r="A353" s="2" t="s">
        <v>672</v>
      </c>
      <c r="B353" s="2" t="s">
        <v>26</v>
      </c>
      <c r="C353" s="3">
        <v>42</v>
      </c>
      <c r="D353" s="2" t="s">
        <v>38</v>
      </c>
      <c r="E353" s="2" t="s">
        <v>18</v>
      </c>
      <c r="F353" s="2" t="s">
        <v>44</v>
      </c>
      <c r="G353" t="s">
        <v>55</v>
      </c>
      <c r="H353" t="s">
        <v>223</v>
      </c>
      <c r="I353" s="4">
        <v>65.66</v>
      </c>
      <c r="J353" s="3">
        <v>2</v>
      </c>
      <c r="K353" s="1">
        <v>45441</v>
      </c>
      <c r="L353" s="1" t="str">
        <f>TEXT(Table1[[#This Row],[Purchase_Date]],"YYYY")</f>
        <v>2024</v>
      </c>
      <c r="M353" s="1" t="str">
        <f>TEXT(Table1[[#This Row],[Purchase_Date]],"MMM")</f>
        <v>May</v>
      </c>
      <c r="N353" s="1" t="str">
        <f>TEXT(Table1[[#This Row],[Purchase_Date]],"DD")</f>
        <v>29</v>
      </c>
      <c r="O353" s="2" t="s">
        <v>22</v>
      </c>
      <c r="P353" s="3">
        <v>7</v>
      </c>
      <c r="Q353" s="2" t="s">
        <v>46</v>
      </c>
      <c r="R353" s="2" t="s">
        <v>24</v>
      </c>
      <c r="S353">
        <f>Table1[[#This Row],[Purchase_Amount]]*Table1[[#This Row],[Quantity]]</f>
        <v>131.32</v>
      </c>
      <c r="T353" t="str">
        <f>IF(Table1[[#This Row],[Age]]&lt;25,"&lt;25",IF(Table1[[#This Row],[Age]]&lt;=35,"25-35",IF(Table1[[#This Row],[Age]]&lt;=50,"36-50","50+")))</f>
        <v>36-50</v>
      </c>
    </row>
    <row r="354" spans="1:20" x14ac:dyDescent="0.3">
      <c r="A354" s="2" t="s">
        <v>743</v>
      </c>
      <c r="B354" s="2" t="s">
        <v>26</v>
      </c>
      <c r="C354" s="3">
        <v>42</v>
      </c>
      <c r="D354" s="2" t="s">
        <v>78</v>
      </c>
      <c r="E354" s="2" t="s">
        <v>49</v>
      </c>
      <c r="F354" s="2" t="s">
        <v>19</v>
      </c>
      <c r="G354" t="s">
        <v>55</v>
      </c>
      <c r="H354" t="s">
        <v>234</v>
      </c>
      <c r="I354" s="4">
        <v>369.77</v>
      </c>
      <c r="J354" s="3">
        <v>3</v>
      </c>
      <c r="K354" s="1">
        <v>45466</v>
      </c>
      <c r="L354" s="1" t="str">
        <f>TEXT(Table1[[#This Row],[Purchase_Date]],"YYYY")</f>
        <v>2024</v>
      </c>
      <c r="M354" s="1" t="str">
        <f>TEXT(Table1[[#This Row],[Purchase_Date]],"MMM")</f>
        <v>Jun</v>
      </c>
      <c r="N354" s="1" t="str">
        <f>TEXT(Table1[[#This Row],[Purchase_Date]],"DD")</f>
        <v>23</v>
      </c>
      <c r="O354" s="2" t="s">
        <v>22</v>
      </c>
      <c r="P354" s="3">
        <v>1</v>
      </c>
      <c r="Q354" s="2" t="s">
        <v>46</v>
      </c>
      <c r="R354" s="2" t="s">
        <v>24</v>
      </c>
      <c r="S354">
        <f>Table1[[#This Row],[Purchase_Amount]]*Table1[[#This Row],[Quantity]]</f>
        <v>1109.31</v>
      </c>
      <c r="T354" t="str">
        <f>IF(Table1[[#This Row],[Age]]&lt;25,"&lt;25",IF(Table1[[#This Row],[Age]]&lt;=35,"25-35",IF(Table1[[#This Row],[Age]]&lt;=50,"36-50","50+")))</f>
        <v>36-50</v>
      </c>
    </row>
    <row r="355" spans="1:20" x14ac:dyDescent="0.3">
      <c r="A355" s="2" t="s">
        <v>840</v>
      </c>
      <c r="B355" s="2" t="s">
        <v>26</v>
      </c>
      <c r="C355" s="3">
        <v>43</v>
      </c>
      <c r="D355" s="2" t="s">
        <v>17</v>
      </c>
      <c r="E355" s="2" t="s">
        <v>33</v>
      </c>
      <c r="F355" s="2" t="s">
        <v>44</v>
      </c>
      <c r="G355" t="s">
        <v>55</v>
      </c>
      <c r="H355" t="s">
        <v>89</v>
      </c>
      <c r="I355" s="4">
        <v>174.52</v>
      </c>
      <c r="J355" s="3">
        <v>4</v>
      </c>
      <c r="K355" s="1">
        <v>45161</v>
      </c>
      <c r="L355" s="1" t="str">
        <f>TEXT(Table1[[#This Row],[Purchase_Date]],"YYYY")</f>
        <v>2023</v>
      </c>
      <c r="M355" s="1" t="str">
        <f>TEXT(Table1[[#This Row],[Purchase_Date]],"MMM")</f>
        <v>Aug</v>
      </c>
      <c r="N355" s="1" t="str">
        <f>TEXT(Table1[[#This Row],[Purchase_Date]],"DD")</f>
        <v>23</v>
      </c>
      <c r="O355" s="2" t="s">
        <v>41</v>
      </c>
      <c r="P355" s="3">
        <v>3</v>
      </c>
      <c r="Q355" s="2" t="s">
        <v>46</v>
      </c>
      <c r="R355" s="2" t="s">
        <v>24</v>
      </c>
      <c r="S355">
        <f>Table1[[#This Row],[Purchase_Amount]]*Table1[[#This Row],[Quantity]]</f>
        <v>698.08</v>
      </c>
      <c r="T355" t="str">
        <f>IF(Table1[[#This Row],[Age]]&lt;25,"&lt;25",IF(Table1[[#This Row],[Age]]&lt;=35,"25-35",IF(Table1[[#This Row],[Age]]&lt;=50,"36-50","50+")))</f>
        <v>36-50</v>
      </c>
    </row>
    <row r="356" spans="1:20" x14ac:dyDescent="0.3">
      <c r="A356" s="2" t="s">
        <v>123</v>
      </c>
      <c r="B356" s="2" t="s">
        <v>26</v>
      </c>
      <c r="C356" s="3">
        <v>43</v>
      </c>
      <c r="D356" s="2" t="s">
        <v>78</v>
      </c>
      <c r="E356" s="2" t="s">
        <v>33</v>
      </c>
      <c r="F356" s="2" t="s">
        <v>27</v>
      </c>
      <c r="G356" t="s">
        <v>55</v>
      </c>
      <c r="H356" t="s">
        <v>93</v>
      </c>
      <c r="I356" s="4">
        <v>264.08</v>
      </c>
      <c r="J356" s="3">
        <v>2</v>
      </c>
      <c r="K356" s="1">
        <v>45157</v>
      </c>
      <c r="L356" s="1" t="str">
        <f>TEXT(Table1[[#This Row],[Purchase_Date]],"YYYY")</f>
        <v>2023</v>
      </c>
      <c r="M356" s="1" t="str">
        <f>TEXT(Table1[[#This Row],[Purchase_Date]],"MMM")</f>
        <v>Aug</v>
      </c>
      <c r="N356" s="1" t="str">
        <f>TEXT(Table1[[#This Row],[Purchase_Date]],"DD")</f>
        <v>19</v>
      </c>
      <c r="O356" s="2" t="s">
        <v>30</v>
      </c>
      <c r="P356" s="3">
        <v>1</v>
      </c>
      <c r="Q356" s="2" t="s">
        <v>23</v>
      </c>
      <c r="R356" s="2" t="s">
        <v>24</v>
      </c>
      <c r="S356">
        <f>Table1[[#This Row],[Purchase_Amount]]*Table1[[#This Row],[Quantity]]</f>
        <v>528.16</v>
      </c>
      <c r="T356" t="str">
        <f>IF(Table1[[#This Row],[Age]]&lt;25,"&lt;25",IF(Table1[[#This Row],[Age]]&lt;=35,"25-35",IF(Table1[[#This Row],[Age]]&lt;=50,"36-50","50+")))</f>
        <v>36-50</v>
      </c>
    </row>
    <row r="357" spans="1:20" x14ac:dyDescent="0.3">
      <c r="A357" s="2" t="s">
        <v>94</v>
      </c>
      <c r="B357" s="2" t="s">
        <v>26</v>
      </c>
      <c r="C357" s="3">
        <v>43</v>
      </c>
      <c r="D357" s="2" t="s">
        <v>78</v>
      </c>
      <c r="E357" s="2" t="s">
        <v>49</v>
      </c>
      <c r="F357" s="2" t="s">
        <v>19</v>
      </c>
      <c r="G357" t="s">
        <v>55</v>
      </c>
      <c r="H357" t="s">
        <v>95</v>
      </c>
      <c r="I357" s="4">
        <v>510.47</v>
      </c>
      <c r="J357" s="3">
        <v>2</v>
      </c>
      <c r="K357" s="1">
        <v>45201</v>
      </c>
      <c r="L357" s="1" t="str">
        <f>TEXT(Table1[[#This Row],[Purchase_Date]],"YYYY")</f>
        <v>2023</v>
      </c>
      <c r="M357" s="1" t="str">
        <f>TEXT(Table1[[#This Row],[Purchase_Date]],"MMM")</f>
        <v>Oct</v>
      </c>
      <c r="N357" s="1" t="str">
        <f>TEXT(Table1[[#This Row],[Purchase_Date]],"DD")</f>
        <v>02</v>
      </c>
      <c r="O357" s="2" t="s">
        <v>41</v>
      </c>
      <c r="P357" s="3">
        <v>7</v>
      </c>
      <c r="Q357" s="2" t="s">
        <v>46</v>
      </c>
      <c r="R357" s="2" t="s">
        <v>24</v>
      </c>
      <c r="S357">
        <f>Table1[[#This Row],[Purchase_Amount]]*Table1[[#This Row],[Quantity]]</f>
        <v>1020.94</v>
      </c>
      <c r="T357" t="str">
        <f>IF(Table1[[#This Row],[Age]]&lt;25,"&lt;25",IF(Table1[[#This Row],[Age]]&lt;=35,"25-35",IF(Table1[[#This Row],[Age]]&lt;=50,"36-50","50+")))</f>
        <v>36-50</v>
      </c>
    </row>
    <row r="358" spans="1:20" x14ac:dyDescent="0.3">
      <c r="A358" s="2" t="s">
        <v>300</v>
      </c>
      <c r="B358" s="2" t="s">
        <v>26</v>
      </c>
      <c r="C358" s="3">
        <v>46</v>
      </c>
      <c r="D358" s="2" t="s">
        <v>38</v>
      </c>
      <c r="E358" s="2" t="s">
        <v>33</v>
      </c>
      <c r="F358" s="2" t="s">
        <v>44</v>
      </c>
      <c r="G358" t="s">
        <v>55</v>
      </c>
      <c r="H358" t="s">
        <v>21</v>
      </c>
      <c r="I358" s="4">
        <v>291.33999999999997</v>
      </c>
      <c r="J358" s="3">
        <v>3</v>
      </c>
      <c r="K358" s="1">
        <v>45331</v>
      </c>
      <c r="L358" s="1" t="str">
        <f>TEXT(Table1[[#This Row],[Purchase_Date]],"YYYY")</f>
        <v>2024</v>
      </c>
      <c r="M358" s="1" t="str">
        <f>TEXT(Table1[[#This Row],[Purchase_Date]],"MMM")</f>
        <v>Feb</v>
      </c>
      <c r="N358" s="1" t="str">
        <f>TEXT(Table1[[#This Row],[Purchase_Date]],"DD")</f>
        <v>09</v>
      </c>
      <c r="O358" s="2" t="s">
        <v>36</v>
      </c>
      <c r="P358" s="3">
        <v>10</v>
      </c>
      <c r="Q358" s="2" t="s">
        <v>23</v>
      </c>
      <c r="R358" s="2" t="s">
        <v>24</v>
      </c>
      <c r="S358">
        <f>Table1[[#This Row],[Purchase_Amount]]*Table1[[#This Row],[Quantity]]</f>
        <v>874.02</v>
      </c>
      <c r="T358" t="str">
        <f>IF(Table1[[#This Row],[Age]]&lt;25,"&lt;25",IF(Table1[[#This Row],[Age]]&lt;=35,"25-35",IF(Table1[[#This Row],[Age]]&lt;=50,"36-50","50+")))</f>
        <v>36-50</v>
      </c>
    </row>
    <row r="359" spans="1:20" x14ac:dyDescent="0.3">
      <c r="A359" s="2" t="s">
        <v>1220</v>
      </c>
      <c r="B359" s="2" t="s">
        <v>26</v>
      </c>
      <c r="C359" s="3">
        <v>48</v>
      </c>
      <c r="D359" s="2" t="s">
        <v>60</v>
      </c>
      <c r="E359" s="2" t="s">
        <v>18</v>
      </c>
      <c r="F359" s="2" t="s">
        <v>27</v>
      </c>
      <c r="G359" t="s">
        <v>55</v>
      </c>
      <c r="H359" t="s">
        <v>127</v>
      </c>
      <c r="I359" s="4">
        <v>36.340000000000003</v>
      </c>
      <c r="J359" s="3">
        <v>1</v>
      </c>
      <c r="K359" s="1">
        <v>45303</v>
      </c>
      <c r="L359" s="1" t="str">
        <f>TEXT(Table1[[#This Row],[Purchase_Date]],"YYYY")</f>
        <v>2024</v>
      </c>
      <c r="M359" s="1" t="str">
        <f>TEXT(Table1[[#This Row],[Purchase_Date]],"MMM")</f>
        <v>Jan</v>
      </c>
      <c r="N359" s="1" t="str">
        <f>TEXT(Table1[[#This Row],[Purchase_Date]],"DD")</f>
        <v>12</v>
      </c>
      <c r="O359" s="2" t="s">
        <v>41</v>
      </c>
      <c r="P359" s="3">
        <v>9</v>
      </c>
      <c r="Q359" s="2" t="s">
        <v>46</v>
      </c>
      <c r="R359" s="2" t="s">
        <v>47</v>
      </c>
      <c r="S359">
        <f>Table1[[#This Row],[Purchase_Amount]]*Table1[[#This Row],[Quantity]]</f>
        <v>36.340000000000003</v>
      </c>
      <c r="T359" t="str">
        <f>IF(Table1[[#This Row],[Age]]&lt;25,"&lt;25",IF(Table1[[#This Row],[Age]]&lt;=35,"25-35",IF(Table1[[#This Row],[Age]]&lt;=50,"36-50","50+")))</f>
        <v>36-50</v>
      </c>
    </row>
    <row r="360" spans="1:20" x14ac:dyDescent="0.3">
      <c r="A360" s="2" t="s">
        <v>1014</v>
      </c>
      <c r="B360" s="2" t="s">
        <v>26</v>
      </c>
      <c r="C360" s="3">
        <v>50</v>
      </c>
      <c r="D360" s="2" t="s">
        <v>64</v>
      </c>
      <c r="E360" s="2" t="s">
        <v>33</v>
      </c>
      <c r="F360" s="2" t="s">
        <v>44</v>
      </c>
      <c r="G360" t="s">
        <v>55</v>
      </c>
      <c r="H360" t="s">
        <v>76</v>
      </c>
      <c r="I360" s="4">
        <v>81.94</v>
      </c>
      <c r="J360" s="3">
        <v>5</v>
      </c>
      <c r="K360" s="1">
        <v>45124</v>
      </c>
      <c r="L360" s="1" t="str">
        <f>TEXT(Table1[[#This Row],[Purchase_Date]],"YYYY")</f>
        <v>2023</v>
      </c>
      <c r="M360" s="1" t="str">
        <f>TEXT(Table1[[#This Row],[Purchase_Date]],"MMM")</f>
        <v>Jul</v>
      </c>
      <c r="N360" s="1" t="str">
        <f>TEXT(Table1[[#This Row],[Purchase_Date]],"DD")</f>
        <v>17</v>
      </c>
      <c r="O360" s="2" t="s">
        <v>30</v>
      </c>
      <c r="P360" s="3">
        <v>9</v>
      </c>
      <c r="Q360" s="2" t="s">
        <v>23</v>
      </c>
      <c r="R360" s="2" t="s">
        <v>47</v>
      </c>
      <c r="S360">
        <f>Table1[[#This Row],[Purchase_Amount]]*Table1[[#This Row],[Quantity]]</f>
        <v>409.7</v>
      </c>
      <c r="T360" t="str">
        <f>IF(Table1[[#This Row],[Age]]&lt;25,"&lt;25",IF(Table1[[#This Row],[Age]]&lt;=35,"25-35",IF(Table1[[#This Row],[Age]]&lt;=50,"36-50","50+")))</f>
        <v>36-50</v>
      </c>
    </row>
    <row r="361" spans="1:20" x14ac:dyDescent="0.3">
      <c r="A361" s="2" t="s">
        <v>594</v>
      </c>
      <c r="B361" s="2" t="s">
        <v>26</v>
      </c>
      <c r="C361" s="3">
        <v>50</v>
      </c>
      <c r="D361" s="2" t="s">
        <v>109</v>
      </c>
      <c r="E361" s="2" t="s">
        <v>49</v>
      </c>
      <c r="F361" s="2" t="s">
        <v>27</v>
      </c>
      <c r="G361" t="s">
        <v>55</v>
      </c>
      <c r="H361" t="s">
        <v>162</v>
      </c>
      <c r="I361" s="4">
        <v>205.58</v>
      </c>
      <c r="J361" s="3">
        <v>5</v>
      </c>
      <c r="K361" s="1">
        <v>45058</v>
      </c>
      <c r="L361" s="1" t="str">
        <f>TEXT(Table1[[#This Row],[Purchase_Date]],"YYYY")</f>
        <v>2023</v>
      </c>
      <c r="M361" s="1" t="str">
        <f>TEXT(Table1[[#This Row],[Purchase_Date]],"MMM")</f>
        <v>May</v>
      </c>
      <c r="N361" s="1" t="str">
        <f>TEXT(Table1[[#This Row],[Purchase_Date]],"DD")</f>
        <v>12</v>
      </c>
      <c r="O361" s="2" t="s">
        <v>30</v>
      </c>
      <c r="P361" s="3">
        <v>10</v>
      </c>
      <c r="Q361" s="2" t="s">
        <v>23</v>
      </c>
      <c r="R361" s="2" t="s">
        <v>24</v>
      </c>
      <c r="S361">
        <f>Table1[[#This Row],[Purchase_Amount]]*Table1[[#This Row],[Quantity]]</f>
        <v>1027.9000000000001</v>
      </c>
      <c r="T361" t="str">
        <f>IF(Table1[[#This Row],[Age]]&lt;25,"&lt;25",IF(Table1[[#This Row],[Age]]&lt;=35,"25-35",IF(Table1[[#This Row],[Age]]&lt;=50,"36-50","50+")))</f>
        <v>36-50</v>
      </c>
    </row>
    <row r="362" spans="1:20" x14ac:dyDescent="0.3">
      <c r="A362" s="2" t="s">
        <v>835</v>
      </c>
      <c r="B362" s="2" t="s">
        <v>26</v>
      </c>
      <c r="C362" s="3">
        <v>51</v>
      </c>
      <c r="D362" s="2" t="s">
        <v>60</v>
      </c>
      <c r="E362" s="2" t="s">
        <v>33</v>
      </c>
      <c r="F362" s="2" t="s">
        <v>44</v>
      </c>
      <c r="G362" t="s">
        <v>55</v>
      </c>
      <c r="H362" t="s">
        <v>91</v>
      </c>
      <c r="I362" s="4">
        <v>137.78</v>
      </c>
      <c r="J362" s="3">
        <v>2</v>
      </c>
      <c r="K362" s="1">
        <v>45435</v>
      </c>
      <c r="L362" s="1" t="str">
        <f>TEXT(Table1[[#This Row],[Purchase_Date]],"YYYY")</f>
        <v>2024</v>
      </c>
      <c r="M362" s="1" t="str">
        <f>TEXT(Table1[[#This Row],[Purchase_Date]],"MMM")</f>
        <v>May</v>
      </c>
      <c r="N362" s="1" t="str">
        <f>TEXT(Table1[[#This Row],[Purchase_Date]],"DD")</f>
        <v>23</v>
      </c>
      <c r="O362" s="2" t="s">
        <v>41</v>
      </c>
      <c r="P362" s="3">
        <v>3</v>
      </c>
      <c r="Q362" s="2" t="s">
        <v>23</v>
      </c>
      <c r="R362" s="2" t="s">
        <v>24</v>
      </c>
      <c r="S362">
        <f>Table1[[#This Row],[Purchase_Amount]]*Table1[[#This Row],[Quantity]]</f>
        <v>275.56</v>
      </c>
      <c r="T362" t="str">
        <f>IF(Table1[[#This Row],[Age]]&lt;25,"&lt;25",IF(Table1[[#This Row],[Age]]&lt;=35,"25-35",IF(Table1[[#This Row],[Age]]&lt;=50,"36-50","50+")))</f>
        <v>50+</v>
      </c>
    </row>
    <row r="363" spans="1:20" x14ac:dyDescent="0.3">
      <c r="A363" s="2" t="s">
        <v>1123</v>
      </c>
      <c r="B363" s="2" t="s">
        <v>26</v>
      </c>
      <c r="C363" s="3">
        <v>51</v>
      </c>
      <c r="D363" s="2" t="s">
        <v>38</v>
      </c>
      <c r="E363" s="2" t="s">
        <v>18</v>
      </c>
      <c r="F363" s="2" t="s">
        <v>27</v>
      </c>
      <c r="G363" t="s">
        <v>55</v>
      </c>
      <c r="H363" t="s">
        <v>127</v>
      </c>
      <c r="I363" s="4">
        <v>267.45</v>
      </c>
      <c r="J363" s="3">
        <v>2</v>
      </c>
      <c r="K363" s="1">
        <v>45511</v>
      </c>
      <c r="L363" s="1" t="str">
        <f>TEXT(Table1[[#This Row],[Purchase_Date]],"YYYY")</f>
        <v>2024</v>
      </c>
      <c r="M363" s="1" t="str">
        <f>TEXT(Table1[[#This Row],[Purchase_Date]],"MMM")</f>
        <v>Aug</v>
      </c>
      <c r="N363" s="1" t="str">
        <f>TEXT(Table1[[#This Row],[Purchase_Date]],"DD")</f>
        <v>07</v>
      </c>
      <c r="O363" s="2" t="s">
        <v>41</v>
      </c>
      <c r="P363" s="3">
        <v>3</v>
      </c>
      <c r="Q363" s="2" t="s">
        <v>23</v>
      </c>
      <c r="R363" s="2" t="s">
        <v>24</v>
      </c>
      <c r="S363">
        <f>Table1[[#This Row],[Purchase_Amount]]*Table1[[#This Row],[Quantity]]</f>
        <v>534.9</v>
      </c>
      <c r="T363" t="str">
        <f>IF(Table1[[#This Row],[Age]]&lt;25,"&lt;25",IF(Table1[[#This Row],[Age]]&lt;=35,"25-35",IF(Table1[[#This Row],[Age]]&lt;=50,"36-50","50+")))</f>
        <v>50+</v>
      </c>
    </row>
    <row r="364" spans="1:20" x14ac:dyDescent="0.3">
      <c r="A364" s="2" t="s">
        <v>624</v>
      </c>
      <c r="B364" s="2" t="s">
        <v>26</v>
      </c>
      <c r="C364" s="3">
        <v>52</v>
      </c>
      <c r="D364" s="2" t="s">
        <v>32</v>
      </c>
      <c r="E364" s="2" t="s">
        <v>33</v>
      </c>
      <c r="F364" s="2" t="s">
        <v>27</v>
      </c>
      <c r="G364" t="s">
        <v>55</v>
      </c>
      <c r="H364" t="s">
        <v>21</v>
      </c>
      <c r="I364" s="4">
        <v>488.66</v>
      </c>
      <c r="J364" s="3">
        <v>1</v>
      </c>
      <c r="K364" s="1">
        <v>45388</v>
      </c>
      <c r="L364" s="1" t="str">
        <f>TEXT(Table1[[#This Row],[Purchase_Date]],"YYYY")</f>
        <v>2024</v>
      </c>
      <c r="M364" s="1" t="str">
        <f>TEXT(Table1[[#This Row],[Purchase_Date]],"MMM")</f>
        <v>Apr</v>
      </c>
      <c r="N364" s="1" t="str">
        <f>TEXT(Table1[[#This Row],[Purchase_Date]],"DD")</f>
        <v>06</v>
      </c>
      <c r="O364" s="2" t="s">
        <v>41</v>
      </c>
      <c r="P364" s="3">
        <v>3</v>
      </c>
      <c r="Q364" s="2" t="s">
        <v>46</v>
      </c>
      <c r="R364" s="2" t="s">
        <v>24</v>
      </c>
      <c r="S364">
        <f>Table1[[#This Row],[Purchase_Amount]]*Table1[[#This Row],[Quantity]]</f>
        <v>488.66</v>
      </c>
      <c r="T364" t="str">
        <f>IF(Table1[[#This Row],[Age]]&lt;25,"&lt;25",IF(Table1[[#This Row],[Age]]&lt;=35,"25-35",IF(Table1[[#This Row],[Age]]&lt;=50,"36-50","50+")))</f>
        <v>50+</v>
      </c>
    </row>
    <row r="365" spans="1:20" x14ac:dyDescent="0.3">
      <c r="A365" s="2" t="s">
        <v>749</v>
      </c>
      <c r="B365" s="2" t="s">
        <v>26</v>
      </c>
      <c r="C365" s="3">
        <v>52</v>
      </c>
      <c r="D365" s="2" t="s">
        <v>32</v>
      </c>
      <c r="E365" s="2" t="s">
        <v>18</v>
      </c>
      <c r="F365" s="2" t="s">
        <v>27</v>
      </c>
      <c r="G365" t="s">
        <v>55</v>
      </c>
      <c r="H365" t="s">
        <v>354</v>
      </c>
      <c r="I365" s="4">
        <v>930.11</v>
      </c>
      <c r="J365" s="3">
        <v>1</v>
      </c>
      <c r="K365" s="1">
        <v>45550</v>
      </c>
      <c r="L365" s="1" t="str">
        <f>TEXT(Table1[[#This Row],[Purchase_Date]],"YYYY")</f>
        <v>2024</v>
      </c>
      <c r="M365" s="1" t="str">
        <f>TEXT(Table1[[#This Row],[Purchase_Date]],"MMM")</f>
        <v>Sep</v>
      </c>
      <c r="N365" s="1" t="str">
        <f>TEXT(Table1[[#This Row],[Purchase_Date]],"DD")</f>
        <v>15</v>
      </c>
      <c r="O365" s="2" t="s">
        <v>36</v>
      </c>
      <c r="P365" s="3">
        <v>6</v>
      </c>
      <c r="Q365" s="2" t="s">
        <v>23</v>
      </c>
      <c r="R365" s="2" t="s">
        <v>47</v>
      </c>
      <c r="S365">
        <f>Table1[[#This Row],[Purchase_Amount]]*Table1[[#This Row],[Quantity]]</f>
        <v>930.11</v>
      </c>
      <c r="T365" t="str">
        <f>IF(Table1[[#This Row],[Age]]&lt;25,"&lt;25",IF(Table1[[#This Row],[Age]]&lt;=35,"25-35",IF(Table1[[#This Row],[Age]]&lt;=50,"36-50","50+")))</f>
        <v>50+</v>
      </c>
    </row>
    <row r="366" spans="1:20" x14ac:dyDescent="0.3">
      <c r="A366" s="2" t="s">
        <v>394</v>
      </c>
      <c r="B366" s="2" t="s">
        <v>26</v>
      </c>
      <c r="C366" s="3">
        <v>53</v>
      </c>
      <c r="D366" s="2" t="s">
        <v>78</v>
      </c>
      <c r="E366" s="2" t="s">
        <v>18</v>
      </c>
      <c r="F366" s="2" t="s">
        <v>19</v>
      </c>
      <c r="G366" t="s">
        <v>55</v>
      </c>
      <c r="H366" t="s">
        <v>351</v>
      </c>
      <c r="I366" s="4">
        <v>884.85</v>
      </c>
      <c r="J366" s="3">
        <v>5</v>
      </c>
      <c r="K366" s="1">
        <v>45309</v>
      </c>
      <c r="L366" s="1" t="str">
        <f>TEXT(Table1[[#This Row],[Purchase_Date]],"YYYY")</f>
        <v>2024</v>
      </c>
      <c r="M366" s="1" t="str">
        <f>TEXT(Table1[[#This Row],[Purchase_Date]],"MMM")</f>
        <v>Jan</v>
      </c>
      <c r="N366" s="1" t="str">
        <f>TEXT(Table1[[#This Row],[Purchase_Date]],"DD")</f>
        <v>18</v>
      </c>
      <c r="O366" s="2" t="s">
        <v>36</v>
      </c>
      <c r="P366" s="3">
        <v>3</v>
      </c>
      <c r="Q366" s="2" t="s">
        <v>46</v>
      </c>
      <c r="R366" s="2" t="s">
        <v>24</v>
      </c>
      <c r="S366">
        <f>Table1[[#This Row],[Purchase_Amount]]*Table1[[#This Row],[Quantity]]</f>
        <v>4424.25</v>
      </c>
      <c r="T366" t="str">
        <f>IF(Table1[[#This Row],[Age]]&lt;25,"&lt;25",IF(Table1[[#This Row],[Age]]&lt;=35,"25-35",IF(Table1[[#This Row],[Age]]&lt;=50,"36-50","50+")))</f>
        <v>50+</v>
      </c>
    </row>
    <row r="367" spans="1:20" x14ac:dyDescent="0.3">
      <c r="A367" s="2" t="s">
        <v>965</v>
      </c>
      <c r="B367" s="2" t="s">
        <v>26</v>
      </c>
      <c r="C367" s="3">
        <v>54</v>
      </c>
      <c r="D367" s="2" t="s">
        <v>32</v>
      </c>
      <c r="E367" s="2" t="s">
        <v>33</v>
      </c>
      <c r="F367" s="2" t="s">
        <v>27</v>
      </c>
      <c r="G367" t="s">
        <v>55</v>
      </c>
      <c r="H367" t="s">
        <v>776</v>
      </c>
      <c r="I367" s="4">
        <v>378.32</v>
      </c>
      <c r="J367" s="3">
        <v>2</v>
      </c>
      <c r="K367" s="1">
        <v>45101</v>
      </c>
      <c r="L367" s="1" t="str">
        <f>TEXT(Table1[[#This Row],[Purchase_Date]],"YYYY")</f>
        <v>2023</v>
      </c>
      <c r="M367" s="1" t="str">
        <f>TEXT(Table1[[#This Row],[Purchase_Date]],"MMM")</f>
        <v>Jun</v>
      </c>
      <c r="N367" s="1" t="str">
        <f>TEXT(Table1[[#This Row],[Purchase_Date]],"DD")</f>
        <v>24</v>
      </c>
      <c r="O367" s="2" t="s">
        <v>36</v>
      </c>
      <c r="P367" s="3">
        <v>9</v>
      </c>
      <c r="Q367" s="2" t="s">
        <v>23</v>
      </c>
      <c r="R367" s="2" t="s">
        <v>24</v>
      </c>
      <c r="S367">
        <f>Table1[[#This Row],[Purchase_Amount]]*Table1[[#This Row],[Quantity]]</f>
        <v>756.64</v>
      </c>
      <c r="T367" t="str">
        <f>IF(Table1[[#This Row],[Age]]&lt;25,"&lt;25",IF(Table1[[#This Row],[Age]]&lt;=35,"25-35",IF(Table1[[#This Row],[Age]]&lt;=50,"36-50","50+")))</f>
        <v>50+</v>
      </c>
    </row>
    <row r="368" spans="1:20" x14ac:dyDescent="0.3">
      <c r="A368" s="2" t="s">
        <v>1204</v>
      </c>
      <c r="B368" s="2" t="s">
        <v>26</v>
      </c>
      <c r="C368" s="3">
        <v>55</v>
      </c>
      <c r="D368" s="2" t="s">
        <v>17</v>
      </c>
      <c r="E368" s="2" t="s">
        <v>33</v>
      </c>
      <c r="F368" s="2" t="s">
        <v>44</v>
      </c>
      <c r="G368" t="s">
        <v>55</v>
      </c>
      <c r="H368" t="s">
        <v>391</v>
      </c>
      <c r="I368" s="4">
        <v>759.08</v>
      </c>
      <c r="J368" s="3">
        <v>5</v>
      </c>
      <c r="K368" s="1">
        <v>45525</v>
      </c>
      <c r="L368" s="1" t="str">
        <f>TEXT(Table1[[#This Row],[Purchase_Date]],"YYYY")</f>
        <v>2024</v>
      </c>
      <c r="M368" s="1" t="str">
        <f>TEXT(Table1[[#This Row],[Purchase_Date]],"MMM")</f>
        <v>Aug</v>
      </c>
      <c r="N368" s="1" t="str">
        <f>TEXT(Table1[[#This Row],[Purchase_Date]],"DD")</f>
        <v>21</v>
      </c>
      <c r="O368" s="2" t="s">
        <v>22</v>
      </c>
      <c r="P368" s="3">
        <v>9</v>
      </c>
      <c r="Q368" s="2" t="s">
        <v>23</v>
      </c>
      <c r="R368" s="2" t="s">
        <v>24</v>
      </c>
      <c r="S368">
        <f>Table1[[#This Row],[Purchase_Amount]]*Table1[[#This Row],[Quantity]]</f>
        <v>3795.4</v>
      </c>
      <c r="T368" t="str">
        <f>IF(Table1[[#This Row],[Age]]&lt;25,"&lt;25",IF(Table1[[#This Row],[Age]]&lt;=35,"25-35",IF(Table1[[#This Row],[Age]]&lt;=50,"36-50","50+")))</f>
        <v>50+</v>
      </c>
    </row>
    <row r="369" spans="1:20" x14ac:dyDescent="0.3">
      <c r="A369" s="2" t="s">
        <v>934</v>
      </c>
      <c r="B369" s="2" t="s">
        <v>26</v>
      </c>
      <c r="C369" s="3">
        <v>58</v>
      </c>
      <c r="D369" s="2" t="s">
        <v>78</v>
      </c>
      <c r="E369" s="2" t="s">
        <v>33</v>
      </c>
      <c r="F369" s="2" t="s">
        <v>27</v>
      </c>
      <c r="G369" t="s">
        <v>55</v>
      </c>
      <c r="H369" t="s">
        <v>314</v>
      </c>
      <c r="I369" s="4">
        <v>615.23</v>
      </c>
      <c r="J369" s="3">
        <v>2</v>
      </c>
      <c r="K369" s="1">
        <v>45088</v>
      </c>
      <c r="L369" s="1" t="str">
        <f>TEXT(Table1[[#This Row],[Purchase_Date]],"YYYY")</f>
        <v>2023</v>
      </c>
      <c r="M369" s="1" t="str">
        <f>TEXT(Table1[[#This Row],[Purchase_Date]],"MMM")</f>
        <v>Jun</v>
      </c>
      <c r="N369" s="1" t="str">
        <f>TEXT(Table1[[#This Row],[Purchase_Date]],"DD")</f>
        <v>11</v>
      </c>
      <c r="O369" s="2" t="s">
        <v>22</v>
      </c>
      <c r="P369" s="3">
        <v>8</v>
      </c>
      <c r="Q369" s="2" t="s">
        <v>23</v>
      </c>
      <c r="R369" s="2" t="s">
        <v>24</v>
      </c>
      <c r="S369">
        <f>Table1[[#This Row],[Purchase_Amount]]*Table1[[#This Row],[Quantity]]</f>
        <v>1230.46</v>
      </c>
      <c r="T369" t="str">
        <f>IF(Table1[[#This Row],[Age]]&lt;25,"&lt;25",IF(Table1[[#This Row],[Age]]&lt;=35,"25-35",IF(Table1[[#This Row],[Age]]&lt;=50,"36-50","50+")))</f>
        <v>50+</v>
      </c>
    </row>
    <row r="370" spans="1:20" x14ac:dyDescent="0.3">
      <c r="A370" s="2" t="s">
        <v>401</v>
      </c>
      <c r="B370" s="2" t="s">
        <v>26</v>
      </c>
      <c r="C370" s="3">
        <v>59</v>
      </c>
      <c r="D370" s="2" t="s">
        <v>64</v>
      </c>
      <c r="E370" s="2" t="s">
        <v>18</v>
      </c>
      <c r="F370" s="2" t="s">
        <v>44</v>
      </c>
      <c r="G370" t="s">
        <v>55</v>
      </c>
      <c r="H370" t="s">
        <v>260</v>
      </c>
      <c r="I370" s="4">
        <v>65.180000000000007</v>
      </c>
      <c r="J370" s="3">
        <v>4</v>
      </c>
      <c r="K370" s="1">
        <v>45368</v>
      </c>
      <c r="L370" s="1" t="str">
        <f>TEXT(Table1[[#This Row],[Purchase_Date]],"YYYY")</f>
        <v>2024</v>
      </c>
      <c r="M370" s="1" t="str">
        <f>TEXT(Table1[[#This Row],[Purchase_Date]],"MMM")</f>
        <v>Mar</v>
      </c>
      <c r="N370" s="1" t="str">
        <f>TEXT(Table1[[#This Row],[Purchase_Date]],"DD")</f>
        <v>17</v>
      </c>
      <c r="O370" s="2" t="s">
        <v>41</v>
      </c>
      <c r="P370" s="3">
        <v>3</v>
      </c>
      <c r="Q370" s="2" t="s">
        <v>23</v>
      </c>
      <c r="R370" s="2" t="s">
        <v>24</v>
      </c>
      <c r="S370">
        <f>Table1[[#This Row],[Purchase_Amount]]*Table1[[#This Row],[Quantity]]</f>
        <v>260.72000000000003</v>
      </c>
      <c r="T370" t="str">
        <f>IF(Table1[[#This Row],[Age]]&lt;25,"&lt;25",IF(Table1[[#This Row],[Age]]&lt;=35,"25-35",IF(Table1[[#This Row],[Age]]&lt;=50,"36-50","50+")))</f>
        <v>50+</v>
      </c>
    </row>
    <row r="371" spans="1:20" x14ac:dyDescent="0.3">
      <c r="A371" s="2" t="s">
        <v>861</v>
      </c>
      <c r="B371" s="2" t="s">
        <v>26</v>
      </c>
      <c r="C371" s="3">
        <v>59</v>
      </c>
      <c r="D371" s="2" t="s">
        <v>32</v>
      </c>
      <c r="E371" s="2" t="s">
        <v>49</v>
      </c>
      <c r="F371" s="2" t="s">
        <v>27</v>
      </c>
      <c r="G371" t="s">
        <v>55</v>
      </c>
      <c r="H371" t="s">
        <v>827</v>
      </c>
      <c r="I371" s="4">
        <v>143.09</v>
      </c>
      <c r="J371" s="3">
        <v>4</v>
      </c>
      <c r="K371" s="1">
        <v>45446</v>
      </c>
      <c r="L371" s="1" t="str">
        <f>TEXT(Table1[[#This Row],[Purchase_Date]],"YYYY")</f>
        <v>2024</v>
      </c>
      <c r="M371" s="1" t="str">
        <f>TEXT(Table1[[#This Row],[Purchase_Date]],"MMM")</f>
        <v>Jun</v>
      </c>
      <c r="N371" s="1" t="str">
        <f>TEXT(Table1[[#This Row],[Purchase_Date]],"DD")</f>
        <v>03</v>
      </c>
      <c r="O371" s="2" t="s">
        <v>22</v>
      </c>
      <c r="P371" s="3">
        <v>6</v>
      </c>
      <c r="Q371" s="2" t="s">
        <v>23</v>
      </c>
      <c r="R371" s="2" t="s">
        <v>24</v>
      </c>
      <c r="S371">
        <f>Table1[[#This Row],[Purchase_Amount]]*Table1[[#This Row],[Quantity]]</f>
        <v>572.36</v>
      </c>
      <c r="T371" t="str">
        <f>IF(Table1[[#This Row],[Age]]&lt;25,"&lt;25",IF(Table1[[#This Row],[Age]]&lt;=35,"25-35",IF(Table1[[#This Row],[Age]]&lt;=50,"36-50","50+")))</f>
        <v>50+</v>
      </c>
    </row>
    <row r="372" spans="1:20" x14ac:dyDescent="0.3">
      <c r="A372" s="2" t="s">
        <v>977</v>
      </c>
      <c r="B372" s="2" t="s">
        <v>26</v>
      </c>
      <c r="C372" s="3">
        <v>59</v>
      </c>
      <c r="D372" s="2" t="s">
        <v>64</v>
      </c>
      <c r="E372" s="2" t="s">
        <v>18</v>
      </c>
      <c r="F372" s="2" t="s">
        <v>19</v>
      </c>
      <c r="G372" t="s">
        <v>55</v>
      </c>
      <c r="H372" t="s">
        <v>155</v>
      </c>
      <c r="I372" s="4">
        <v>449</v>
      </c>
      <c r="J372" s="3">
        <v>1</v>
      </c>
      <c r="K372" s="1">
        <v>45265</v>
      </c>
      <c r="L372" s="1" t="str">
        <f>TEXT(Table1[[#This Row],[Purchase_Date]],"YYYY")</f>
        <v>2023</v>
      </c>
      <c r="M372" s="1" t="str">
        <f>TEXT(Table1[[#This Row],[Purchase_Date]],"MMM")</f>
        <v>Dec</v>
      </c>
      <c r="N372" s="1" t="str">
        <f>TEXT(Table1[[#This Row],[Purchase_Date]],"DD")</f>
        <v>05</v>
      </c>
      <c r="O372" s="2" t="s">
        <v>22</v>
      </c>
      <c r="P372" s="3">
        <v>10</v>
      </c>
      <c r="Q372" s="2" t="s">
        <v>23</v>
      </c>
      <c r="R372" s="2" t="s">
        <v>24</v>
      </c>
      <c r="S372">
        <f>Table1[[#This Row],[Purchase_Amount]]*Table1[[#This Row],[Quantity]]</f>
        <v>449</v>
      </c>
      <c r="T372" t="str">
        <f>IF(Table1[[#This Row],[Age]]&lt;25,"&lt;25",IF(Table1[[#This Row],[Age]]&lt;=35,"25-35",IF(Table1[[#This Row],[Age]]&lt;=50,"36-50","50+")))</f>
        <v>50+</v>
      </c>
    </row>
    <row r="373" spans="1:20" x14ac:dyDescent="0.3">
      <c r="A373" s="2" t="s">
        <v>857</v>
      </c>
      <c r="B373" s="2" t="s">
        <v>26</v>
      </c>
      <c r="C373" s="3">
        <v>61</v>
      </c>
      <c r="D373" s="2" t="s">
        <v>64</v>
      </c>
      <c r="E373" s="2" t="s">
        <v>33</v>
      </c>
      <c r="F373" s="2" t="s">
        <v>19</v>
      </c>
      <c r="G373" t="s">
        <v>55</v>
      </c>
      <c r="H373" t="s">
        <v>776</v>
      </c>
      <c r="I373" s="4">
        <v>48.97</v>
      </c>
      <c r="J373" s="3">
        <v>1</v>
      </c>
      <c r="K373" s="1">
        <v>45499</v>
      </c>
      <c r="L373" s="1" t="str">
        <f>TEXT(Table1[[#This Row],[Purchase_Date]],"YYYY")</f>
        <v>2024</v>
      </c>
      <c r="M373" s="1" t="str">
        <f>TEXT(Table1[[#This Row],[Purchase_Date]],"MMM")</f>
        <v>Jul</v>
      </c>
      <c r="N373" s="1" t="str">
        <f>TEXT(Table1[[#This Row],[Purchase_Date]],"DD")</f>
        <v>26</v>
      </c>
      <c r="O373" s="2" t="s">
        <v>30</v>
      </c>
      <c r="P373" s="3">
        <v>1</v>
      </c>
      <c r="Q373" s="2" t="s">
        <v>23</v>
      </c>
      <c r="R373" s="2" t="s">
        <v>47</v>
      </c>
      <c r="S373">
        <f>Table1[[#This Row],[Purchase_Amount]]*Table1[[#This Row],[Quantity]]</f>
        <v>48.97</v>
      </c>
      <c r="T373" t="str">
        <f>IF(Table1[[#This Row],[Age]]&lt;25,"&lt;25",IF(Table1[[#This Row],[Age]]&lt;=35,"25-35",IF(Table1[[#This Row],[Age]]&lt;=50,"36-50","50+")))</f>
        <v>50+</v>
      </c>
    </row>
    <row r="374" spans="1:20" x14ac:dyDescent="0.3">
      <c r="A374" s="2" t="s">
        <v>98</v>
      </c>
      <c r="B374" s="2" t="s">
        <v>26</v>
      </c>
      <c r="C374" s="3">
        <v>62</v>
      </c>
      <c r="D374" s="2" t="s">
        <v>32</v>
      </c>
      <c r="E374" s="2" t="s">
        <v>33</v>
      </c>
      <c r="F374" s="2" t="s">
        <v>19</v>
      </c>
      <c r="G374" t="s">
        <v>55</v>
      </c>
      <c r="H374" t="s">
        <v>99</v>
      </c>
      <c r="I374" s="4">
        <v>146.99</v>
      </c>
      <c r="J374" s="3">
        <v>1</v>
      </c>
      <c r="K374" s="1">
        <v>45054</v>
      </c>
      <c r="L374" s="1" t="str">
        <f>TEXT(Table1[[#This Row],[Purchase_Date]],"YYYY")</f>
        <v>2023</v>
      </c>
      <c r="M374" s="1" t="str">
        <f>TEXT(Table1[[#This Row],[Purchase_Date]],"MMM")</f>
        <v>May</v>
      </c>
      <c r="N374" s="1" t="str">
        <f>TEXT(Table1[[#This Row],[Purchase_Date]],"DD")</f>
        <v>08</v>
      </c>
      <c r="O374" s="2" t="s">
        <v>30</v>
      </c>
      <c r="P374" s="3">
        <v>8</v>
      </c>
      <c r="Q374" s="2" t="s">
        <v>23</v>
      </c>
      <c r="R374" s="2" t="s">
        <v>24</v>
      </c>
      <c r="S374">
        <f>Table1[[#This Row],[Purchase_Amount]]*Table1[[#This Row],[Quantity]]</f>
        <v>146.99</v>
      </c>
      <c r="T374" t="str">
        <f>IF(Table1[[#This Row],[Age]]&lt;25,"&lt;25",IF(Table1[[#This Row],[Age]]&lt;=35,"25-35",IF(Table1[[#This Row],[Age]]&lt;=50,"36-50","50+")))</f>
        <v>50+</v>
      </c>
    </row>
    <row r="375" spans="1:20" x14ac:dyDescent="0.3">
      <c r="A375" s="2" t="s">
        <v>568</v>
      </c>
      <c r="B375" s="2" t="s">
        <v>26</v>
      </c>
      <c r="C375" s="3">
        <v>64</v>
      </c>
      <c r="D375" s="2" t="s">
        <v>17</v>
      </c>
      <c r="E375" s="2" t="s">
        <v>18</v>
      </c>
      <c r="F375" s="2" t="s">
        <v>44</v>
      </c>
      <c r="G375" t="s">
        <v>55</v>
      </c>
      <c r="H375" t="s">
        <v>431</v>
      </c>
      <c r="I375" s="4">
        <v>728.82</v>
      </c>
      <c r="J375" s="3">
        <v>3</v>
      </c>
      <c r="K375" s="1">
        <v>45038</v>
      </c>
      <c r="L375" s="1" t="str">
        <f>TEXT(Table1[[#This Row],[Purchase_Date]],"YYYY")</f>
        <v>2023</v>
      </c>
      <c r="M375" s="1" t="str">
        <f>TEXT(Table1[[#This Row],[Purchase_Date]],"MMM")</f>
        <v>Apr</v>
      </c>
      <c r="N375" s="1" t="str">
        <f>TEXT(Table1[[#This Row],[Purchase_Date]],"DD")</f>
        <v>22</v>
      </c>
      <c r="O375" s="2" t="s">
        <v>36</v>
      </c>
      <c r="P375" s="3">
        <v>4</v>
      </c>
      <c r="Q375" s="2" t="s">
        <v>23</v>
      </c>
      <c r="R375" s="2" t="s">
        <v>24</v>
      </c>
      <c r="S375">
        <f>Table1[[#This Row],[Purchase_Amount]]*Table1[[#This Row],[Quantity]]</f>
        <v>2186.46</v>
      </c>
      <c r="T375" t="str">
        <f>IF(Table1[[#This Row],[Age]]&lt;25,"&lt;25",IF(Table1[[#This Row],[Age]]&lt;=35,"25-35",IF(Table1[[#This Row],[Age]]&lt;=50,"36-50","50+")))</f>
        <v>50+</v>
      </c>
    </row>
    <row r="376" spans="1:20" x14ac:dyDescent="0.3">
      <c r="A376" s="2" t="s">
        <v>990</v>
      </c>
      <c r="B376" s="2" t="s">
        <v>26</v>
      </c>
      <c r="C376" s="3">
        <v>65</v>
      </c>
      <c r="D376" s="2" t="s">
        <v>43</v>
      </c>
      <c r="E376" s="2" t="s">
        <v>18</v>
      </c>
      <c r="F376" s="2" t="s">
        <v>27</v>
      </c>
      <c r="G376" t="s">
        <v>55</v>
      </c>
      <c r="H376" t="s">
        <v>513</v>
      </c>
      <c r="I376" s="4">
        <v>200.34</v>
      </c>
      <c r="J376" s="3">
        <v>4</v>
      </c>
      <c r="K376" s="1">
        <v>45379</v>
      </c>
      <c r="L376" s="1" t="str">
        <f>TEXT(Table1[[#This Row],[Purchase_Date]],"YYYY")</f>
        <v>2024</v>
      </c>
      <c r="M376" s="1" t="str">
        <f>TEXT(Table1[[#This Row],[Purchase_Date]],"MMM")</f>
        <v>Mar</v>
      </c>
      <c r="N376" s="1" t="str">
        <f>TEXT(Table1[[#This Row],[Purchase_Date]],"DD")</f>
        <v>28</v>
      </c>
      <c r="O376" s="2" t="s">
        <v>22</v>
      </c>
      <c r="P376" s="3">
        <v>5</v>
      </c>
      <c r="Q376" s="2" t="s">
        <v>46</v>
      </c>
      <c r="R376" s="2" t="s">
        <v>47</v>
      </c>
      <c r="S376">
        <f>Table1[[#This Row],[Purchase_Amount]]*Table1[[#This Row],[Quantity]]</f>
        <v>801.36</v>
      </c>
      <c r="T376" t="str">
        <f>IF(Table1[[#This Row],[Age]]&lt;25,"&lt;25",IF(Table1[[#This Row],[Age]]&lt;=35,"25-35",IF(Table1[[#This Row],[Age]]&lt;=50,"36-50","50+")))</f>
        <v>50+</v>
      </c>
    </row>
    <row r="377" spans="1:20" x14ac:dyDescent="0.3">
      <c r="A377" s="2" t="s">
        <v>874</v>
      </c>
      <c r="B377" s="2" t="s">
        <v>26</v>
      </c>
      <c r="C377" s="3">
        <v>66</v>
      </c>
      <c r="D377" s="2" t="s">
        <v>43</v>
      </c>
      <c r="E377" s="2" t="s">
        <v>49</v>
      </c>
      <c r="F377" s="2" t="s">
        <v>44</v>
      </c>
      <c r="G377" t="s">
        <v>55</v>
      </c>
      <c r="H377" t="s">
        <v>399</v>
      </c>
      <c r="I377" s="4">
        <v>888.55</v>
      </c>
      <c r="J377" s="3">
        <v>4</v>
      </c>
      <c r="K377" s="1">
        <v>45084</v>
      </c>
      <c r="L377" s="1" t="str">
        <f>TEXT(Table1[[#This Row],[Purchase_Date]],"YYYY")</f>
        <v>2023</v>
      </c>
      <c r="M377" s="1" t="str">
        <f>TEXT(Table1[[#This Row],[Purchase_Date]],"MMM")</f>
        <v>Jun</v>
      </c>
      <c r="N377" s="1" t="str">
        <f>TEXT(Table1[[#This Row],[Purchase_Date]],"DD")</f>
        <v>07</v>
      </c>
      <c r="O377" s="2" t="s">
        <v>30</v>
      </c>
      <c r="P377" s="3">
        <v>3</v>
      </c>
      <c r="Q377" s="2" t="s">
        <v>23</v>
      </c>
      <c r="R377" s="2" t="s">
        <v>47</v>
      </c>
      <c r="S377">
        <f>Table1[[#This Row],[Purchase_Amount]]*Table1[[#This Row],[Quantity]]</f>
        <v>3554.2</v>
      </c>
      <c r="T377" t="str">
        <f>IF(Table1[[#This Row],[Age]]&lt;25,"&lt;25",IF(Table1[[#This Row],[Age]]&lt;=35,"25-35",IF(Table1[[#This Row],[Age]]&lt;=50,"36-50","50+")))</f>
        <v>50+</v>
      </c>
    </row>
    <row r="378" spans="1:20" x14ac:dyDescent="0.3">
      <c r="A378" s="2" t="s">
        <v>331</v>
      </c>
      <c r="B378" s="2" t="s">
        <v>26</v>
      </c>
      <c r="C378" s="3">
        <v>69</v>
      </c>
      <c r="D378" s="2" t="s">
        <v>38</v>
      </c>
      <c r="E378" s="2" t="s">
        <v>33</v>
      </c>
      <c r="F378" s="2" t="s">
        <v>27</v>
      </c>
      <c r="G378" t="s">
        <v>55</v>
      </c>
      <c r="H378" t="s">
        <v>324</v>
      </c>
      <c r="I378" s="4">
        <v>956.09</v>
      </c>
      <c r="J378" s="3">
        <v>2</v>
      </c>
      <c r="K378" s="1">
        <v>45016</v>
      </c>
      <c r="L378" s="1" t="str">
        <f>TEXT(Table1[[#This Row],[Purchase_Date]],"YYYY")</f>
        <v>2023</v>
      </c>
      <c r="M378" s="1" t="str">
        <f>TEXT(Table1[[#This Row],[Purchase_Date]],"MMM")</f>
        <v>Mar</v>
      </c>
      <c r="N378" s="1" t="str">
        <f>TEXT(Table1[[#This Row],[Purchase_Date]],"DD")</f>
        <v>31</v>
      </c>
      <c r="O378" s="2" t="s">
        <v>36</v>
      </c>
      <c r="P378" s="3">
        <v>10</v>
      </c>
      <c r="Q378" s="2" t="s">
        <v>46</v>
      </c>
      <c r="R378" s="2" t="s">
        <v>24</v>
      </c>
      <c r="S378">
        <f>Table1[[#This Row],[Purchase_Amount]]*Table1[[#This Row],[Quantity]]</f>
        <v>1912.18</v>
      </c>
      <c r="T378" t="str">
        <f>IF(Table1[[#This Row],[Age]]&lt;25,"&lt;25",IF(Table1[[#This Row],[Age]]&lt;=35,"25-35",IF(Table1[[#This Row],[Age]]&lt;=50,"36-50","50+")))</f>
        <v>50+</v>
      </c>
    </row>
    <row r="379" spans="1:20" x14ac:dyDescent="0.3">
      <c r="A379" s="2" t="s">
        <v>1098</v>
      </c>
      <c r="B379" s="2" t="s">
        <v>26</v>
      </c>
      <c r="C379" s="3">
        <v>18</v>
      </c>
      <c r="D379" s="2" t="s">
        <v>38</v>
      </c>
      <c r="E379" s="2" t="s">
        <v>18</v>
      </c>
      <c r="F379" s="2" t="s">
        <v>44</v>
      </c>
      <c r="G379" t="s">
        <v>61</v>
      </c>
      <c r="H379" t="s">
        <v>243</v>
      </c>
      <c r="I379" s="4">
        <v>44.03</v>
      </c>
      <c r="J379" s="3">
        <v>3</v>
      </c>
      <c r="K379" s="1">
        <v>45017</v>
      </c>
      <c r="L379" s="1" t="str">
        <f>TEXT(Table1[[#This Row],[Purchase_Date]],"YYYY")</f>
        <v>2023</v>
      </c>
      <c r="M379" s="1" t="str">
        <f>TEXT(Table1[[#This Row],[Purchase_Date]],"MMM")</f>
        <v>Apr</v>
      </c>
      <c r="N379" s="1" t="str">
        <f>TEXT(Table1[[#This Row],[Purchase_Date]],"DD")</f>
        <v>01</v>
      </c>
      <c r="O379" s="2" t="s">
        <v>22</v>
      </c>
      <c r="P379" s="3">
        <v>6</v>
      </c>
      <c r="Q379" s="2" t="s">
        <v>23</v>
      </c>
      <c r="R379" s="2" t="s">
        <v>47</v>
      </c>
      <c r="S379">
        <f>Table1[[#This Row],[Purchase_Amount]]*Table1[[#This Row],[Quantity]]</f>
        <v>132.09</v>
      </c>
      <c r="T379" t="str">
        <f>IF(Table1[[#This Row],[Age]]&lt;25,"&lt;25",IF(Table1[[#This Row],[Age]]&lt;=35,"25-35",IF(Table1[[#This Row],[Age]]&lt;=50,"36-50","50+")))</f>
        <v>&lt;25</v>
      </c>
    </row>
    <row r="380" spans="1:20" x14ac:dyDescent="0.3">
      <c r="A380" s="2" t="s">
        <v>612</v>
      </c>
      <c r="B380" s="2" t="s">
        <v>26</v>
      </c>
      <c r="C380" s="3">
        <v>19</v>
      </c>
      <c r="D380" s="2" t="s">
        <v>60</v>
      </c>
      <c r="E380" s="2" t="s">
        <v>33</v>
      </c>
      <c r="F380" s="2" t="s">
        <v>27</v>
      </c>
      <c r="G380" t="s">
        <v>61</v>
      </c>
      <c r="H380" t="s">
        <v>298</v>
      </c>
      <c r="I380" s="4">
        <v>480.02</v>
      </c>
      <c r="J380" s="3">
        <v>4</v>
      </c>
      <c r="K380" s="1">
        <v>45486</v>
      </c>
      <c r="L380" s="1" t="str">
        <f>TEXT(Table1[[#This Row],[Purchase_Date]],"YYYY")</f>
        <v>2024</v>
      </c>
      <c r="M380" s="1" t="str">
        <f>TEXT(Table1[[#This Row],[Purchase_Date]],"MMM")</f>
        <v>Jul</v>
      </c>
      <c r="N380" s="1" t="str">
        <f>TEXT(Table1[[#This Row],[Purchase_Date]],"DD")</f>
        <v>13</v>
      </c>
      <c r="O380" s="2" t="s">
        <v>36</v>
      </c>
      <c r="P380" s="3">
        <v>1</v>
      </c>
      <c r="Q380" s="2" t="s">
        <v>23</v>
      </c>
      <c r="R380" s="2" t="s">
        <v>24</v>
      </c>
      <c r="S380">
        <f>Table1[[#This Row],[Purchase_Amount]]*Table1[[#This Row],[Quantity]]</f>
        <v>1920.08</v>
      </c>
      <c r="T380" t="str">
        <f>IF(Table1[[#This Row],[Age]]&lt;25,"&lt;25",IF(Table1[[#This Row],[Age]]&lt;=35,"25-35",IF(Table1[[#This Row],[Age]]&lt;=50,"36-50","50+")))</f>
        <v>&lt;25</v>
      </c>
    </row>
    <row r="381" spans="1:20" x14ac:dyDescent="0.3">
      <c r="A381" s="2" t="s">
        <v>836</v>
      </c>
      <c r="B381" s="2" t="s">
        <v>26</v>
      </c>
      <c r="C381" s="3">
        <v>20</v>
      </c>
      <c r="D381" s="2" t="s">
        <v>43</v>
      </c>
      <c r="E381" s="2" t="s">
        <v>49</v>
      </c>
      <c r="F381" s="2" t="s">
        <v>44</v>
      </c>
      <c r="G381" t="s">
        <v>61</v>
      </c>
      <c r="H381" t="s">
        <v>458</v>
      </c>
      <c r="I381" s="4">
        <v>304.88</v>
      </c>
      <c r="J381" s="3">
        <v>4</v>
      </c>
      <c r="K381" s="1">
        <v>45554</v>
      </c>
      <c r="L381" s="1" t="str">
        <f>TEXT(Table1[[#This Row],[Purchase_Date]],"YYYY")</f>
        <v>2024</v>
      </c>
      <c r="M381" s="1" t="str">
        <f>TEXT(Table1[[#This Row],[Purchase_Date]],"MMM")</f>
        <v>Sep</v>
      </c>
      <c r="N381" s="1" t="str">
        <f>TEXT(Table1[[#This Row],[Purchase_Date]],"DD")</f>
        <v>19</v>
      </c>
      <c r="O381" s="2" t="s">
        <v>36</v>
      </c>
      <c r="P381" s="3">
        <v>6</v>
      </c>
      <c r="Q381" s="2" t="s">
        <v>23</v>
      </c>
      <c r="R381" s="2" t="s">
        <v>47</v>
      </c>
      <c r="S381">
        <f>Table1[[#This Row],[Purchase_Amount]]*Table1[[#This Row],[Quantity]]</f>
        <v>1219.52</v>
      </c>
      <c r="T381" t="str">
        <f>IF(Table1[[#This Row],[Age]]&lt;25,"&lt;25",IF(Table1[[#This Row],[Age]]&lt;=35,"25-35",IF(Table1[[#This Row],[Age]]&lt;=50,"36-50","50+")))</f>
        <v>&lt;25</v>
      </c>
    </row>
    <row r="382" spans="1:20" x14ac:dyDescent="0.3">
      <c r="A382" s="2" t="s">
        <v>969</v>
      </c>
      <c r="B382" s="2" t="s">
        <v>26</v>
      </c>
      <c r="C382" s="3">
        <v>20</v>
      </c>
      <c r="D382" s="2" t="s">
        <v>43</v>
      </c>
      <c r="E382" s="2" t="s">
        <v>33</v>
      </c>
      <c r="F382" s="2" t="s">
        <v>19</v>
      </c>
      <c r="G382" t="s">
        <v>61</v>
      </c>
      <c r="H382" t="s">
        <v>287</v>
      </c>
      <c r="I382" s="4">
        <v>868.39</v>
      </c>
      <c r="J382" s="3">
        <v>4</v>
      </c>
      <c r="K382" s="1">
        <v>45036</v>
      </c>
      <c r="L382" s="1" t="str">
        <f>TEXT(Table1[[#This Row],[Purchase_Date]],"YYYY")</f>
        <v>2023</v>
      </c>
      <c r="M382" s="1" t="str">
        <f>TEXT(Table1[[#This Row],[Purchase_Date]],"MMM")</f>
        <v>Apr</v>
      </c>
      <c r="N382" s="1" t="str">
        <f>TEXT(Table1[[#This Row],[Purchase_Date]],"DD")</f>
        <v>20</v>
      </c>
      <c r="O382" s="2" t="s">
        <v>36</v>
      </c>
      <c r="P382" s="3">
        <v>9</v>
      </c>
      <c r="Q382" s="2" t="s">
        <v>23</v>
      </c>
      <c r="R382" s="2" t="s">
        <v>24</v>
      </c>
      <c r="S382">
        <f>Table1[[#This Row],[Purchase_Amount]]*Table1[[#This Row],[Quantity]]</f>
        <v>3473.56</v>
      </c>
      <c r="T382" t="str">
        <f>IF(Table1[[#This Row],[Age]]&lt;25,"&lt;25",IF(Table1[[#This Row],[Age]]&lt;=35,"25-35",IF(Table1[[#This Row],[Age]]&lt;=50,"36-50","50+")))</f>
        <v>&lt;25</v>
      </c>
    </row>
    <row r="383" spans="1:20" x14ac:dyDescent="0.3">
      <c r="A383" s="2" t="s">
        <v>923</v>
      </c>
      <c r="B383" s="2" t="s">
        <v>26</v>
      </c>
      <c r="C383" s="3">
        <v>21</v>
      </c>
      <c r="D383" s="2" t="s">
        <v>60</v>
      </c>
      <c r="E383" s="2" t="s">
        <v>33</v>
      </c>
      <c r="F383" s="2" t="s">
        <v>44</v>
      </c>
      <c r="G383" t="s">
        <v>61</v>
      </c>
      <c r="H383" t="s">
        <v>294</v>
      </c>
      <c r="I383" s="4">
        <v>411.59</v>
      </c>
      <c r="J383" s="3">
        <v>5</v>
      </c>
      <c r="K383" s="1">
        <v>45462</v>
      </c>
      <c r="L383" s="1" t="str">
        <f>TEXT(Table1[[#This Row],[Purchase_Date]],"YYYY")</f>
        <v>2024</v>
      </c>
      <c r="M383" s="1" t="str">
        <f>TEXT(Table1[[#This Row],[Purchase_Date]],"MMM")</f>
        <v>Jun</v>
      </c>
      <c r="N383" s="1" t="str">
        <f>TEXT(Table1[[#This Row],[Purchase_Date]],"DD")</f>
        <v>19</v>
      </c>
      <c r="O383" s="2" t="s">
        <v>30</v>
      </c>
      <c r="P383" s="3">
        <v>4</v>
      </c>
      <c r="Q383" s="2" t="s">
        <v>46</v>
      </c>
      <c r="R383" s="2" t="s">
        <v>24</v>
      </c>
      <c r="S383">
        <f>Table1[[#This Row],[Purchase_Amount]]*Table1[[#This Row],[Quantity]]</f>
        <v>2057.9499999999998</v>
      </c>
      <c r="T383" t="str">
        <f>IF(Table1[[#This Row],[Age]]&lt;25,"&lt;25",IF(Table1[[#This Row],[Age]]&lt;=35,"25-35",IF(Table1[[#This Row],[Age]]&lt;=50,"36-50","50+")))</f>
        <v>&lt;25</v>
      </c>
    </row>
    <row r="384" spans="1:20" x14ac:dyDescent="0.3">
      <c r="A384" s="2" t="s">
        <v>885</v>
      </c>
      <c r="B384" s="2" t="s">
        <v>26</v>
      </c>
      <c r="C384" s="3">
        <v>22</v>
      </c>
      <c r="D384" s="2" t="s">
        <v>32</v>
      </c>
      <c r="E384" s="2" t="s">
        <v>18</v>
      </c>
      <c r="F384" s="2" t="s">
        <v>27</v>
      </c>
      <c r="G384" t="s">
        <v>61</v>
      </c>
      <c r="H384" t="s">
        <v>162</v>
      </c>
      <c r="I384" s="4">
        <v>584.03</v>
      </c>
      <c r="J384" s="3">
        <v>5</v>
      </c>
      <c r="K384" s="1">
        <v>45226</v>
      </c>
      <c r="L384" s="1" t="str">
        <f>TEXT(Table1[[#This Row],[Purchase_Date]],"YYYY")</f>
        <v>2023</v>
      </c>
      <c r="M384" s="1" t="str">
        <f>TEXT(Table1[[#This Row],[Purchase_Date]],"MMM")</f>
        <v>Oct</v>
      </c>
      <c r="N384" s="1" t="str">
        <f>TEXT(Table1[[#This Row],[Purchase_Date]],"DD")</f>
        <v>27</v>
      </c>
      <c r="O384" s="2" t="s">
        <v>22</v>
      </c>
      <c r="P384" s="3">
        <v>6</v>
      </c>
      <c r="Q384" s="2" t="s">
        <v>23</v>
      </c>
      <c r="R384" s="2" t="s">
        <v>24</v>
      </c>
      <c r="S384">
        <f>Table1[[#This Row],[Purchase_Amount]]*Table1[[#This Row],[Quantity]]</f>
        <v>2920.1499999999996</v>
      </c>
      <c r="T384" t="str">
        <f>IF(Table1[[#This Row],[Age]]&lt;25,"&lt;25",IF(Table1[[#This Row],[Age]]&lt;=35,"25-35",IF(Table1[[#This Row],[Age]]&lt;=50,"36-50","50+")))</f>
        <v>&lt;25</v>
      </c>
    </row>
    <row r="385" spans="1:20" x14ac:dyDescent="0.3">
      <c r="A385" s="2" t="s">
        <v>75</v>
      </c>
      <c r="B385" s="2" t="s">
        <v>26</v>
      </c>
      <c r="C385" s="3">
        <v>23</v>
      </c>
      <c r="D385" s="2" t="s">
        <v>64</v>
      </c>
      <c r="E385" s="2" t="s">
        <v>49</v>
      </c>
      <c r="F385" s="2" t="s">
        <v>44</v>
      </c>
      <c r="G385" t="s">
        <v>61</v>
      </c>
      <c r="H385" t="s">
        <v>76</v>
      </c>
      <c r="I385" s="4">
        <v>20.61</v>
      </c>
      <c r="J385" s="3">
        <v>1</v>
      </c>
      <c r="K385" s="1">
        <v>45593</v>
      </c>
      <c r="L385" s="1" t="str">
        <f>TEXT(Table1[[#This Row],[Purchase_Date]],"YYYY")</f>
        <v>2024</v>
      </c>
      <c r="M385" s="1" t="str">
        <f>TEXT(Table1[[#This Row],[Purchase_Date]],"MMM")</f>
        <v>Oct</v>
      </c>
      <c r="N385" s="1" t="str">
        <f>TEXT(Table1[[#This Row],[Purchase_Date]],"DD")</f>
        <v>28</v>
      </c>
      <c r="O385" s="2" t="s">
        <v>22</v>
      </c>
      <c r="P385" s="3">
        <v>4</v>
      </c>
      <c r="Q385" s="2" t="s">
        <v>23</v>
      </c>
      <c r="R385" s="2" t="s">
        <v>47</v>
      </c>
      <c r="S385">
        <f>Table1[[#This Row],[Purchase_Amount]]*Table1[[#This Row],[Quantity]]</f>
        <v>20.61</v>
      </c>
      <c r="T385" t="str">
        <f>IF(Table1[[#This Row],[Age]]&lt;25,"&lt;25",IF(Table1[[#This Row],[Age]]&lt;=35,"25-35",IF(Table1[[#This Row],[Age]]&lt;=50,"36-50","50+")))</f>
        <v>&lt;25</v>
      </c>
    </row>
    <row r="386" spans="1:20" x14ac:dyDescent="0.3">
      <c r="A386" s="2" t="s">
        <v>681</v>
      </c>
      <c r="B386" s="2" t="s">
        <v>26</v>
      </c>
      <c r="C386" s="3">
        <v>23</v>
      </c>
      <c r="D386" s="2" t="s">
        <v>109</v>
      </c>
      <c r="E386" s="2" t="s">
        <v>33</v>
      </c>
      <c r="F386" s="2" t="s">
        <v>27</v>
      </c>
      <c r="G386" t="s">
        <v>61</v>
      </c>
      <c r="H386" t="s">
        <v>234</v>
      </c>
      <c r="I386" s="4">
        <v>519.59</v>
      </c>
      <c r="J386" s="3">
        <v>2</v>
      </c>
      <c r="K386" s="1">
        <v>45019</v>
      </c>
      <c r="L386" s="1" t="str">
        <f>TEXT(Table1[[#This Row],[Purchase_Date]],"YYYY")</f>
        <v>2023</v>
      </c>
      <c r="M386" s="1" t="str">
        <f>TEXT(Table1[[#This Row],[Purchase_Date]],"MMM")</f>
        <v>Apr</v>
      </c>
      <c r="N386" s="1" t="str">
        <f>TEXT(Table1[[#This Row],[Purchase_Date]],"DD")</f>
        <v>03</v>
      </c>
      <c r="O386" s="2" t="s">
        <v>41</v>
      </c>
      <c r="P386" s="3">
        <v>7</v>
      </c>
      <c r="Q386" s="2" t="s">
        <v>46</v>
      </c>
      <c r="R386" s="2" t="s">
        <v>24</v>
      </c>
      <c r="S386">
        <f>Table1[[#This Row],[Purchase_Amount]]*Table1[[#This Row],[Quantity]]</f>
        <v>1039.18</v>
      </c>
      <c r="T386" t="str">
        <f>IF(Table1[[#This Row],[Age]]&lt;25,"&lt;25",IF(Table1[[#This Row],[Age]]&lt;=35,"25-35",IF(Table1[[#This Row],[Age]]&lt;=50,"36-50","50+")))</f>
        <v>&lt;25</v>
      </c>
    </row>
    <row r="387" spans="1:20" x14ac:dyDescent="0.3">
      <c r="A387" s="2" t="s">
        <v>808</v>
      </c>
      <c r="B387" s="2" t="s">
        <v>26</v>
      </c>
      <c r="C387" s="3">
        <v>24</v>
      </c>
      <c r="D387" s="2" t="s">
        <v>32</v>
      </c>
      <c r="E387" s="2" t="s">
        <v>18</v>
      </c>
      <c r="F387" s="2" t="s">
        <v>27</v>
      </c>
      <c r="G387" t="s">
        <v>61</v>
      </c>
      <c r="H387" t="s">
        <v>219</v>
      </c>
      <c r="I387" s="4">
        <v>865.72</v>
      </c>
      <c r="J387" s="3">
        <v>2</v>
      </c>
      <c r="K387" s="1">
        <v>45442</v>
      </c>
      <c r="L387" s="1" t="str">
        <f>TEXT(Table1[[#This Row],[Purchase_Date]],"YYYY")</f>
        <v>2024</v>
      </c>
      <c r="M387" s="1" t="str">
        <f>TEXT(Table1[[#This Row],[Purchase_Date]],"MMM")</f>
        <v>May</v>
      </c>
      <c r="N387" s="1" t="str">
        <f>TEXT(Table1[[#This Row],[Purchase_Date]],"DD")</f>
        <v>30</v>
      </c>
      <c r="O387" s="2" t="s">
        <v>36</v>
      </c>
      <c r="P387" s="3">
        <v>5</v>
      </c>
      <c r="Q387" s="2" t="s">
        <v>46</v>
      </c>
      <c r="R387" s="2" t="s">
        <v>47</v>
      </c>
      <c r="S387">
        <f>Table1[[#This Row],[Purchase_Amount]]*Table1[[#This Row],[Quantity]]</f>
        <v>1731.44</v>
      </c>
      <c r="T387" t="str">
        <f>IF(Table1[[#This Row],[Age]]&lt;25,"&lt;25",IF(Table1[[#This Row],[Age]]&lt;=35,"25-35",IF(Table1[[#This Row],[Age]]&lt;=50,"36-50","50+")))</f>
        <v>&lt;25</v>
      </c>
    </row>
    <row r="388" spans="1:20" x14ac:dyDescent="0.3">
      <c r="A388" s="2" t="s">
        <v>1229</v>
      </c>
      <c r="B388" s="2" t="s">
        <v>26</v>
      </c>
      <c r="C388" s="3">
        <v>25</v>
      </c>
      <c r="D388" s="2" t="s">
        <v>43</v>
      </c>
      <c r="E388" s="2" t="s">
        <v>18</v>
      </c>
      <c r="F388" s="2" t="s">
        <v>19</v>
      </c>
      <c r="G388" t="s">
        <v>61</v>
      </c>
      <c r="H388" t="s">
        <v>206</v>
      </c>
      <c r="I388" s="4">
        <v>138.56</v>
      </c>
      <c r="J388" s="3">
        <v>3</v>
      </c>
      <c r="K388" s="1">
        <v>44934</v>
      </c>
      <c r="L388" s="1" t="str">
        <f>TEXT(Table1[[#This Row],[Purchase_Date]],"YYYY")</f>
        <v>2023</v>
      </c>
      <c r="M388" s="1" t="str">
        <f>TEXT(Table1[[#This Row],[Purchase_Date]],"MMM")</f>
        <v>Jan</v>
      </c>
      <c r="N388" s="1" t="str">
        <f>TEXT(Table1[[#This Row],[Purchase_Date]],"DD")</f>
        <v>08</v>
      </c>
      <c r="O388" s="2" t="s">
        <v>30</v>
      </c>
      <c r="P388" s="3">
        <v>9</v>
      </c>
      <c r="Q388" s="2" t="s">
        <v>23</v>
      </c>
      <c r="R388" s="2" t="s">
        <v>47</v>
      </c>
      <c r="S388">
        <f>Table1[[#This Row],[Purchase_Amount]]*Table1[[#This Row],[Quantity]]</f>
        <v>415.68</v>
      </c>
      <c r="T388" t="str">
        <f>IF(Table1[[#This Row],[Age]]&lt;25,"&lt;25",IF(Table1[[#This Row],[Age]]&lt;=35,"25-35",IF(Table1[[#This Row],[Age]]&lt;=50,"36-50","50+")))</f>
        <v>25-35</v>
      </c>
    </row>
    <row r="389" spans="1:20" x14ac:dyDescent="0.3">
      <c r="A389" s="2" t="s">
        <v>400</v>
      </c>
      <c r="B389" s="2" t="s">
        <v>26</v>
      </c>
      <c r="C389" s="3">
        <v>25</v>
      </c>
      <c r="D389" s="2" t="s">
        <v>64</v>
      </c>
      <c r="E389" s="2" t="s">
        <v>18</v>
      </c>
      <c r="F389" s="2" t="s">
        <v>27</v>
      </c>
      <c r="G389" t="s">
        <v>61</v>
      </c>
      <c r="H389" t="s">
        <v>273</v>
      </c>
      <c r="I389" s="4">
        <v>322.94</v>
      </c>
      <c r="J389" s="3">
        <v>3</v>
      </c>
      <c r="K389" s="1">
        <v>44929</v>
      </c>
      <c r="L389" s="1" t="str">
        <f>TEXT(Table1[[#This Row],[Purchase_Date]],"YYYY")</f>
        <v>2023</v>
      </c>
      <c r="M389" s="1" t="str">
        <f>TEXT(Table1[[#This Row],[Purchase_Date]],"MMM")</f>
        <v>Jan</v>
      </c>
      <c r="N389" s="1" t="str">
        <f>TEXT(Table1[[#This Row],[Purchase_Date]],"DD")</f>
        <v>03</v>
      </c>
      <c r="O389" s="2" t="s">
        <v>41</v>
      </c>
      <c r="P389" s="3">
        <v>9</v>
      </c>
      <c r="Q389" s="2" t="s">
        <v>46</v>
      </c>
      <c r="R389" s="2" t="s">
        <v>47</v>
      </c>
      <c r="S389">
        <f>Table1[[#This Row],[Purchase_Amount]]*Table1[[#This Row],[Quantity]]</f>
        <v>968.81999999999994</v>
      </c>
      <c r="T389" t="str">
        <f>IF(Table1[[#This Row],[Age]]&lt;25,"&lt;25",IF(Table1[[#This Row],[Age]]&lt;=35,"25-35",IF(Table1[[#This Row],[Age]]&lt;=50,"36-50","50+")))</f>
        <v>25-35</v>
      </c>
    </row>
    <row r="390" spans="1:20" x14ac:dyDescent="0.3">
      <c r="A390" s="2" t="s">
        <v>205</v>
      </c>
      <c r="B390" s="2" t="s">
        <v>26</v>
      </c>
      <c r="C390" s="3">
        <v>25</v>
      </c>
      <c r="D390" s="2" t="s">
        <v>78</v>
      </c>
      <c r="E390" s="2" t="s">
        <v>33</v>
      </c>
      <c r="F390" s="2" t="s">
        <v>27</v>
      </c>
      <c r="G390" t="s">
        <v>61</v>
      </c>
      <c r="H390" t="s">
        <v>206</v>
      </c>
      <c r="I390" s="4">
        <v>987.03</v>
      </c>
      <c r="J390" s="3">
        <v>5</v>
      </c>
      <c r="K390" s="1">
        <v>45366</v>
      </c>
      <c r="L390" s="1" t="str">
        <f>TEXT(Table1[[#This Row],[Purchase_Date]],"YYYY")</f>
        <v>2024</v>
      </c>
      <c r="M390" s="1" t="str">
        <f>TEXT(Table1[[#This Row],[Purchase_Date]],"MMM")</f>
        <v>Mar</v>
      </c>
      <c r="N390" s="1" t="str">
        <f>TEXT(Table1[[#This Row],[Purchase_Date]],"DD")</f>
        <v>15</v>
      </c>
      <c r="O390" s="2" t="s">
        <v>41</v>
      </c>
      <c r="P390" s="3">
        <v>4</v>
      </c>
      <c r="Q390" s="2" t="s">
        <v>46</v>
      </c>
      <c r="R390" s="2" t="s">
        <v>24</v>
      </c>
      <c r="S390">
        <f>Table1[[#This Row],[Purchase_Amount]]*Table1[[#This Row],[Quantity]]</f>
        <v>4935.1499999999996</v>
      </c>
      <c r="T390" t="str">
        <f>IF(Table1[[#This Row],[Age]]&lt;25,"&lt;25",IF(Table1[[#This Row],[Age]]&lt;=35,"25-35",IF(Table1[[#This Row],[Age]]&lt;=50,"36-50","50+")))</f>
        <v>25-35</v>
      </c>
    </row>
    <row r="391" spans="1:20" x14ac:dyDescent="0.3">
      <c r="A391" s="2" t="s">
        <v>1245</v>
      </c>
      <c r="B391" s="2" t="s">
        <v>26</v>
      </c>
      <c r="C391" s="3">
        <v>27</v>
      </c>
      <c r="D391" s="2" t="s">
        <v>60</v>
      </c>
      <c r="E391" s="2" t="s">
        <v>18</v>
      </c>
      <c r="F391" s="2" t="s">
        <v>44</v>
      </c>
      <c r="G391" t="s">
        <v>61</v>
      </c>
      <c r="H391" t="s">
        <v>217</v>
      </c>
      <c r="I391" s="4">
        <v>293.27</v>
      </c>
      <c r="J391" s="3">
        <v>3</v>
      </c>
      <c r="K391" s="1">
        <v>45546</v>
      </c>
      <c r="L391" s="1" t="str">
        <f>TEXT(Table1[[#This Row],[Purchase_Date]],"YYYY")</f>
        <v>2024</v>
      </c>
      <c r="M391" s="1" t="str">
        <f>TEXT(Table1[[#This Row],[Purchase_Date]],"MMM")</f>
        <v>Sep</v>
      </c>
      <c r="N391" s="1" t="str">
        <f>TEXT(Table1[[#This Row],[Purchase_Date]],"DD")</f>
        <v>11</v>
      </c>
      <c r="O391" s="2" t="s">
        <v>36</v>
      </c>
      <c r="P391" s="3">
        <v>1</v>
      </c>
      <c r="Q391" s="2" t="s">
        <v>23</v>
      </c>
      <c r="R391" s="2" t="s">
        <v>24</v>
      </c>
      <c r="S391">
        <f>Table1[[#This Row],[Purchase_Amount]]*Table1[[#This Row],[Quantity]]</f>
        <v>879.81</v>
      </c>
      <c r="T391" t="str">
        <f>IF(Table1[[#This Row],[Age]]&lt;25,"&lt;25",IF(Table1[[#This Row],[Age]]&lt;=35,"25-35",IF(Table1[[#This Row],[Age]]&lt;=50,"36-50","50+")))</f>
        <v>25-35</v>
      </c>
    </row>
    <row r="392" spans="1:20" x14ac:dyDescent="0.3">
      <c r="A392" s="2" t="s">
        <v>687</v>
      </c>
      <c r="B392" s="2" t="s">
        <v>26</v>
      </c>
      <c r="C392" s="3">
        <v>29</v>
      </c>
      <c r="D392" s="2" t="s">
        <v>78</v>
      </c>
      <c r="E392" s="2" t="s">
        <v>33</v>
      </c>
      <c r="F392" s="2" t="s">
        <v>27</v>
      </c>
      <c r="G392" t="s">
        <v>61</v>
      </c>
      <c r="H392" t="s">
        <v>383</v>
      </c>
      <c r="I392" s="4">
        <v>383.22</v>
      </c>
      <c r="J392" s="3">
        <v>4</v>
      </c>
      <c r="K392" s="1">
        <v>45262</v>
      </c>
      <c r="L392" s="1" t="str">
        <f>TEXT(Table1[[#This Row],[Purchase_Date]],"YYYY")</f>
        <v>2023</v>
      </c>
      <c r="M392" s="1" t="str">
        <f>TEXT(Table1[[#This Row],[Purchase_Date]],"MMM")</f>
        <v>Dec</v>
      </c>
      <c r="N392" s="1" t="str">
        <f>TEXT(Table1[[#This Row],[Purchase_Date]],"DD")</f>
        <v>02</v>
      </c>
      <c r="O392" s="2" t="s">
        <v>22</v>
      </c>
      <c r="P392" s="3">
        <v>6</v>
      </c>
      <c r="Q392" s="2" t="s">
        <v>23</v>
      </c>
      <c r="R392" s="2" t="s">
        <v>24</v>
      </c>
      <c r="S392">
        <f>Table1[[#This Row],[Purchase_Amount]]*Table1[[#This Row],[Quantity]]</f>
        <v>1532.88</v>
      </c>
      <c r="T392" t="str">
        <f>IF(Table1[[#This Row],[Age]]&lt;25,"&lt;25",IF(Table1[[#This Row],[Age]]&lt;=35,"25-35",IF(Table1[[#This Row],[Age]]&lt;=50,"36-50","50+")))</f>
        <v>25-35</v>
      </c>
    </row>
    <row r="393" spans="1:20" x14ac:dyDescent="0.3">
      <c r="A393" s="2" t="s">
        <v>1094</v>
      </c>
      <c r="B393" s="2" t="s">
        <v>26</v>
      </c>
      <c r="C393" s="3">
        <v>29</v>
      </c>
      <c r="D393" s="2" t="s">
        <v>60</v>
      </c>
      <c r="E393" s="2" t="s">
        <v>18</v>
      </c>
      <c r="F393" s="2" t="s">
        <v>27</v>
      </c>
      <c r="G393" t="s">
        <v>61</v>
      </c>
      <c r="H393" t="s">
        <v>40</v>
      </c>
      <c r="I393" s="4">
        <v>581.58000000000004</v>
      </c>
      <c r="J393" s="3">
        <v>1</v>
      </c>
      <c r="K393" s="1">
        <v>45589</v>
      </c>
      <c r="L393" s="1" t="str">
        <f>TEXT(Table1[[#This Row],[Purchase_Date]],"YYYY")</f>
        <v>2024</v>
      </c>
      <c r="M393" s="1" t="str">
        <f>TEXT(Table1[[#This Row],[Purchase_Date]],"MMM")</f>
        <v>Oct</v>
      </c>
      <c r="N393" s="1" t="str">
        <f>TEXT(Table1[[#This Row],[Purchase_Date]],"DD")</f>
        <v>24</v>
      </c>
      <c r="O393" s="2" t="s">
        <v>22</v>
      </c>
      <c r="P393" s="3">
        <v>5</v>
      </c>
      <c r="Q393" s="2" t="s">
        <v>46</v>
      </c>
      <c r="R393" s="2" t="s">
        <v>47</v>
      </c>
      <c r="S393">
        <f>Table1[[#This Row],[Purchase_Amount]]*Table1[[#This Row],[Quantity]]</f>
        <v>581.58000000000004</v>
      </c>
      <c r="T393" t="str">
        <f>IF(Table1[[#This Row],[Age]]&lt;25,"&lt;25",IF(Table1[[#This Row],[Age]]&lt;=35,"25-35",IF(Table1[[#This Row],[Age]]&lt;=50,"36-50","50+")))</f>
        <v>25-35</v>
      </c>
    </row>
    <row r="394" spans="1:20" x14ac:dyDescent="0.3">
      <c r="A394" s="2" t="s">
        <v>1059</v>
      </c>
      <c r="B394" s="2" t="s">
        <v>26</v>
      </c>
      <c r="C394" s="3">
        <v>30</v>
      </c>
      <c r="D394" s="2" t="s">
        <v>64</v>
      </c>
      <c r="E394" s="2" t="s">
        <v>18</v>
      </c>
      <c r="F394" s="2" t="s">
        <v>19</v>
      </c>
      <c r="G394" t="s">
        <v>61</v>
      </c>
      <c r="H394" t="s">
        <v>377</v>
      </c>
      <c r="I394" s="4">
        <v>232.91</v>
      </c>
      <c r="J394" s="3">
        <v>4</v>
      </c>
      <c r="K394" s="1">
        <v>44982</v>
      </c>
      <c r="L394" s="1" t="str">
        <f>TEXT(Table1[[#This Row],[Purchase_Date]],"YYYY")</f>
        <v>2023</v>
      </c>
      <c r="M394" s="1" t="str">
        <f>TEXT(Table1[[#This Row],[Purchase_Date]],"MMM")</f>
        <v>Feb</v>
      </c>
      <c r="N394" s="1" t="str">
        <f>TEXT(Table1[[#This Row],[Purchase_Date]],"DD")</f>
        <v>25</v>
      </c>
      <c r="O394" s="2" t="s">
        <v>30</v>
      </c>
      <c r="P394" s="3">
        <v>5</v>
      </c>
      <c r="Q394" s="2" t="s">
        <v>46</v>
      </c>
      <c r="R394" s="2" t="s">
        <v>47</v>
      </c>
      <c r="S394">
        <f>Table1[[#This Row],[Purchase_Amount]]*Table1[[#This Row],[Quantity]]</f>
        <v>931.64</v>
      </c>
      <c r="T394" t="str">
        <f>IF(Table1[[#This Row],[Age]]&lt;25,"&lt;25",IF(Table1[[#This Row],[Age]]&lt;=35,"25-35",IF(Table1[[#This Row],[Age]]&lt;=50,"36-50","50+")))</f>
        <v>25-35</v>
      </c>
    </row>
    <row r="395" spans="1:20" x14ac:dyDescent="0.3">
      <c r="A395" s="2" t="s">
        <v>1052</v>
      </c>
      <c r="B395" s="2" t="s">
        <v>26</v>
      </c>
      <c r="C395" s="3">
        <v>30</v>
      </c>
      <c r="D395" s="2" t="s">
        <v>78</v>
      </c>
      <c r="E395" s="2" t="s">
        <v>49</v>
      </c>
      <c r="F395" s="2" t="s">
        <v>27</v>
      </c>
      <c r="G395" t="s">
        <v>61</v>
      </c>
      <c r="H395" t="s">
        <v>599</v>
      </c>
      <c r="I395" s="4">
        <v>813.51</v>
      </c>
      <c r="J395" s="3">
        <v>3</v>
      </c>
      <c r="K395" s="1">
        <v>45332</v>
      </c>
      <c r="L395" s="1" t="str">
        <f>TEXT(Table1[[#This Row],[Purchase_Date]],"YYYY")</f>
        <v>2024</v>
      </c>
      <c r="M395" s="1" t="str">
        <f>TEXT(Table1[[#This Row],[Purchase_Date]],"MMM")</f>
        <v>Feb</v>
      </c>
      <c r="N395" s="1" t="str">
        <f>TEXT(Table1[[#This Row],[Purchase_Date]],"DD")</f>
        <v>10</v>
      </c>
      <c r="O395" s="2" t="s">
        <v>30</v>
      </c>
      <c r="P395" s="3">
        <v>5</v>
      </c>
      <c r="Q395" s="2" t="s">
        <v>46</v>
      </c>
      <c r="R395" s="2" t="s">
        <v>47</v>
      </c>
      <c r="S395">
        <f>Table1[[#This Row],[Purchase_Amount]]*Table1[[#This Row],[Quantity]]</f>
        <v>2440.5299999999997</v>
      </c>
      <c r="T395" t="str">
        <f>IF(Table1[[#This Row],[Age]]&lt;25,"&lt;25",IF(Table1[[#This Row],[Age]]&lt;=35,"25-35",IF(Table1[[#This Row],[Age]]&lt;=50,"36-50","50+")))</f>
        <v>25-35</v>
      </c>
    </row>
    <row r="396" spans="1:20" x14ac:dyDescent="0.3">
      <c r="A396" s="2" t="s">
        <v>790</v>
      </c>
      <c r="B396" s="2" t="s">
        <v>26</v>
      </c>
      <c r="C396" s="3">
        <v>32</v>
      </c>
      <c r="D396" s="2" t="s">
        <v>32</v>
      </c>
      <c r="E396" s="2" t="s">
        <v>33</v>
      </c>
      <c r="F396" s="2" t="s">
        <v>44</v>
      </c>
      <c r="G396" t="s">
        <v>61</v>
      </c>
      <c r="H396" t="s">
        <v>328</v>
      </c>
      <c r="I396" s="4">
        <v>601.83000000000004</v>
      </c>
      <c r="J396" s="3">
        <v>2</v>
      </c>
      <c r="K396" s="1">
        <v>45471</v>
      </c>
      <c r="L396" s="1" t="str">
        <f>TEXT(Table1[[#This Row],[Purchase_Date]],"YYYY")</f>
        <v>2024</v>
      </c>
      <c r="M396" s="1" t="str">
        <f>TEXT(Table1[[#This Row],[Purchase_Date]],"MMM")</f>
        <v>Jun</v>
      </c>
      <c r="N396" s="1" t="str">
        <f>TEXT(Table1[[#This Row],[Purchase_Date]],"DD")</f>
        <v>28</v>
      </c>
      <c r="O396" s="2" t="s">
        <v>36</v>
      </c>
      <c r="P396" s="3">
        <v>4</v>
      </c>
      <c r="Q396" s="2" t="s">
        <v>23</v>
      </c>
      <c r="R396" s="2" t="s">
        <v>47</v>
      </c>
      <c r="S396">
        <f>Table1[[#This Row],[Purchase_Amount]]*Table1[[#This Row],[Quantity]]</f>
        <v>1203.6600000000001</v>
      </c>
      <c r="T396" t="str">
        <f>IF(Table1[[#This Row],[Age]]&lt;25,"&lt;25",IF(Table1[[#This Row],[Age]]&lt;=35,"25-35",IF(Table1[[#This Row],[Age]]&lt;=50,"36-50","50+")))</f>
        <v>25-35</v>
      </c>
    </row>
    <row r="397" spans="1:20" x14ac:dyDescent="0.3">
      <c r="A397" s="2" t="s">
        <v>800</v>
      </c>
      <c r="B397" s="2" t="s">
        <v>26</v>
      </c>
      <c r="C397" s="3">
        <v>34</v>
      </c>
      <c r="D397" s="2" t="s">
        <v>32</v>
      </c>
      <c r="E397" s="2" t="s">
        <v>18</v>
      </c>
      <c r="F397" s="2" t="s">
        <v>27</v>
      </c>
      <c r="G397" t="s">
        <v>61</v>
      </c>
      <c r="H397" t="s">
        <v>93</v>
      </c>
      <c r="I397" s="4">
        <v>374.57</v>
      </c>
      <c r="J397" s="3">
        <v>4</v>
      </c>
      <c r="K397" s="1">
        <v>45163</v>
      </c>
      <c r="L397" s="1" t="str">
        <f>TEXT(Table1[[#This Row],[Purchase_Date]],"YYYY")</f>
        <v>2023</v>
      </c>
      <c r="M397" s="1" t="str">
        <f>TEXT(Table1[[#This Row],[Purchase_Date]],"MMM")</f>
        <v>Aug</v>
      </c>
      <c r="N397" s="1" t="str">
        <f>TEXT(Table1[[#This Row],[Purchase_Date]],"DD")</f>
        <v>25</v>
      </c>
      <c r="O397" s="2" t="s">
        <v>22</v>
      </c>
      <c r="P397" s="3">
        <v>2</v>
      </c>
      <c r="Q397" s="2" t="s">
        <v>46</v>
      </c>
      <c r="R397" s="2" t="s">
        <v>24</v>
      </c>
      <c r="S397">
        <f>Table1[[#This Row],[Purchase_Amount]]*Table1[[#This Row],[Quantity]]</f>
        <v>1498.28</v>
      </c>
      <c r="T397" t="str">
        <f>IF(Table1[[#This Row],[Age]]&lt;25,"&lt;25",IF(Table1[[#This Row],[Age]]&lt;=35,"25-35",IF(Table1[[#This Row],[Age]]&lt;=50,"36-50","50+")))</f>
        <v>25-35</v>
      </c>
    </row>
    <row r="398" spans="1:20" x14ac:dyDescent="0.3">
      <c r="A398" s="2" t="s">
        <v>693</v>
      </c>
      <c r="B398" s="2" t="s">
        <v>26</v>
      </c>
      <c r="C398" s="3">
        <v>34</v>
      </c>
      <c r="D398" s="2" t="s">
        <v>60</v>
      </c>
      <c r="E398" s="2" t="s">
        <v>18</v>
      </c>
      <c r="F398" s="2" t="s">
        <v>27</v>
      </c>
      <c r="G398" t="s">
        <v>61</v>
      </c>
      <c r="H398" t="s">
        <v>125</v>
      </c>
      <c r="I398" s="4">
        <v>579.91</v>
      </c>
      <c r="J398" s="3">
        <v>1</v>
      </c>
      <c r="K398" s="1">
        <v>45093</v>
      </c>
      <c r="L398" s="1" t="str">
        <f>TEXT(Table1[[#This Row],[Purchase_Date]],"YYYY")</f>
        <v>2023</v>
      </c>
      <c r="M398" s="1" t="str">
        <f>TEXT(Table1[[#This Row],[Purchase_Date]],"MMM")</f>
        <v>Jun</v>
      </c>
      <c r="N398" s="1" t="str">
        <f>TEXT(Table1[[#This Row],[Purchase_Date]],"DD")</f>
        <v>16</v>
      </c>
      <c r="O398" s="2" t="s">
        <v>30</v>
      </c>
      <c r="P398" s="3">
        <v>1</v>
      </c>
      <c r="Q398" s="2" t="s">
        <v>46</v>
      </c>
      <c r="R398" s="2" t="s">
        <v>24</v>
      </c>
      <c r="S398">
        <f>Table1[[#This Row],[Purchase_Amount]]*Table1[[#This Row],[Quantity]]</f>
        <v>579.91</v>
      </c>
      <c r="T398" t="str">
        <f>IF(Table1[[#This Row],[Age]]&lt;25,"&lt;25",IF(Table1[[#This Row],[Age]]&lt;=35,"25-35",IF(Table1[[#This Row],[Age]]&lt;=50,"36-50","50+")))</f>
        <v>25-35</v>
      </c>
    </row>
    <row r="399" spans="1:20" x14ac:dyDescent="0.3">
      <c r="A399" s="2" t="s">
        <v>768</v>
      </c>
      <c r="B399" s="2" t="s">
        <v>26</v>
      </c>
      <c r="C399" s="3">
        <v>34</v>
      </c>
      <c r="D399" s="2" t="s">
        <v>60</v>
      </c>
      <c r="E399" s="2" t="s">
        <v>18</v>
      </c>
      <c r="F399" s="2" t="s">
        <v>27</v>
      </c>
      <c r="G399" t="s">
        <v>61</v>
      </c>
      <c r="H399" t="s">
        <v>536</v>
      </c>
      <c r="I399" s="4">
        <v>870.84</v>
      </c>
      <c r="J399" s="3">
        <v>1</v>
      </c>
      <c r="K399" s="1">
        <v>44961</v>
      </c>
      <c r="L399" s="1" t="str">
        <f>TEXT(Table1[[#This Row],[Purchase_Date]],"YYYY")</f>
        <v>2023</v>
      </c>
      <c r="M399" s="1" t="str">
        <f>TEXT(Table1[[#This Row],[Purchase_Date]],"MMM")</f>
        <v>Feb</v>
      </c>
      <c r="N399" s="1" t="str">
        <f>TEXT(Table1[[#This Row],[Purchase_Date]],"DD")</f>
        <v>04</v>
      </c>
      <c r="O399" s="2" t="s">
        <v>36</v>
      </c>
      <c r="P399" s="3">
        <v>9</v>
      </c>
      <c r="Q399" s="2" t="s">
        <v>23</v>
      </c>
      <c r="R399" s="2" t="s">
        <v>24</v>
      </c>
      <c r="S399">
        <f>Table1[[#This Row],[Purchase_Amount]]*Table1[[#This Row],[Quantity]]</f>
        <v>870.84</v>
      </c>
      <c r="T399" t="str">
        <f>IF(Table1[[#This Row],[Age]]&lt;25,"&lt;25",IF(Table1[[#This Row],[Age]]&lt;=35,"25-35",IF(Table1[[#This Row],[Age]]&lt;=50,"36-50","50+")))</f>
        <v>25-35</v>
      </c>
    </row>
    <row r="400" spans="1:20" x14ac:dyDescent="0.3">
      <c r="A400" s="2" t="s">
        <v>816</v>
      </c>
      <c r="B400" s="2" t="s">
        <v>26</v>
      </c>
      <c r="C400" s="3">
        <v>35</v>
      </c>
      <c r="D400" s="2" t="s">
        <v>78</v>
      </c>
      <c r="E400" s="2" t="s">
        <v>49</v>
      </c>
      <c r="F400" s="2" t="s">
        <v>27</v>
      </c>
      <c r="G400" t="s">
        <v>61</v>
      </c>
      <c r="H400" t="s">
        <v>289</v>
      </c>
      <c r="I400" s="4">
        <v>485.75</v>
      </c>
      <c r="J400" s="3">
        <v>3</v>
      </c>
      <c r="K400" s="1">
        <v>45118</v>
      </c>
      <c r="L400" s="1" t="str">
        <f>TEXT(Table1[[#This Row],[Purchase_Date]],"YYYY")</f>
        <v>2023</v>
      </c>
      <c r="M400" s="1" t="str">
        <f>TEXT(Table1[[#This Row],[Purchase_Date]],"MMM")</f>
        <v>Jul</v>
      </c>
      <c r="N400" s="1" t="str">
        <f>TEXT(Table1[[#This Row],[Purchase_Date]],"DD")</f>
        <v>11</v>
      </c>
      <c r="O400" s="2" t="s">
        <v>41</v>
      </c>
      <c r="P400" s="3">
        <v>1</v>
      </c>
      <c r="Q400" s="2" t="s">
        <v>46</v>
      </c>
      <c r="R400" s="2" t="s">
        <v>24</v>
      </c>
      <c r="S400">
        <f>Table1[[#This Row],[Purchase_Amount]]*Table1[[#This Row],[Quantity]]</f>
        <v>1457.25</v>
      </c>
      <c r="T400" t="str">
        <f>IF(Table1[[#This Row],[Age]]&lt;25,"&lt;25",IF(Table1[[#This Row],[Age]]&lt;=35,"25-35",IF(Table1[[#This Row],[Age]]&lt;=50,"36-50","50+")))</f>
        <v>25-35</v>
      </c>
    </row>
    <row r="401" spans="1:20" x14ac:dyDescent="0.3">
      <c r="A401" s="2" t="s">
        <v>222</v>
      </c>
      <c r="B401" s="2" t="s">
        <v>26</v>
      </c>
      <c r="C401" s="3">
        <v>36</v>
      </c>
      <c r="D401" s="2" t="s">
        <v>64</v>
      </c>
      <c r="E401" s="2" t="s">
        <v>18</v>
      </c>
      <c r="F401" s="2" t="s">
        <v>27</v>
      </c>
      <c r="G401" t="s">
        <v>61</v>
      </c>
      <c r="H401" t="s">
        <v>223</v>
      </c>
      <c r="I401" s="4">
        <v>409.45</v>
      </c>
      <c r="J401" s="3">
        <v>1</v>
      </c>
      <c r="K401" s="1">
        <v>45267</v>
      </c>
      <c r="L401" s="1" t="str">
        <f>TEXT(Table1[[#This Row],[Purchase_Date]],"YYYY")</f>
        <v>2023</v>
      </c>
      <c r="M401" s="1" t="str">
        <f>TEXT(Table1[[#This Row],[Purchase_Date]],"MMM")</f>
        <v>Dec</v>
      </c>
      <c r="N401" s="1" t="str">
        <f>TEXT(Table1[[#This Row],[Purchase_Date]],"DD")</f>
        <v>07</v>
      </c>
      <c r="O401" s="2" t="s">
        <v>22</v>
      </c>
      <c r="P401" s="3">
        <v>1</v>
      </c>
      <c r="Q401" s="2" t="s">
        <v>46</v>
      </c>
      <c r="R401" s="2" t="s">
        <v>47</v>
      </c>
      <c r="S401">
        <f>Table1[[#This Row],[Purchase_Amount]]*Table1[[#This Row],[Quantity]]</f>
        <v>409.45</v>
      </c>
      <c r="T401" t="str">
        <f>IF(Table1[[#This Row],[Age]]&lt;25,"&lt;25",IF(Table1[[#This Row],[Age]]&lt;=35,"25-35",IF(Table1[[#This Row],[Age]]&lt;=50,"36-50","50+")))</f>
        <v>36-50</v>
      </c>
    </row>
    <row r="402" spans="1:20" x14ac:dyDescent="0.3">
      <c r="A402" s="2" t="s">
        <v>216</v>
      </c>
      <c r="B402" s="2" t="s">
        <v>26</v>
      </c>
      <c r="C402" s="3">
        <v>38</v>
      </c>
      <c r="D402" s="2" t="s">
        <v>64</v>
      </c>
      <c r="E402" s="2" t="s">
        <v>18</v>
      </c>
      <c r="F402" s="2" t="s">
        <v>44</v>
      </c>
      <c r="G402" t="s">
        <v>61</v>
      </c>
      <c r="H402" t="s">
        <v>217</v>
      </c>
      <c r="I402" s="4">
        <v>709.31</v>
      </c>
      <c r="J402" s="3">
        <v>2</v>
      </c>
      <c r="K402" s="1">
        <v>45018</v>
      </c>
      <c r="L402" s="1" t="str">
        <f>TEXT(Table1[[#This Row],[Purchase_Date]],"YYYY")</f>
        <v>2023</v>
      </c>
      <c r="M402" s="1" t="str">
        <f>TEXT(Table1[[#This Row],[Purchase_Date]],"MMM")</f>
        <v>Apr</v>
      </c>
      <c r="N402" s="1" t="str">
        <f>TEXT(Table1[[#This Row],[Purchase_Date]],"DD")</f>
        <v>02</v>
      </c>
      <c r="O402" s="2" t="s">
        <v>22</v>
      </c>
      <c r="P402" s="3">
        <v>3</v>
      </c>
      <c r="Q402" s="2" t="s">
        <v>46</v>
      </c>
      <c r="R402" s="2" t="s">
        <v>47</v>
      </c>
      <c r="S402">
        <f>Table1[[#This Row],[Purchase_Amount]]*Table1[[#This Row],[Quantity]]</f>
        <v>1418.62</v>
      </c>
      <c r="T402" t="str">
        <f>IF(Table1[[#This Row],[Age]]&lt;25,"&lt;25",IF(Table1[[#This Row],[Age]]&lt;=35,"25-35",IF(Table1[[#This Row],[Age]]&lt;=50,"36-50","50+")))</f>
        <v>36-50</v>
      </c>
    </row>
    <row r="403" spans="1:20" x14ac:dyDescent="0.3">
      <c r="A403" s="2" t="s">
        <v>717</v>
      </c>
      <c r="B403" s="2" t="s">
        <v>26</v>
      </c>
      <c r="C403" s="3">
        <v>41</v>
      </c>
      <c r="D403" s="2" t="s">
        <v>38</v>
      </c>
      <c r="E403" s="2" t="s">
        <v>49</v>
      </c>
      <c r="F403" s="2" t="s">
        <v>27</v>
      </c>
      <c r="G403" t="s">
        <v>61</v>
      </c>
      <c r="H403" t="s">
        <v>83</v>
      </c>
      <c r="I403" s="4">
        <v>156.47999999999999</v>
      </c>
      <c r="J403" s="3">
        <v>5</v>
      </c>
      <c r="K403" s="1">
        <v>45262</v>
      </c>
      <c r="L403" s="1" t="str">
        <f>TEXT(Table1[[#This Row],[Purchase_Date]],"YYYY")</f>
        <v>2023</v>
      </c>
      <c r="M403" s="1" t="str">
        <f>TEXT(Table1[[#This Row],[Purchase_Date]],"MMM")</f>
        <v>Dec</v>
      </c>
      <c r="N403" s="1" t="str">
        <f>TEXT(Table1[[#This Row],[Purchase_Date]],"DD")</f>
        <v>02</v>
      </c>
      <c r="O403" s="2" t="s">
        <v>22</v>
      </c>
      <c r="P403" s="3">
        <v>2</v>
      </c>
      <c r="Q403" s="2" t="s">
        <v>46</v>
      </c>
      <c r="R403" s="2" t="s">
        <v>47</v>
      </c>
      <c r="S403">
        <f>Table1[[#This Row],[Purchase_Amount]]*Table1[[#This Row],[Quantity]]</f>
        <v>782.4</v>
      </c>
      <c r="T403" t="str">
        <f>IF(Table1[[#This Row],[Age]]&lt;25,"&lt;25",IF(Table1[[#This Row],[Age]]&lt;=35,"25-35",IF(Table1[[#This Row],[Age]]&lt;=50,"36-50","50+")))</f>
        <v>36-50</v>
      </c>
    </row>
    <row r="404" spans="1:20" x14ac:dyDescent="0.3">
      <c r="A404" s="2" t="s">
        <v>916</v>
      </c>
      <c r="B404" s="2" t="s">
        <v>26</v>
      </c>
      <c r="C404" s="3">
        <v>41</v>
      </c>
      <c r="D404" s="2" t="s">
        <v>38</v>
      </c>
      <c r="E404" s="2" t="s">
        <v>49</v>
      </c>
      <c r="F404" s="2" t="s">
        <v>27</v>
      </c>
      <c r="G404" t="s">
        <v>61</v>
      </c>
      <c r="H404" t="s">
        <v>465</v>
      </c>
      <c r="I404" s="4">
        <v>455.44</v>
      </c>
      <c r="J404" s="3">
        <v>2</v>
      </c>
      <c r="K404" s="1">
        <v>44955</v>
      </c>
      <c r="L404" s="1" t="str">
        <f>TEXT(Table1[[#This Row],[Purchase_Date]],"YYYY")</f>
        <v>2023</v>
      </c>
      <c r="M404" s="1" t="str">
        <f>TEXT(Table1[[#This Row],[Purchase_Date]],"MMM")</f>
        <v>Jan</v>
      </c>
      <c r="N404" s="1" t="str">
        <f>TEXT(Table1[[#This Row],[Purchase_Date]],"DD")</f>
        <v>29</v>
      </c>
      <c r="O404" s="2" t="s">
        <v>36</v>
      </c>
      <c r="P404" s="3">
        <v>4</v>
      </c>
      <c r="Q404" s="2" t="s">
        <v>46</v>
      </c>
      <c r="R404" s="2" t="s">
        <v>47</v>
      </c>
      <c r="S404">
        <f>Table1[[#This Row],[Purchase_Amount]]*Table1[[#This Row],[Quantity]]</f>
        <v>910.88</v>
      </c>
      <c r="T404" t="str">
        <f>IF(Table1[[#This Row],[Age]]&lt;25,"&lt;25",IF(Table1[[#This Row],[Age]]&lt;=35,"25-35",IF(Table1[[#This Row],[Age]]&lt;=50,"36-50","50+")))</f>
        <v>36-50</v>
      </c>
    </row>
    <row r="405" spans="1:20" x14ac:dyDescent="0.3">
      <c r="A405" s="2" t="s">
        <v>228</v>
      </c>
      <c r="B405" s="2" t="s">
        <v>26</v>
      </c>
      <c r="C405" s="3">
        <v>42</v>
      </c>
      <c r="D405" s="2" t="s">
        <v>43</v>
      </c>
      <c r="E405" s="2" t="s">
        <v>33</v>
      </c>
      <c r="F405" s="2" t="s">
        <v>27</v>
      </c>
      <c r="G405" t="s">
        <v>61</v>
      </c>
      <c r="H405" t="s">
        <v>229</v>
      </c>
      <c r="I405" s="4">
        <v>829.25</v>
      </c>
      <c r="J405" s="3">
        <v>3</v>
      </c>
      <c r="K405" s="1">
        <v>45527</v>
      </c>
      <c r="L405" s="1" t="str">
        <f>TEXT(Table1[[#This Row],[Purchase_Date]],"YYYY")</f>
        <v>2024</v>
      </c>
      <c r="M405" s="1" t="str">
        <f>TEXT(Table1[[#This Row],[Purchase_Date]],"MMM")</f>
        <v>Aug</v>
      </c>
      <c r="N405" s="1" t="str">
        <f>TEXT(Table1[[#This Row],[Purchase_Date]],"DD")</f>
        <v>23</v>
      </c>
      <c r="O405" s="2" t="s">
        <v>30</v>
      </c>
      <c r="P405" s="3">
        <v>5</v>
      </c>
      <c r="Q405" s="2" t="s">
        <v>46</v>
      </c>
      <c r="R405" s="2" t="s">
        <v>47</v>
      </c>
      <c r="S405">
        <f>Table1[[#This Row],[Purchase_Amount]]*Table1[[#This Row],[Quantity]]</f>
        <v>2487.75</v>
      </c>
      <c r="T405" t="str">
        <f>IF(Table1[[#This Row],[Age]]&lt;25,"&lt;25",IF(Table1[[#This Row],[Age]]&lt;=35,"25-35",IF(Table1[[#This Row],[Age]]&lt;=50,"36-50","50+")))</f>
        <v>36-50</v>
      </c>
    </row>
    <row r="406" spans="1:20" x14ac:dyDescent="0.3">
      <c r="A406" s="2" t="s">
        <v>489</v>
      </c>
      <c r="B406" s="2" t="s">
        <v>26</v>
      </c>
      <c r="C406" s="3">
        <v>45</v>
      </c>
      <c r="D406" s="2" t="s">
        <v>32</v>
      </c>
      <c r="E406" s="2" t="s">
        <v>49</v>
      </c>
      <c r="F406" s="2" t="s">
        <v>44</v>
      </c>
      <c r="G406" t="s">
        <v>61</v>
      </c>
      <c r="H406" t="s">
        <v>21</v>
      </c>
      <c r="I406" s="4">
        <v>751.12</v>
      </c>
      <c r="J406" s="3">
        <v>1</v>
      </c>
      <c r="K406" s="1">
        <v>45316</v>
      </c>
      <c r="L406" s="1" t="str">
        <f>TEXT(Table1[[#This Row],[Purchase_Date]],"YYYY")</f>
        <v>2024</v>
      </c>
      <c r="M406" s="1" t="str">
        <f>TEXT(Table1[[#This Row],[Purchase_Date]],"MMM")</f>
        <v>Jan</v>
      </c>
      <c r="N406" s="1" t="str">
        <f>TEXT(Table1[[#This Row],[Purchase_Date]],"DD")</f>
        <v>25</v>
      </c>
      <c r="O406" s="2" t="s">
        <v>22</v>
      </c>
      <c r="P406" s="3">
        <v>10</v>
      </c>
      <c r="Q406" s="2" t="s">
        <v>46</v>
      </c>
      <c r="R406" s="2" t="s">
        <v>47</v>
      </c>
      <c r="S406">
        <f>Table1[[#This Row],[Purchase_Amount]]*Table1[[#This Row],[Quantity]]</f>
        <v>751.12</v>
      </c>
      <c r="T406" t="str">
        <f>IF(Table1[[#This Row],[Age]]&lt;25,"&lt;25",IF(Table1[[#This Row],[Age]]&lt;=35,"25-35",IF(Table1[[#This Row],[Age]]&lt;=50,"36-50","50+")))</f>
        <v>36-50</v>
      </c>
    </row>
    <row r="407" spans="1:20" x14ac:dyDescent="0.3">
      <c r="A407" s="2" t="s">
        <v>1084</v>
      </c>
      <c r="B407" s="2" t="s">
        <v>26</v>
      </c>
      <c r="C407" s="3">
        <v>46</v>
      </c>
      <c r="D407" s="2" t="s">
        <v>60</v>
      </c>
      <c r="E407" s="2" t="s">
        <v>33</v>
      </c>
      <c r="F407" s="2" t="s">
        <v>27</v>
      </c>
      <c r="G407" t="s">
        <v>61</v>
      </c>
      <c r="H407" t="s">
        <v>362</v>
      </c>
      <c r="I407" s="4">
        <v>928.47</v>
      </c>
      <c r="J407" s="3">
        <v>4</v>
      </c>
      <c r="K407" s="1">
        <v>45552</v>
      </c>
      <c r="L407" s="1" t="str">
        <f>TEXT(Table1[[#This Row],[Purchase_Date]],"YYYY")</f>
        <v>2024</v>
      </c>
      <c r="M407" s="1" t="str">
        <f>TEXT(Table1[[#This Row],[Purchase_Date]],"MMM")</f>
        <v>Sep</v>
      </c>
      <c r="N407" s="1" t="str">
        <f>TEXT(Table1[[#This Row],[Purchase_Date]],"DD")</f>
        <v>17</v>
      </c>
      <c r="O407" s="2" t="s">
        <v>36</v>
      </c>
      <c r="P407" s="3">
        <v>7</v>
      </c>
      <c r="Q407" s="2" t="s">
        <v>23</v>
      </c>
      <c r="R407" s="2" t="s">
        <v>24</v>
      </c>
      <c r="S407">
        <f>Table1[[#This Row],[Purchase_Amount]]*Table1[[#This Row],[Quantity]]</f>
        <v>3713.88</v>
      </c>
      <c r="T407" t="str">
        <f>IF(Table1[[#This Row],[Age]]&lt;25,"&lt;25",IF(Table1[[#This Row],[Age]]&lt;=35,"25-35",IF(Table1[[#This Row],[Age]]&lt;=50,"36-50","50+")))</f>
        <v>36-50</v>
      </c>
    </row>
    <row r="408" spans="1:20" x14ac:dyDescent="0.3">
      <c r="A408" s="2" t="s">
        <v>881</v>
      </c>
      <c r="B408" s="2" t="s">
        <v>26</v>
      </c>
      <c r="C408" s="3">
        <v>47</v>
      </c>
      <c r="D408" s="2" t="s">
        <v>38</v>
      </c>
      <c r="E408" s="2" t="s">
        <v>18</v>
      </c>
      <c r="F408" s="2" t="s">
        <v>44</v>
      </c>
      <c r="G408" t="s">
        <v>61</v>
      </c>
      <c r="H408" t="s">
        <v>853</v>
      </c>
      <c r="I408" s="4">
        <v>458.3</v>
      </c>
      <c r="J408" s="3">
        <v>1</v>
      </c>
      <c r="K408" s="1">
        <v>45535</v>
      </c>
      <c r="L408" s="1" t="str">
        <f>TEXT(Table1[[#This Row],[Purchase_Date]],"YYYY")</f>
        <v>2024</v>
      </c>
      <c r="M408" s="1" t="str">
        <f>TEXT(Table1[[#This Row],[Purchase_Date]],"MMM")</f>
        <v>Aug</v>
      </c>
      <c r="N408" s="1" t="str">
        <f>TEXT(Table1[[#This Row],[Purchase_Date]],"DD")</f>
        <v>31</v>
      </c>
      <c r="O408" s="2" t="s">
        <v>22</v>
      </c>
      <c r="P408" s="3">
        <v>8</v>
      </c>
      <c r="Q408" s="2" t="s">
        <v>46</v>
      </c>
      <c r="R408" s="2" t="s">
        <v>24</v>
      </c>
      <c r="S408">
        <f>Table1[[#This Row],[Purchase_Amount]]*Table1[[#This Row],[Quantity]]</f>
        <v>458.3</v>
      </c>
      <c r="T408" t="str">
        <f>IF(Table1[[#This Row],[Age]]&lt;25,"&lt;25",IF(Table1[[#This Row],[Age]]&lt;=35,"25-35",IF(Table1[[#This Row],[Age]]&lt;=50,"36-50","50+")))</f>
        <v>36-50</v>
      </c>
    </row>
    <row r="409" spans="1:20" x14ac:dyDescent="0.3">
      <c r="A409" s="2" t="s">
        <v>966</v>
      </c>
      <c r="B409" s="2" t="s">
        <v>26</v>
      </c>
      <c r="C409" s="3">
        <v>51</v>
      </c>
      <c r="D409" s="2" t="s">
        <v>17</v>
      </c>
      <c r="E409" s="2" t="s">
        <v>33</v>
      </c>
      <c r="F409" s="2" t="s">
        <v>27</v>
      </c>
      <c r="G409" t="s">
        <v>61</v>
      </c>
      <c r="H409" t="s">
        <v>167</v>
      </c>
      <c r="I409" s="4">
        <v>101.53</v>
      </c>
      <c r="J409" s="3">
        <v>2</v>
      </c>
      <c r="K409" s="1">
        <v>45412</v>
      </c>
      <c r="L409" s="1" t="str">
        <f>TEXT(Table1[[#This Row],[Purchase_Date]],"YYYY")</f>
        <v>2024</v>
      </c>
      <c r="M409" s="1" t="str">
        <f>TEXT(Table1[[#This Row],[Purchase_Date]],"MMM")</f>
        <v>Apr</v>
      </c>
      <c r="N409" s="1" t="str">
        <f>TEXT(Table1[[#This Row],[Purchase_Date]],"DD")</f>
        <v>30</v>
      </c>
      <c r="O409" s="2" t="s">
        <v>41</v>
      </c>
      <c r="P409" s="3">
        <v>10</v>
      </c>
      <c r="Q409" s="2" t="s">
        <v>46</v>
      </c>
      <c r="R409" s="2" t="s">
        <v>47</v>
      </c>
      <c r="S409">
        <f>Table1[[#This Row],[Purchase_Amount]]*Table1[[#This Row],[Quantity]]</f>
        <v>203.06</v>
      </c>
      <c r="T409" t="str">
        <f>IF(Table1[[#This Row],[Age]]&lt;25,"&lt;25",IF(Table1[[#This Row],[Age]]&lt;=35,"25-35",IF(Table1[[#This Row],[Age]]&lt;=50,"36-50","50+")))</f>
        <v>50+</v>
      </c>
    </row>
    <row r="410" spans="1:20" x14ac:dyDescent="0.3">
      <c r="A410" s="2" t="s">
        <v>214</v>
      </c>
      <c r="B410" s="2" t="s">
        <v>26</v>
      </c>
      <c r="C410" s="3">
        <v>52</v>
      </c>
      <c r="D410" s="2" t="s">
        <v>32</v>
      </c>
      <c r="E410" s="2" t="s">
        <v>18</v>
      </c>
      <c r="F410" s="2" t="s">
        <v>27</v>
      </c>
      <c r="G410" t="s">
        <v>61</v>
      </c>
      <c r="H410" t="s">
        <v>215</v>
      </c>
      <c r="I410" s="4">
        <v>106.39</v>
      </c>
      <c r="J410" s="3">
        <v>5</v>
      </c>
      <c r="K410" s="1">
        <v>45230</v>
      </c>
      <c r="L410" s="1" t="str">
        <f>TEXT(Table1[[#This Row],[Purchase_Date]],"YYYY")</f>
        <v>2023</v>
      </c>
      <c r="M410" s="1" t="str">
        <f>TEXT(Table1[[#This Row],[Purchase_Date]],"MMM")</f>
        <v>Oct</v>
      </c>
      <c r="N410" s="1" t="str">
        <f>TEXT(Table1[[#This Row],[Purchase_Date]],"DD")</f>
        <v>31</v>
      </c>
      <c r="O410" s="2" t="s">
        <v>41</v>
      </c>
      <c r="P410" s="3">
        <v>9</v>
      </c>
      <c r="Q410" s="2" t="s">
        <v>46</v>
      </c>
      <c r="R410" s="2" t="s">
        <v>24</v>
      </c>
      <c r="S410">
        <f>Table1[[#This Row],[Purchase_Amount]]*Table1[[#This Row],[Quantity]]</f>
        <v>531.95000000000005</v>
      </c>
      <c r="T410" t="str">
        <f>IF(Table1[[#This Row],[Age]]&lt;25,"&lt;25",IF(Table1[[#This Row],[Age]]&lt;=35,"25-35",IF(Table1[[#This Row],[Age]]&lt;=50,"36-50","50+")))</f>
        <v>50+</v>
      </c>
    </row>
    <row r="411" spans="1:20" x14ac:dyDescent="0.3">
      <c r="A411" s="2" t="s">
        <v>301</v>
      </c>
      <c r="B411" s="2" t="s">
        <v>26</v>
      </c>
      <c r="C411" s="3">
        <v>55</v>
      </c>
      <c r="D411" s="2" t="s">
        <v>64</v>
      </c>
      <c r="E411" s="2" t="s">
        <v>49</v>
      </c>
      <c r="F411" s="2" t="s">
        <v>19</v>
      </c>
      <c r="G411" t="s">
        <v>61</v>
      </c>
      <c r="H411" t="s">
        <v>302</v>
      </c>
      <c r="I411" s="4">
        <v>296.08</v>
      </c>
      <c r="J411" s="3">
        <v>3</v>
      </c>
      <c r="K411" s="1">
        <v>45016</v>
      </c>
      <c r="L411" s="1" t="str">
        <f>TEXT(Table1[[#This Row],[Purchase_Date]],"YYYY")</f>
        <v>2023</v>
      </c>
      <c r="M411" s="1" t="str">
        <f>TEXT(Table1[[#This Row],[Purchase_Date]],"MMM")</f>
        <v>Mar</v>
      </c>
      <c r="N411" s="1" t="str">
        <f>TEXT(Table1[[#This Row],[Purchase_Date]],"DD")</f>
        <v>31</v>
      </c>
      <c r="O411" s="2" t="s">
        <v>36</v>
      </c>
      <c r="P411" s="3">
        <v>9</v>
      </c>
      <c r="Q411" s="2" t="s">
        <v>23</v>
      </c>
      <c r="R411" s="2" t="s">
        <v>47</v>
      </c>
      <c r="S411">
        <f>Table1[[#This Row],[Purchase_Amount]]*Table1[[#This Row],[Quantity]]</f>
        <v>888.24</v>
      </c>
      <c r="T411" t="str">
        <f>IF(Table1[[#This Row],[Age]]&lt;25,"&lt;25",IF(Table1[[#This Row],[Age]]&lt;=35,"25-35",IF(Table1[[#This Row],[Age]]&lt;=50,"36-50","50+")))</f>
        <v>50+</v>
      </c>
    </row>
    <row r="412" spans="1:20" x14ac:dyDescent="0.3">
      <c r="A412" s="2" t="s">
        <v>1227</v>
      </c>
      <c r="B412" s="2" t="s">
        <v>26</v>
      </c>
      <c r="C412" s="3">
        <v>55</v>
      </c>
      <c r="D412" s="2" t="s">
        <v>43</v>
      </c>
      <c r="E412" s="2" t="s">
        <v>49</v>
      </c>
      <c r="F412" s="2" t="s">
        <v>44</v>
      </c>
      <c r="G412" t="s">
        <v>61</v>
      </c>
      <c r="H412" t="s">
        <v>21</v>
      </c>
      <c r="I412" s="4">
        <v>358.96</v>
      </c>
      <c r="J412" s="3">
        <v>1</v>
      </c>
      <c r="K412" s="1">
        <v>45306</v>
      </c>
      <c r="L412" s="1" t="str">
        <f>TEXT(Table1[[#This Row],[Purchase_Date]],"YYYY")</f>
        <v>2024</v>
      </c>
      <c r="M412" s="1" t="str">
        <f>TEXT(Table1[[#This Row],[Purchase_Date]],"MMM")</f>
        <v>Jan</v>
      </c>
      <c r="N412" s="1" t="str">
        <f>TEXT(Table1[[#This Row],[Purchase_Date]],"DD")</f>
        <v>15</v>
      </c>
      <c r="O412" s="2" t="s">
        <v>30</v>
      </c>
      <c r="P412" s="3">
        <v>4</v>
      </c>
      <c r="Q412" s="2" t="s">
        <v>23</v>
      </c>
      <c r="R412" s="2" t="s">
        <v>47</v>
      </c>
      <c r="S412">
        <f>Table1[[#This Row],[Purchase_Amount]]*Table1[[#This Row],[Quantity]]</f>
        <v>358.96</v>
      </c>
      <c r="T412" t="str">
        <f>IF(Table1[[#This Row],[Age]]&lt;25,"&lt;25",IF(Table1[[#This Row],[Age]]&lt;=35,"25-35",IF(Table1[[#This Row],[Age]]&lt;=50,"36-50","50+")))</f>
        <v>50+</v>
      </c>
    </row>
    <row r="413" spans="1:20" x14ac:dyDescent="0.3">
      <c r="A413" s="2" t="s">
        <v>1221</v>
      </c>
      <c r="B413" s="2" t="s">
        <v>26</v>
      </c>
      <c r="C413" s="3">
        <v>55</v>
      </c>
      <c r="D413" s="2" t="s">
        <v>64</v>
      </c>
      <c r="E413" s="2" t="s">
        <v>33</v>
      </c>
      <c r="F413" s="2" t="s">
        <v>44</v>
      </c>
      <c r="G413" t="s">
        <v>61</v>
      </c>
      <c r="H413" t="s">
        <v>164</v>
      </c>
      <c r="I413" s="4">
        <v>737.88</v>
      </c>
      <c r="J413" s="3">
        <v>3</v>
      </c>
      <c r="K413" s="1">
        <v>45284</v>
      </c>
      <c r="L413" s="1" t="str">
        <f>TEXT(Table1[[#This Row],[Purchase_Date]],"YYYY")</f>
        <v>2023</v>
      </c>
      <c r="M413" s="1" t="str">
        <f>TEXT(Table1[[#This Row],[Purchase_Date]],"MMM")</f>
        <v>Dec</v>
      </c>
      <c r="N413" s="1" t="str">
        <f>TEXT(Table1[[#This Row],[Purchase_Date]],"DD")</f>
        <v>24</v>
      </c>
      <c r="O413" s="2" t="s">
        <v>41</v>
      </c>
      <c r="P413" s="3">
        <v>2</v>
      </c>
      <c r="Q413" s="2" t="s">
        <v>46</v>
      </c>
      <c r="R413" s="2" t="s">
        <v>24</v>
      </c>
      <c r="S413">
        <f>Table1[[#This Row],[Purchase_Amount]]*Table1[[#This Row],[Quantity]]</f>
        <v>2213.64</v>
      </c>
      <c r="T413" t="str">
        <f>IF(Table1[[#This Row],[Age]]&lt;25,"&lt;25",IF(Table1[[#This Row],[Age]]&lt;=35,"25-35",IF(Table1[[#This Row],[Age]]&lt;=50,"36-50","50+")))</f>
        <v>50+</v>
      </c>
    </row>
    <row r="414" spans="1:20" x14ac:dyDescent="0.3">
      <c r="A414" s="2" t="s">
        <v>758</v>
      </c>
      <c r="B414" s="2" t="s">
        <v>26</v>
      </c>
      <c r="C414" s="3">
        <v>55</v>
      </c>
      <c r="D414" s="2" t="s">
        <v>43</v>
      </c>
      <c r="E414" s="2" t="s">
        <v>33</v>
      </c>
      <c r="F414" s="2" t="s">
        <v>44</v>
      </c>
      <c r="G414" t="s">
        <v>61</v>
      </c>
      <c r="H414" t="s">
        <v>291</v>
      </c>
      <c r="I414" s="4">
        <v>983.12</v>
      </c>
      <c r="J414" s="3">
        <v>5</v>
      </c>
      <c r="K414" s="1">
        <v>45232</v>
      </c>
      <c r="L414" s="1" t="str">
        <f>TEXT(Table1[[#This Row],[Purchase_Date]],"YYYY")</f>
        <v>2023</v>
      </c>
      <c r="M414" s="1" t="str">
        <f>TEXT(Table1[[#This Row],[Purchase_Date]],"MMM")</f>
        <v>Nov</v>
      </c>
      <c r="N414" s="1" t="str">
        <f>TEXT(Table1[[#This Row],[Purchase_Date]],"DD")</f>
        <v>02</v>
      </c>
      <c r="O414" s="2" t="s">
        <v>36</v>
      </c>
      <c r="P414" s="3">
        <v>5</v>
      </c>
      <c r="Q414" s="2" t="s">
        <v>23</v>
      </c>
      <c r="R414" s="2" t="s">
        <v>47</v>
      </c>
      <c r="S414">
        <f>Table1[[#This Row],[Purchase_Amount]]*Table1[[#This Row],[Quantity]]</f>
        <v>4915.6000000000004</v>
      </c>
      <c r="T414" t="str">
        <f>IF(Table1[[#This Row],[Age]]&lt;25,"&lt;25",IF(Table1[[#This Row],[Age]]&lt;=35,"25-35",IF(Table1[[#This Row],[Age]]&lt;=50,"36-50","50+")))</f>
        <v>50+</v>
      </c>
    </row>
    <row r="415" spans="1:20" x14ac:dyDescent="0.3">
      <c r="A415" s="2" t="s">
        <v>684</v>
      </c>
      <c r="B415" s="2" t="s">
        <v>26</v>
      </c>
      <c r="C415" s="3">
        <v>57</v>
      </c>
      <c r="D415" s="2" t="s">
        <v>60</v>
      </c>
      <c r="E415" s="2" t="s">
        <v>33</v>
      </c>
      <c r="F415" s="2" t="s">
        <v>19</v>
      </c>
      <c r="G415" t="s">
        <v>61</v>
      </c>
      <c r="H415" t="s">
        <v>685</v>
      </c>
      <c r="I415" s="4">
        <v>25.87</v>
      </c>
      <c r="J415" s="3">
        <v>4</v>
      </c>
      <c r="K415" s="1">
        <v>45190</v>
      </c>
      <c r="L415" s="1" t="str">
        <f>TEXT(Table1[[#This Row],[Purchase_Date]],"YYYY")</f>
        <v>2023</v>
      </c>
      <c r="M415" s="1" t="str">
        <f>TEXT(Table1[[#This Row],[Purchase_Date]],"MMM")</f>
        <v>Sep</v>
      </c>
      <c r="N415" s="1" t="str">
        <f>TEXT(Table1[[#This Row],[Purchase_Date]],"DD")</f>
        <v>21</v>
      </c>
      <c r="O415" s="2" t="s">
        <v>22</v>
      </c>
      <c r="P415" s="3">
        <v>3</v>
      </c>
      <c r="Q415" s="2" t="s">
        <v>23</v>
      </c>
      <c r="R415" s="2" t="s">
        <v>24</v>
      </c>
      <c r="S415">
        <f>Table1[[#This Row],[Purchase_Amount]]*Table1[[#This Row],[Quantity]]</f>
        <v>103.48</v>
      </c>
      <c r="T415" t="str">
        <f>IF(Table1[[#This Row],[Age]]&lt;25,"&lt;25",IF(Table1[[#This Row],[Age]]&lt;=35,"25-35",IF(Table1[[#This Row],[Age]]&lt;=50,"36-50","50+")))</f>
        <v>50+</v>
      </c>
    </row>
    <row r="416" spans="1:20" x14ac:dyDescent="0.3">
      <c r="A416" s="2" t="s">
        <v>514</v>
      </c>
      <c r="B416" s="2" t="s">
        <v>26</v>
      </c>
      <c r="C416" s="3">
        <v>57</v>
      </c>
      <c r="D416" s="2" t="s">
        <v>32</v>
      </c>
      <c r="E416" s="2" t="s">
        <v>49</v>
      </c>
      <c r="F416" s="2" t="s">
        <v>44</v>
      </c>
      <c r="G416" t="s">
        <v>61</v>
      </c>
      <c r="H416" t="s">
        <v>175</v>
      </c>
      <c r="I416" s="4">
        <v>666.68</v>
      </c>
      <c r="J416" s="3">
        <v>1</v>
      </c>
      <c r="K416" s="1">
        <v>45586</v>
      </c>
      <c r="L416" s="1" t="str">
        <f>TEXT(Table1[[#This Row],[Purchase_Date]],"YYYY")</f>
        <v>2024</v>
      </c>
      <c r="M416" s="1" t="str">
        <f>TEXT(Table1[[#This Row],[Purchase_Date]],"MMM")</f>
        <v>Oct</v>
      </c>
      <c r="N416" s="1" t="str">
        <f>TEXT(Table1[[#This Row],[Purchase_Date]],"DD")</f>
        <v>21</v>
      </c>
      <c r="O416" s="2" t="s">
        <v>30</v>
      </c>
      <c r="P416" s="3">
        <v>9</v>
      </c>
      <c r="Q416" s="2" t="s">
        <v>23</v>
      </c>
      <c r="R416" s="2" t="s">
        <v>47</v>
      </c>
      <c r="S416">
        <f>Table1[[#This Row],[Purchase_Amount]]*Table1[[#This Row],[Quantity]]</f>
        <v>666.68</v>
      </c>
      <c r="T416" t="str">
        <f>IF(Table1[[#This Row],[Age]]&lt;25,"&lt;25",IF(Table1[[#This Row],[Age]]&lt;=35,"25-35",IF(Table1[[#This Row],[Age]]&lt;=50,"36-50","50+")))</f>
        <v>50+</v>
      </c>
    </row>
    <row r="417" spans="1:20" x14ac:dyDescent="0.3">
      <c r="A417" s="2" t="s">
        <v>1234</v>
      </c>
      <c r="B417" s="2" t="s">
        <v>26</v>
      </c>
      <c r="C417" s="3">
        <v>58</v>
      </c>
      <c r="D417" s="2" t="s">
        <v>32</v>
      </c>
      <c r="E417" s="2" t="s">
        <v>49</v>
      </c>
      <c r="F417" s="2" t="s">
        <v>44</v>
      </c>
      <c r="G417" t="s">
        <v>61</v>
      </c>
      <c r="H417" t="s">
        <v>493</v>
      </c>
      <c r="I417" s="4">
        <v>192.26</v>
      </c>
      <c r="J417" s="3">
        <v>4</v>
      </c>
      <c r="K417" s="1">
        <v>45420</v>
      </c>
      <c r="L417" s="1" t="str">
        <f>TEXT(Table1[[#This Row],[Purchase_Date]],"YYYY")</f>
        <v>2024</v>
      </c>
      <c r="M417" s="1" t="str">
        <f>TEXT(Table1[[#This Row],[Purchase_Date]],"MMM")</f>
        <v>May</v>
      </c>
      <c r="N417" s="1" t="str">
        <f>TEXT(Table1[[#This Row],[Purchase_Date]],"DD")</f>
        <v>08</v>
      </c>
      <c r="O417" s="2" t="s">
        <v>22</v>
      </c>
      <c r="P417" s="3">
        <v>10</v>
      </c>
      <c r="Q417" s="2" t="s">
        <v>23</v>
      </c>
      <c r="R417" s="2" t="s">
        <v>24</v>
      </c>
      <c r="S417">
        <f>Table1[[#This Row],[Purchase_Amount]]*Table1[[#This Row],[Quantity]]</f>
        <v>769.04</v>
      </c>
      <c r="T417" t="str">
        <f>IF(Table1[[#This Row],[Age]]&lt;25,"&lt;25",IF(Table1[[#This Row],[Age]]&lt;=35,"25-35",IF(Table1[[#This Row],[Age]]&lt;=50,"36-50","50+")))</f>
        <v>50+</v>
      </c>
    </row>
    <row r="418" spans="1:20" x14ac:dyDescent="0.3">
      <c r="A418" s="2" t="s">
        <v>968</v>
      </c>
      <c r="B418" s="2" t="s">
        <v>26</v>
      </c>
      <c r="C418" s="3">
        <v>58</v>
      </c>
      <c r="D418" s="2" t="s">
        <v>17</v>
      </c>
      <c r="E418" s="2" t="s">
        <v>18</v>
      </c>
      <c r="F418" s="2" t="s">
        <v>27</v>
      </c>
      <c r="G418" t="s">
        <v>61</v>
      </c>
      <c r="H418" t="s">
        <v>314</v>
      </c>
      <c r="I418" s="4">
        <v>400.53</v>
      </c>
      <c r="J418" s="3">
        <v>3</v>
      </c>
      <c r="K418" s="1">
        <v>45474</v>
      </c>
      <c r="L418" s="1" t="str">
        <f>TEXT(Table1[[#This Row],[Purchase_Date]],"YYYY")</f>
        <v>2024</v>
      </c>
      <c r="M418" s="1" t="str">
        <f>TEXT(Table1[[#This Row],[Purchase_Date]],"MMM")</f>
        <v>Jul</v>
      </c>
      <c r="N418" s="1" t="str">
        <f>TEXT(Table1[[#This Row],[Purchase_Date]],"DD")</f>
        <v>01</v>
      </c>
      <c r="O418" s="2" t="s">
        <v>22</v>
      </c>
      <c r="P418" s="3">
        <v>1</v>
      </c>
      <c r="Q418" s="2" t="s">
        <v>23</v>
      </c>
      <c r="R418" s="2" t="s">
        <v>47</v>
      </c>
      <c r="S418">
        <f>Table1[[#This Row],[Purchase_Amount]]*Table1[[#This Row],[Quantity]]</f>
        <v>1201.5899999999999</v>
      </c>
      <c r="T418" t="str">
        <f>IF(Table1[[#This Row],[Age]]&lt;25,"&lt;25",IF(Table1[[#This Row],[Age]]&lt;=35,"25-35",IF(Table1[[#This Row],[Age]]&lt;=50,"36-50","50+")))</f>
        <v>50+</v>
      </c>
    </row>
    <row r="419" spans="1:20" x14ac:dyDescent="0.3">
      <c r="A419" s="2" t="s">
        <v>676</v>
      </c>
      <c r="B419" s="2" t="s">
        <v>26</v>
      </c>
      <c r="C419" s="3">
        <v>59</v>
      </c>
      <c r="D419" s="2" t="s">
        <v>78</v>
      </c>
      <c r="E419" s="2" t="s">
        <v>49</v>
      </c>
      <c r="F419" s="2" t="s">
        <v>27</v>
      </c>
      <c r="G419" t="s">
        <v>61</v>
      </c>
      <c r="H419" t="s">
        <v>200</v>
      </c>
      <c r="I419" s="4">
        <v>550.94000000000005</v>
      </c>
      <c r="J419" s="3">
        <v>4</v>
      </c>
      <c r="K419" s="1">
        <v>45020</v>
      </c>
      <c r="L419" s="1" t="str">
        <f>TEXT(Table1[[#This Row],[Purchase_Date]],"YYYY")</f>
        <v>2023</v>
      </c>
      <c r="M419" s="1" t="str">
        <f>TEXT(Table1[[#This Row],[Purchase_Date]],"MMM")</f>
        <v>Apr</v>
      </c>
      <c r="N419" s="1" t="str">
        <f>TEXT(Table1[[#This Row],[Purchase_Date]],"DD")</f>
        <v>04</v>
      </c>
      <c r="O419" s="2" t="s">
        <v>22</v>
      </c>
      <c r="P419" s="3">
        <v>9</v>
      </c>
      <c r="Q419" s="2" t="s">
        <v>23</v>
      </c>
      <c r="R419" s="2" t="s">
        <v>47</v>
      </c>
      <c r="S419">
        <f>Table1[[#This Row],[Purchase_Amount]]*Table1[[#This Row],[Quantity]]</f>
        <v>2203.7600000000002</v>
      </c>
      <c r="T419" t="str">
        <f>IF(Table1[[#This Row],[Age]]&lt;25,"&lt;25",IF(Table1[[#This Row],[Age]]&lt;=35,"25-35",IF(Table1[[#This Row],[Age]]&lt;=50,"36-50","50+")))</f>
        <v>50+</v>
      </c>
    </row>
    <row r="420" spans="1:20" x14ac:dyDescent="0.3">
      <c r="A420" s="2" t="s">
        <v>1149</v>
      </c>
      <c r="B420" s="2" t="s">
        <v>26</v>
      </c>
      <c r="C420" s="3">
        <v>61</v>
      </c>
      <c r="D420" s="2" t="s">
        <v>78</v>
      </c>
      <c r="E420" s="2" t="s">
        <v>18</v>
      </c>
      <c r="F420" s="2" t="s">
        <v>19</v>
      </c>
      <c r="G420" t="s">
        <v>61</v>
      </c>
      <c r="H420" t="s">
        <v>58</v>
      </c>
      <c r="I420" s="4">
        <v>137.07</v>
      </c>
      <c r="J420" s="3">
        <v>1</v>
      </c>
      <c r="K420" s="1">
        <v>45059</v>
      </c>
      <c r="L420" s="1" t="str">
        <f>TEXT(Table1[[#This Row],[Purchase_Date]],"YYYY")</f>
        <v>2023</v>
      </c>
      <c r="M420" s="1" t="str">
        <f>TEXT(Table1[[#This Row],[Purchase_Date]],"MMM")</f>
        <v>May</v>
      </c>
      <c r="N420" s="1" t="str">
        <f>TEXT(Table1[[#This Row],[Purchase_Date]],"DD")</f>
        <v>13</v>
      </c>
      <c r="O420" s="2" t="s">
        <v>30</v>
      </c>
      <c r="P420" s="3">
        <v>1</v>
      </c>
      <c r="Q420" s="2" t="s">
        <v>46</v>
      </c>
      <c r="R420" s="2" t="s">
        <v>24</v>
      </c>
      <c r="S420">
        <f>Table1[[#This Row],[Purchase_Amount]]*Table1[[#This Row],[Quantity]]</f>
        <v>137.07</v>
      </c>
      <c r="T420" t="str">
        <f>IF(Table1[[#This Row],[Age]]&lt;25,"&lt;25",IF(Table1[[#This Row],[Age]]&lt;=35,"25-35",IF(Table1[[#This Row],[Age]]&lt;=50,"36-50","50+")))</f>
        <v>50+</v>
      </c>
    </row>
    <row r="421" spans="1:20" x14ac:dyDescent="0.3">
      <c r="A421" s="2" t="s">
        <v>1003</v>
      </c>
      <c r="B421" s="2" t="s">
        <v>26</v>
      </c>
      <c r="C421" s="3">
        <v>62</v>
      </c>
      <c r="D421" s="2" t="s">
        <v>109</v>
      </c>
      <c r="E421" s="2" t="s">
        <v>49</v>
      </c>
      <c r="F421" s="2" t="s">
        <v>44</v>
      </c>
      <c r="G421" t="s">
        <v>61</v>
      </c>
      <c r="H421" t="s">
        <v>269</v>
      </c>
      <c r="I421" s="4">
        <v>73.45</v>
      </c>
      <c r="J421" s="3">
        <v>3</v>
      </c>
      <c r="K421" s="1">
        <v>45008</v>
      </c>
      <c r="L421" s="1" t="str">
        <f>TEXT(Table1[[#This Row],[Purchase_Date]],"YYYY")</f>
        <v>2023</v>
      </c>
      <c r="M421" s="1" t="str">
        <f>TEXT(Table1[[#This Row],[Purchase_Date]],"MMM")</f>
        <v>Mar</v>
      </c>
      <c r="N421" s="1" t="str">
        <f>TEXT(Table1[[#This Row],[Purchase_Date]],"DD")</f>
        <v>23</v>
      </c>
      <c r="O421" s="2" t="s">
        <v>36</v>
      </c>
      <c r="P421" s="3">
        <v>8</v>
      </c>
      <c r="Q421" s="2" t="s">
        <v>23</v>
      </c>
      <c r="R421" s="2" t="s">
        <v>47</v>
      </c>
      <c r="S421">
        <f>Table1[[#This Row],[Purchase_Amount]]*Table1[[#This Row],[Quantity]]</f>
        <v>220.35000000000002</v>
      </c>
      <c r="T421" t="str">
        <f>IF(Table1[[#This Row],[Age]]&lt;25,"&lt;25",IF(Table1[[#This Row],[Age]]&lt;=35,"25-35",IF(Table1[[#This Row],[Age]]&lt;=50,"36-50","50+")))</f>
        <v>50+</v>
      </c>
    </row>
    <row r="422" spans="1:20" x14ac:dyDescent="0.3">
      <c r="A422" s="2" t="s">
        <v>929</v>
      </c>
      <c r="B422" s="2" t="s">
        <v>26</v>
      </c>
      <c r="C422" s="3">
        <v>63</v>
      </c>
      <c r="D422" s="2" t="s">
        <v>17</v>
      </c>
      <c r="E422" s="2" t="s">
        <v>33</v>
      </c>
      <c r="F422" s="2" t="s">
        <v>27</v>
      </c>
      <c r="G422" t="s">
        <v>61</v>
      </c>
      <c r="H422" t="s">
        <v>294</v>
      </c>
      <c r="I422" s="4">
        <v>234.99</v>
      </c>
      <c r="J422" s="3">
        <v>5</v>
      </c>
      <c r="K422" s="1">
        <v>45294</v>
      </c>
      <c r="L422" s="1" t="str">
        <f>TEXT(Table1[[#This Row],[Purchase_Date]],"YYYY")</f>
        <v>2024</v>
      </c>
      <c r="M422" s="1" t="str">
        <f>TEXT(Table1[[#This Row],[Purchase_Date]],"MMM")</f>
        <v>Jan</v>
      </c>
      <c r="N422" s="1" t="str">
        <f>TEXT(Table1[[#This Row],[Purchase_Date]],"DD")</f>
        <v>03</v>
      </c>
      <c r="O422" s="2" t="s">
        <v>36</v>
      </c>
      <c r="P422" s="3">
        <v>3</v>
      </c>
      <c r="Q422" s="2" t="s">
        <v>23</v>
      </c>
      <c r="R422" s="2" t="s">
        <v>24</v>
      </c>
      <c r="S422">
        <f>Table1[[#This Row],[Purchase_Amount]]*Table1[[#This Row],[Quantity]]</f>
        <v>1174.95</v>
      </c>
      <c r="T422" t="str">
        <f>IF(Table1[[#This Row],[Age]]&lt;25,"&lt;25",IF(Table1[[#This Row],[Age]]&lt;=35,"25-35",IF(Table1[[#This Row],[Age]]&lt;=50,"36-50","50+")))</f>
        <v>50+</v>
      </c>
    </row>
    <row r="423" spans="1:20" x14ac:dyDescent="0.3">
      <c r="A423" s="2" t="s">
        <v>120</v>
      </c>
      <c r="B423" s="2" t="s">
        <v>26</v>
      </c>
      <c r="C423" s="3">
        <v>64</v>
      </c>
      <c r="D423" s="2" t="s">
        <v>43</v>
      </c>
      <c r="E423" s="2" t="s">
        <v>49</v>
      </c>
      <c r="F423" s="2" t="s">
        <v>27</v>
      </c>
      <c r="G423" t="s">
        <v>61</v>
      </c>
      <c r="H423" t="s">
        <v>89</v>
      </c>
      <c r="I423" s="4">
        <v>424.78</v>
      </c>
      <c r="J423" s="3">
        <v>1</v>
      </c>
      <c r="K423" s="1">
        <v>45092</v>
      </c>
      <c r="L423" s="1" t="str">
        <f>TEXT(Table1[[#This Row],[Purchase_Date]],"YYYY")</f>
        <v>2023</v>
      </c>
      <c r="M423" s="1" t="str">
        <f>TEXT(Table1[[#This Row],[Purchase_Date]],"MMM")</f>
        <v>Jun</v>
      </c>
      <c r="N423" s="1" t="str">
        <f>TEXT(Table1[[#This Row],[Purchase_Date]],"DD")</f>
        <v>15</v>
      </c>
      <c r="O423" s="2" t="s">
        <v>41</v>
      </c>
      <c r="P423" s="3">
        <v>3</v>
      </c>
      <c r="Q423" s="2" t="s">
        <v>46</v>
      </c>
      <c r="R423" s="2" t="s">
        <v>24</v>
      </c>
      <c r="S423">
        <f>Table1[[#This Row],[Purchase_Amount]]*Table1[[#This Row],[Quantity]]</f>
        <v>424.78</v>
      </c>
      <c r="T423" t="str">
        <f>IF(Table1[[#This Row],[Age]]&lt;25,"&lt;25",IF(Table1[[#This Row],[Age]]&lt;=35,"25-35",IF(Table1[[#This Row],[Age]]&lt;=50,"36-50","50+")))</f>
        <v>50+</v>
      </c>
    </row>
    <row r="424" spans="1:20" x14ac:dyDescent="0.3">
      <c r="A424" s="2" t="s">
        <v>527</v>
      </c>
      <c r="B424" s="2" t="s">
        <v>26</v>
      </c>
      <c r="C424" s="3">
        <v>66</v>
      </c>
      <c r="D424" s="2" t="s">
        <v>60</v>
      </c>
      <c r="E424" s="2" t="s">
        <v>33</v>
      </c>
      <c r="F424" s="2" t="s">
        <v>19</v>
      </c>
      <c r="G424" t="s">
        <v>61</v>
      </c>
      <c r="H424" t="s">
        <v>179</v>
      </c>
      <c r="I424" s="4">
        <v>348.22</v>
      </c>
      <c r="J424" s="3">
        <v>3</v>
      </c>
      <c r="K424" s="1">
        <v>44971</v>
      </c>
      <c r="L424" s="1" t="str">
        <f>TEXT(Table1[[#This Row],[Purchase_Date]],"YYYY")</f>
        <v>2023</v>
      </c>
      <c r="M424" s="1" t="str">
        <f>TEXT(Table1[[#This Row],[Purchase_Date]],"MMM")</f>
        <v>Feb</v>
      </c>
      <c r="N424" s="1" t="str">
        <f>TEXT(Table1[[#This Row],[Purchase_Date]],"DD")</f>
        <v>14</v>
      </c>
      <c r="O424" s="2" t="s">
        <v>41</v>
      </c>
      <c r="P424" s="3">
        <v>8</v>
      </c>
      <c r="Q424" s="2" t="s">
        <v>23</v>
      </c>
      <c r="R424" s="2" t="s">
        <v>47</v>
      </c>
      <c r="S424">
        <f>Table1[[#This Row],[Purchase_Amount]]*Table1[[#This Row],[Quantity]]</f>
        <v>1044.6600000000001</v>
      </c>
      <c r="T424" t="str">
        <f>IF(Table1[[#This Row],[Age]]&lt;25,"&lt;25",IF(Table1[[#This Row],[Age]]&lt;=35,"25-35",IF(Table1[[#This Row],[Age]]&lt;=50,"36-50","50+")))</f>
        <v>50+</v>
      </c>
    </row>
    <row r="425" spans="1:20" x14ac:dyDescent="0.3">
      <c r="A425" s="2" t="s">
        <v>813</v>
      </c>
      <c r="B425" s="2" t="s">
        <v>26</v>
      </c>
      <c r="C425" s="3">
        <v>67</v>
      </c>
      <c r="D425" s="2" t="s">
        <v>38</v>
      </c>
      <c r="E425" s="2" t="s">
        <v>33</v>
      </c>
      <c r="F425" s="2" t="s">
        <v>19</v>
      </c>
      <c r="G425" t="s">
        <v>61</v>
      </c>
      <c r="H425" t="s">
        <v>302</v>
      </c>
      <c r="I425" s="4">
        <v>700.19</v>
      </c>
      <c r="J425" s="3">
        <v>3</v>
      </c>
      <c r="K425" s="1">
        <v>45360</v>
      </c>
      <c r="L425" s="1" t="str">
        <f>TEXT(Table1[[#This Row],[Purchase_Date]],"YYYY")</f>
        <v>2024</v>
      </c>
      <c r="M425" s="1" t="str">
        <f>TEXT(Table1[[#This Row],[Purchase_Date]],"MMM")</f>
        <v>Mar</v>
      </c>
      <c r="N425" s="1" t="str">
        <f>TEXT(Table1[[#This Row],[Purchase_Date]],"DD")</f>
        <v>09</v>
      </c>
      <c r="O425" s="2" t="s">
        <v>22</v>
      </c>
      <c r="P425" s="3">
        <v>10</v>
      </c>
      <c r="Q425" s="2" t="s">
        <v>46</v>
      </c>
      <c r="R425" s="2" t="s">
        <v>47</v>
      </c>
      <c r="S425">
        <f>Table1[[#This Row],[Purchase_Amount]]*Table1[[#This Row],[Quantity]]</f>
        <v>2100.5700000000002</v>
      </c>
      <c r="T425" t="str">
        <f>IF(Table1[[#This Row],[Age]]&lt;25,"&lt;25",IF(Table1[[#This Row],[Age]]&lt;=35,"25-35",IF(Table1[[#This Row],[Age]]&lt;=50,"36-50","50+")))</f>
        <v>50+</v>
      </c>
    </row>
    <row r="426" spans="1:20" x14ac:dyDescent="0.3">
      <c r="A426" s="2" t="s">
        <v>1138</v>
      </c>
      <c r="B426" s="2" t="s">
        <v>26</v>
      </c>
      <c r="C426" s="3">
        <v>69</v>
      </c>
      <c r="D426" s="2" t="s">
        <v>60</v>
      </c>
      <c r="E426" s="2" t="s">
        <v>49</v>
      </c>
      <c r="F426" s="2" t="s">
        <v>27</v>
      </c>
      <c r="G426" t="s">
        <v>61</v>
      </c>
      <c r="H426" t="s">
        <v>234</v>
      </c>
      <c r="I426" s="4">
        <v>931.37</v>
      </c>
      <c r="J426" s="3">
        <v>1</v>
      </c>
      <c r="K426" s="1">
        <v>45128</v>
      </c>
      <c r="L426" s="1" t="str">
        <f>TEXT(Table1[[#This Row],[Purchase_Date]],"YYYY")</f>
        <v>2023</v>
      </c>
      <c r="M426" s="1" t="str">
        <f>TEXT(Table1[[#This Row],[Purchase_Date]],"MMM")</f>
        <v>Jul</v>
      </c>
      <c r="N426" s="1" t="str">
        <f>TEXT(Table1[[#This Row],[Purchase_Date]],"DD")</f>
        <v>21</v>
      </c>
      <c r="O426" s="2" t="s">
        <v>36</v>
      </c>
      <c r="P426" s="3">
        <v>7</v>
      </c>
      <c r="Q426" s="2" t="s">
        <v>46</v>
      </c>
      <c r="R426" s="2" t="s">
        <v>47</v>
      </c>
      <c r="S426">
        <f>Table1[[#This Row],[Purchase_Amount]]*Table1[[#This Row],[Quantity]]</f>
        <v>931.37</v>
      </c>
      <c r="T426" t="str">
        <f>IF(Table1[[#This Row],[Age]]&lt;25,"&lt;25",IF(Table1[[#This Row],[Age]]&lt;=35,"25-35",IF(Table1[[#This Row],[Age]]&lt;=50,"36-50","50+")))</f>
        <v>50+</v>
      </c>
    </row>
    <row r="427" spans="1:20" x14ac:dyDescent="0.3">
      <c r="A427" s="2" t="s">
        <v>556</v>
      </c>
      <c r="B427" s="2" t="s">
        <v>26</v>
      </c>
      <c r="C427" s="3">
        <v>20</v>
      </c>
      <c r="D427" s="2" t="s">
        <v>43</v>
      </c>
      <c r="E427" s="2" t="s">
        <v>33</v>
      </c>
      <c r="F427" s="2" t="s">
        <v>44</v>
      </c>
      <c r="G427" t="s">
        <v>28</v>
      </c>
      <c r="H427" t="s">
        <v>147</v>
      </c>
      <c r="I427" s="4">
        <v>564.15</v>
      </c>
      <c r="J427" s="3">
        <v>5</v>
      </c>
      <c r="K427" s="1">
        <v>45256</v>
      </c>
      <c r="L427" s="1" t="str">
        <f>TEXT(Table1[[#This Row],[Purchase_Date]],"YYYY")</f>
        <v>2023</v>
      </c>
      <c r="M427" s="1" t="str">
        <f>TEXT(Table1[[#This Row],[Purchase_Date]],"MMM")</f>
        <v>Nov</v>
      </c>
      <c r="N427" s="1" t="str">
        <f>TEXT(Table1[[#This Row],[Purchase_Date]],"DD")</f>
        <v>26</v>
      </c>
      <c r="O427" s="2" t="s">
        <v>30</v>
      </c>
      <c r="P427" s="3">
        <v>10</v>
      </c>
      <c r="Q427" s="2" t="s">
        <v>23</v>
      </c>
      <c r="R427" s="2" t="s">
        <v>47</v>
      </c>
      <c r="S427">
        <f>Table1[[#This Row],[Purchase_Amount]]*Table1[[#This Row],[Quantity]]</f>
        <v>2820.75</v>
      </c>
      <c r="T427" t="str">
        <f>IF(Table1[[#This Row],[Age]]&lt;25,"&lt;25",IF(Table1[[#This Row],[Age]]&lt;=35,"25-35",IF(Table1[[#This Row],[Age]]&lt;=50,"36-50","50+")))</f>
        <v>&lt;25</v>
      </c>
    </row>
    <row r="428" spans="1:20" x14ac:dyDescent="0.3">
      <c r="A428" s="2" t="s">
        <v>1086</v>
      </c>
      <c r="B428" s="2" t="s">
        <v>26</v>
      </c>
      <c r="C428" s="3">
        <v>21</v>
      </c>
      <c r="D428" s="2" t="s">
        <v>64</v>
      </c>
      <c r="E428" s="2" t="s">
        <v>33</v>
      </c>
      <c r="F428" s="2" t="s">
        <v>27</v>
      </c>
      <c r="G428" t="s">
        <v>28</v>
      </c>
      <c r="H428" t="s">
        <v>495</v>
      </c>
      <c r="I428" s="4">
        <v>710.54</v>
      </c>
      <c r="J428" s="3">
        <v>1</v>
      </c>
      <c r="K428" s="1">
        <v>45130</v>
      </c>
      <c r="L428" s="1" t="str">
        <f>TEXT(Table1[[#This Row],[Purchase_Date]],"YYYY")</f>
        <v>2023</v>
      </c>
      <c r="M428" s="1" t="str">
        <f>TEXT(Table1[[#This Row],[Purchase_Date]],"MMM")</f>
        <v>Jul</v>
      </c>
      <c r="N428" s="1" t="str">
        <f>TEXT(Table1[[#This Row],[Purchase_Date]],"DD")</f>
        <v>23</v>
      </c>
      <c r="O428" s="2" t="s">
        <v>41</v>
      </c>
      <c r="P428" s="3">
        <v>2</v>
      </c>
      <c r="Q428" s="2" t="s">
        <v>46</v>
      </c>
      <c r="R428" s="2" t="s">
        <v>24</v>
      </c>
      <c r="S428">
        <f>Table1[[#This Row],[Purchase_Amount]]*Table1[[#This Row],[Quantity]]</f>
        <v>710.54</v>
      </c>
      <c r="T428" t="str">
        <f>IF(Table1[[#This Row],[Age]]&lt;25,"&lt;25",IF(Table1[[#This Row],[Age]]&lt;=35,"25-35",IF(Table1[[#This Row],[Age]]&lt;=50,"36-50","50+")))</f>
        <v>&lt;25</v>
      </c>
    </row>
    <row r="429" spans="1:20" x14ac:dyDescent="0.3">
      <c r="A429" s="2" t="s">
        <v>1033</v>
      </c>
      <c r="B429" s="2" t="s">
        <v>26</v>
      </c>
      <c r="C429" s="3">
        <v>24</v>
      </c>
      <c r="D429" s="2" t="s">
        <v>109</v>
      </c>
      <c r="E429" s="2" t="s">
        <v>49</v>
      </c>
      <c r="F429" s="2" t="s">
        <v>44</v>
      </c>
      <c r="G429" t="s">
        <v>28</v>
      </c>
      <c r="H429" t="s">
        <v>631</v>
      </c>
      <c r="I429" s="4">
        <v>77.36</v>
      </c>
      <c r="J429" s="3">
        <v>1</v>
      </c>
      <c r="K429" s="1">
        <v>45103</v>
      </c>
      <c r="L429" s="1" t="str">
        <f>TEXT(Table1[[#This Row],[Purchase_Date]],"YYYY")</f>
        <v>2023</v>
      </c>
      <c r="M429" s="1" t="str">
        <f>TEXT(Table1[[#This Row],[Purchase_Date]],"MMM")</f>
        <v>Jun</v>
      </c>
      <c r="N429" s="1" t="str">
        <f>TEXT(Table1[[#This Row],[Purchase_Date]],"DD")</f>
        <v>26</v>
      </c>
      <c r="O429" s="2" t="s">
        <v>30</v>
      </c>
      <c r="P429" s="3">
        <v>3</v>
      </c>
      <c r="Q429" s="2" t="s">
        <v>23</v>
      </c>
      <c r="R429" s="2" t="s">
        <v>47</v>
      </c>
      <c r="S429">
        <f>Table1[[#This Row],[Purchase_Amount]]*Table1[[#This Row],[Quantity]]</f>
        <v>77.36</v>
      </c>
      <c r="T429" t="str">
        <f>IF(Table1[[#This Row],[Age]]&lt;25,"&lt;25",IF(Table1[[#This Row],[Age]]&lt;=35,"25-35",IF(Table1[[#This Row],[Age]]&lt;=50,"36-50","50+")))</f>
        <v>&lt;25</v>
      </c>
    </row>
    <row r="430" spans="1:20" x14ac:dyDescent="0.3">
      <c r="A430" s="2" t="s">
        <v>924</v>
      </c>
      <c r="B430" s="2" t="s">
        <v>26</v>
      </c>
      <c r="C430" s="3">
        <v>25</v>
      </c>
      <c r="D430" s="2" t="s">
        <v>60</v>
      </c>
      <c r="E430" s="2" t="s">
        <v>49</v>
      </c>
      <c r="F430" s="2" t="s">
        <v>27</v>
      </c>
      <c r="G430" t="s">
        <v>28</v>
      </c>
      <c r="H430" t="s">
        <v>450</v>
      </c>
      <c r="I430" s="4">
        <v>177.47</v>
      </c>
      <c r="J430" s="3">
        <v>2</v>
      </c>
      <c r="K430" s="1">
        <v>45460</v>
      </c>
      <c r="L430" s="1" t="str">
        <f>TEXT(Table1[[#This Row],[Purchase_Date]],"YYYY")</f>
        <v>2024</v>
      </c>
      <c r="M430" s="1" t="str">
        <f>TEXT(Table1[[#This Row],[Purchase_Date]],"MMM")</f>
        <v>Jun</v>
      </c>
      <c r="N430" s="1" t="str">
        <f>TEXT(Table1[[#This Row],[Purchase_Date]],"DD")</f>
        <v>17</v>
      </c>
      <c r="O430" s="2" t="s">
        <v>22</v>
      </c>
      <c r="P430" s="3">
        <v>10</v>
      </c>
      <c r="Q430" s="2" t="s">
        <v>46</v>
      </c>
      <c r="R430" s="2" t="s">
        <v>47</v>
      </c>
      <c r="S430">
        <f>Table1[[#This Row],[Purchase_Amount]]*Table1[[#This Row],[Quantity]]</f>
        <v>354.94</v>
      </c>
      <c r="T430" t="str">
        <f>IF(Table1[[#This Row],[Age]]&lt;25,"&lt;25",IF(Table1[[#This Row],[Age]]&lt;=35,"25-35",IF(Table1[[#This Row],[Age]]&lt;=50,"36-50","50+")))</f>
        <v>25-35</v>
      </c>
    </row>
    <row r="431" spans="1:20" x14ac:dyDescent="0.3">
      <c r="A431" s="2" t="s">
        <v>641</v>
      </c>
      <c r="B431" s="2" t="s">
        <v>26</v>
      </c>
      <c r="C431" s="3">
        <v>26</v>
      </c>
      <c r="D431" s="2" t="s">
        <v>109</v>
      </c>
      <c r="E431" s="2" t="s">
        <v>49</v>
      </c>
      <c r="F431" s="2" t="s">
        <v>44</v>
      </c>
      <c r="G431" t="s">
        <v>28</v>
      </c>
      <c r="H431" t="s">
        <v>131</v>
      </c>
      <c r="I431" s="4">
        <v>54.7</v>
      </c>
      <c r="J431" s="3">
        <v>4</v>
      </c>
      <c r="K431" s="1">
        <v>45419</v>
      </c>
      <c r="L431" s="1" t="str">
        <f>TEXT(Table1[[#This Row],[Purchase_Date]],"YYYY")</f>
        <v>2024</v>
      </c>
      <c r="M431" s="1" t="str">
        <f>TEXT(Table1[[#This Row],[Purchase_Date]],"MMM")</f>
        <v>May</v>
      </c>
      <c r="N431" s="1" t="str">
        <f>TEXT(Table1[[#This Row],[Purchase_Date]],"DD")</f>
        <v>07</v>
      </c>
      <c r="O431" s="2" t="s">
        <v>22</v>
      </c>
      <c r="P431" s="3">
        <v>4</v>
      </c>
      <c r="Q431" s="2" t="s">
        <v>46</v>
      </c>
      <c r="R431" s="2" t="s">
        <v>24</v>
      </c>
      <c r="S431">
        <f>Table1[[#This Row],[Purchase_Amount]]*Table1[[#This Row],[Quantity]]</f>
        <v>218.8</v>
      </c>
      <c r="T431" t="str">
        <f>IF(Table1[[#This Row],[Age]]&lt;25,"&lt;25",IF(Table1[[#This Row],[Age]]&lt;=35,"25-35",IF(Table1[[#This Row],[Age]]&lt;=50,"36-50","50+")))</f>
        <v>25-35</v>
      </c>
    </row>
    <row r="432" spans="1:20" x14ac:dyDescent="0.3">
      <c r="A432" s="2" t="s">
        <v>313</v>
      </c>
      <c r="B432" s="2" t="s">
        <v>26</v>
      </c>
      <c r="C432" s="3">
        <v>27</v>
      </c>
      <c r="D432" s="2" t="s">
        <v>38</v>
      </c>
      <c r="E432" s="2" t="s">
        <v>49</v>
      </c>
      <c r="F432" s="2" t="s">
        <v>19</v>
      </c>
      <c r="G432" t="s">
        <v>28</v>
      </c>
      <c r="H432" t="s">
        <v>314</v>
      </c>
      <c r="I432" s="4">
        <v>508.31</v>
      </c>
      <c r="J432" s="3">
        <v>4</v>
      </c>
      <c r="K432" s="1">
        <v>45401</v>
      </c>
      <c r="L432" s="1" t="str">
        <f>TEXT(Table1[[#This Row],[Purchase_Date]],"YYYY")</f>
        <v>2024</v>
      </c>
      <c r="M432" s="1" t="str">
        <f>TEXT(Table1[[#This Row],[Purchase_Date]],"MMM")</f>
        <v>Apr</v>
      </c>
      <c r="N432" s="1" t="str">
        <f>TEXT(Table1[[#This Row],[Purchase_Date]],"DD")</f>
        <v>19</v>
      </c>
      <c r="O432" s="2" t="s">
        <v>30</v>
      </c>
      <c r="P432" s="3">
        <v>6</v>
      </c>
      <c r="Q432" s="2" t="s">
        <v>46</v>
      </c>
      <c r="R432" s="2" t="s">
        <v>47</v>
      </c>
      <c r="S432">
        <f>Table1[[#This Row],[Purchase_Amount]]*Table1[[#This Row],[Quantity]]</f>
        <v>2033.24</v>
      </c>
      <c r="T432" t="str">
        <f>IF(Table1[[#This Row],[Age]]&lt;25,"&lt;25",IF(Table1[[#This Row],[Age]]&lt;=35,"25-35",IF(Table1[[#This Row],[Age]]&lt;=50,"36-50","50+")))</f>
        <v>25-35</v>
      </c>
    </row>
    <row r="433" spans="1:20" x14ac:dyDescent="0.3">
      <c r="A433" s="2" t="s">
        <v>1210</v>
      </c>
      <c r="B433" s="2" t="s">
        <v>26</v>
      </c>
      <c r="C433" s="3">
        <v>28</v>
      </c>
      <c r="D433" s="2" t="s">
        <v>32</v>
      </c>
      <c r="E433" s="2" t="s">
        <v>49</v>
      </c>
      <c r="F433" s="2" t="s">
        <v>27</v>
      </c>
      <c r="G433" t="s">
        <v>28</v>
      </c>
      <c r="H433" t="s">
        <v>418</v>
      </c>
      <c r="I433" s="4">
        <v>591.91999999999996</v>
      </c>
      <c r="J433" s="3">
        <v>2</v>
      </c>
      <c r="K433" s="1">
        <v>45481</v>
      </c>
      <c r="L433" s="1" t="str">
        <f>TEXT(Table1[[#This Row],[Purchase_Date]],"YYYY")</f>
        <v>2024</v>
      </c>
      <c r="M433" s="1" t="str">
        <f>TEXT(Table1[[#This Row],[Purchase_Date]],"MMM")</f>
        <v>Jul</v>
      </c>
      <c r="N433" s="1" t="str">
        <f>TEXT(Table1[[#This Row],[Purchase_Date]],"DD")</f>
        <v>08</v>
      </c>
      <c r="O433" s="2" t="s">
        <v>41</v>
      </c>
      <c r="P433" s="3">
        <v>10</v>
      </c>
      <c r="Q433" s="2" t="s">
        <v>23</v>
      </c>
      <c r="R433" s="2" t="s">
        <v>24</v>
      </c>
      <c r="S433">
        <f>Table1[[#This Row],[Purchase_Amount]]*Table1[[#This Row],[Quantity]]</f>
        <v>1183.8399999999999</v>
      </c>
      <c r="T433" t="str">
        <f>IF(Table1[[#This Row],[Age]]&lt;25,"&lt;25",IF(Table1[[#This Row],[Age]]&lt;=35,"25-35",IF(Table1[[#This Row],[Age]]&lt;=50,"36-50","50+")))</f>
        <v>25-35</v>
      </c>
    </row>
    <row r="434" spans="1:20" x14ac:dyDescent="0.3">
      <c r="A434" s="2" t="s">
        <v>392</v>
      </c>
      <c r="B434" s="2" t="s">
        <v>26</v>
      </c>
      <c r="C434" s="3">
        <v>29</v>
      </c>
      <c r="D434" s="2" t="s">
        <v>60</v>
      </c>
      <c r="E434" s="2" t="s">
        <v>49</v>
      </c>
      <c r="F434" s="2" t="s">
        <v>27</v>
      </c>
      <c r="G434" t="s">
        <v>28</v>
      </c>
      <c r="H434" t="s">
        <v>330</v>
      </c>
      <c r="I434" s="4">
        <v>188.36</v>
      </c>
      <c r="J434" s="3">
        <v>5</v>
      </c>
      <c r="K434" s="1">
        <v>44973</v>
      </c>
      <c r="L434" s="1" t="str">
        <f>TEXT(Table1[[#This Row],[Purchase_Date]],"YYYY")</f>
        <v>2023</v>
      </c>
      <c r="M434" s="1" t="str">
        <f>TEXT(Table1[[#This Row],[Purchase_Date]],"MMM")</f>
        <v>Feb</v>
      </c>
      <c r="N434" s="1" t="str">
        <f>TEXT(Table1[[#This Row],[Purchase_Date]],"DD")</f>
        <v>16</v>
      </c>
      <c r="O434" s="2" t="s">
        <v>41</v>
      </c>
      <c r="P434" s="3">
        <v>10</v>
      </c>
      <c r="Q434" s="2" t="s">
        <v>23</v>
      </c>
      <c r="R434" s="2" t="s">
        <v>47</v>
      </c>
      <c r="S434">
        <f>Table1[[#This Row],[Purchase_Amount]]*Table1[[#This Row],[Quantity]]</f>
        <v>941.80000000000007</v>
      </c>
      <c r="T434" t="str">
        <f>IF(Table1[[#This Row],[Age]]&lt;25,"&lt;25",IF(Table1[[#This Row],[Age]]&lt;=35,"25-35",IF(Table1[[#This Row],[Age]]&lt;=50,"36-50","50+")))</f>
        <v>25-35</v>
      </c>
    </row>
    <row r="435" spans="1:20" x14ac:dyDescent="0.3">
      <c r="A435" s="2" t="s">
        <v>640</v>
      </c>
      <c r="B435" s="2" t="s">
        <v>26</v>
      </c>
      <c r="C435" s="3">
        <v>31</v>
      </c>
      <c r="D435" s="2" t="s">
        <v>32</v>
      </c>
      <c r="E435" s="2" t="s">
        <v>18</v>
      </c>
      <c r="F435" s="2" t="s">
        <v>44</v>
      </c>
      <c r="G435" t="s">
        <v>28</v>
      </c>
      <c r="H435" t="s">
        <v>117</v>
      </c>
      <c r="I435" s="4">
        <v>126.79</v>
      </c>
      <c r="J435" s="3">
        <v>5</v>
      </c>
      <c r="K435" s="1">
        <v>45335</v>
      </c>
      <c r="L435" s="1" t="str">
        <f>TEXT(Table1[[#This Row],[Purchase_Date]],"YYYY")</f>
        <v>2024</v>
      </c>
      <c r="M435" s="1" t="str">
        <f>TEXT(Table1[[#This Row],[Purchase_Date]],"MMM")</f>
        <v>Feb</v>
      </c>
      <c r="N435" s="1" t="str">
        <f>TEXT(Table1[[#This Row],[Purchase_Date]],"DD")</f>
        <v>13</v>
      </c>
      <c r="O435" s="2" t="s">
        <v>22</v>
      </c>
      <c r="P435" s="3">
        <v>2</v>
      </c>
      <c r="Q435" s="2" t="s">
        <v>46</v>
      </c>
      <c r="R435" s="2" t="s">
        <v>24</v>
      </c>
      <c r="S435">
        <f>Table1[[#This Row],[Purchase_Amount]]*Table1[[#This Row],[Quantity]]</f>
        <v>633.95000000000005</v>
      </c>
      <c r="T435" t="str">
        <f>IF(Table1[[#This Row],[Age]]&lt;25,"&lt;25",IF(Table1[[#This Row],[Age]]&lt;=35,"25-35",IF(Table1[[#This Row],[Age]]&lt;=50,"36-50","50+")))</f>
        <v>25-35</v>
      </c>
    </row>
    <row r="436" spans="1:20" x14ac:dyDescent="0.3">
      <c r="A436" s="2" t="s">
        <v>1134</v>
      </c>
      <c r="B436" s="2" t="s">
        <v>26</v>
      </c>
      <c r="C436" s="3">
        <v>32</v>
      </c>
      <c r="D436" s="2" t="s">
        <v>38</v>
      </c>
      <c r="E436" s="2" t="s">
        <v>33</v>
      </c>
      <c r="F436" s="2" t="s">
        <v>44</v>
      </c>
      <c r="G436" t="s">
        <v>28</v>
      </c>
      <c r="H436" t="s">
        <v>58</v>
      </c>
      <c r="I436" s="4">
        <v>347.55</v>
      </c>
      <c r="J436" s="3">
        <v>4</v>
      </c>
      <c r="K436" s="1">
        <v>45183</v>
      </c>
      <c r="L436" s="1" t="str">
        <f>TEXT(Table1[[#This Row],[Purchase_Date]],"YYYY")</f>
        <v>2023</v>
      </c>
      <c r="M436" s="1" t="str">
        <f>TEXT(Table1[[#This Row],[Purchase_Date]],"MMM")</f>
        <v>Sep</v>
      </c>
      <c r="N436" s="1" t="str">
        <f>TEXT(Table1[[#This Row],[Purchase_Date]],"DD")</f>
        <v>14</v>
      </c>
      <c r="O436" s="2" t="s">
        <v>41</v>
      </c>
      <c r="P436" s="3">
        <v>10</v>
      </c>
      <c r="Q436" s="2" t="s">
        <v>46</v>
      </c>
      <c r="R436" s="2" t="s">
        <v>47</v>
      </c>
      <c r="S436">
        <f>Table1[[#This Row],[Purchase_Amount]]*Table1[[#This Row],[Quantity]]</f>
        <v>1390.2</v>
      </c>
      <c r="T436" t="str">
        <f>IF(Table1[[#This Row],[Age]]&lt;25,"&lt;25",IF(Table1[[#This Row],[Age]]&lt;=35,"25-35",IF(Table1[[#This Row],[Age]]&lt;=50,"36-50","50+")))</f>
        <v>25-35</v>
      </c>
    </row>
    <row r="437" spans="1:20" x14ac:dyDescent="0.3">
      <c r="A437" s="2" t="s">
        <v>1173</v>
      </c>
      <c r="B437" s="2" t="s">
        <v>26</v>
      </c>
      <c r="C437" s="3">
        <v>33</v>
      </c>
      <c r="D437" s="2" t="s">
        <v>64</v>
      </c>
      <c r="E437" s="2" t="s">
        <v>18</v>
      </c>
      <c r="F437" s="2" t="s">
        <v>44</v>
      </c>
      <c r="G437" t="s">
        <v>28</v>
      </c>
      <c r="H437" t="s">
        <v>312</v>
      </c>
      <c r="I437" s="4">
        <v>718.17</v>
      </c>
      <c r="J437" s="3">
        <v>3</v>
      </c>
      <c r="K437" s="1">
        <v>45247</v>
      </c>
      <c r="L437" s="1" t="str">
        <f>TEXT(Table1[[#This Row],[Purchase_Date]],"YYYY")</f>
        <v>2023</v>
      </c>
      <c r="M437" s="1" t="str">
        <f>TEXT(Table1[[#This Row],[Purchase_Date]],"MMM")</f>
        <v>Nov</v>
      </c>
      <c r="N437" s="1" t="str">
        <f>TEXT(Table1[[#This Row],[Purchase_Date]],"DD")</f>
        <v>17</v>
      </c>
      <c r="O437" s="2" t="s">
        <v>36</v>
      </c>
      <c r="P437" s="3">
        <v>3</v>
      </c>
      <c r="Q437" s="2" t="s">
        <v>46</v>
      </c>
      <c r="R437" s="2" t="s">
        <v>24</v>
      </c>
      <c r="S437">
        <f>Table1[[#This Row],[Purchase_Amount]]*Table1[[#This Row],[Quantity]]</f>
        <v>2154.5099999999998</v>
      </c>
      <c r="T437" t="str">
        <f>IF(Table1[[#This Row],[Age]]&lt;25,"&lt;25",IF(Table1[[#This Row],[Age]]&lt;=35,"25-35",IF(Table1[[#This Row],[Age]]&lt;=50,"36-50","50+")))</f>
        <v>25-35</v>
      </c>
    </row>
    <row r="438" spans="1:20" x14ac:dyDescent="0.3">
      <c r="A438" s="2" t="s">
        <v>851</v>
      </c>
      <c r="B438" s="2" t="s">
        <v>26</v>
      </c>
      <c r="C438" s="3">
        <v>35</v>
      </c>
      <c r="D438" s="2" t="s">
        <v>43</v>
      </c>
      <c r="E438" s="2" t="s">
        <v>49</v>
      </c>
      <c r="F438" s="2" t="s">
        <v>19</v>
      </c>
      <c r="G438" t="s">
        <v>28</v>
      </c>
      <c r="H438" t="s">
        <v>171</v>
      </c>
      <c r="I438" s="4">
        <v>59.67</v>
      </c>
      <c r="J438" s="3">
        <v>5</v>
      </c>
      <c r="K438" s="1">
        <v>45032</v>
      </c>
      <c r="L438" s="1" t="str">
        <f>TEXT(Table1[[#This Row],[Purchase_Date]],"YYYY")</f>
        <v>2023</v>
      </c>
      <c r="M438" s="1" t="str">
        <f>TEXT(Table1[[#This Row],[Purchase_Date]],"MMM")</f>
        <v>Apr</v>
      </c>
      <c r="N438" s="1" t="str">
        <f>TEXT(Table1[[#This Row],[Purchase_Date]],"DD")</f>
        <v>16</v>
      </c>
      <c r="O438" s="2" t="s">
        <v>41</v>
      </c>
      <c r="P438" s="3">
        <v>1</v>
      </c>
      <c r="Q438" s="2" t="s">
        <v>46</v>
      </c>
      <c r="R438" s="2" t="s">
        <v>24</v>
      </c>
      <c r="S438">
        <f>Table1[[#This Row],[Purchase_Amount]]*Table1[[#This Row],[Quantity]]</f>
        <v>298.35000000000002</v>
      </c>
      <c r="T438" t="str">
        <f>IF(Table1[[#This Row],[Age]]&lt;25,"&lt;25",IF(Table1[[#This Row],[Age]]&lt;=35,"25-35",IF(Table1[[#This Row],[Age]]&lt;=50,"36-50","50+")))</f>
        <v>25-35</v>
      </c>
    </row>
    <row r="439" spans="1:20" x14ac:dyDescent="0.3">
      <c r="A439" s="2" t="s">
        <v>483</v>
      </c>
      <c r="B439" s="2" t="s">
        <v>26</v>
      </c>
      <c r="C439" s="3">
        <v>37</v>
      </c>
      <c r="D439" s="2" t="s">
        <v>109</v>
      </c>
      <c r="E439" s="2" t="s">
        <v>18</v>
      </c>
      <c r="F439" s="2" t="s">
        <v>44</v>
      </c>
      <c r="G439" t="s">
        <v>28</v>
      </c>
      <c r="H439" t="s">
        <v>136</v>
      </c>
      <c r="I439" s="4">
        <v>194.56</v>
      </c>
      <c r="J439" s="3">
        <v>1</v>
      </c>
      <c r="K439" s="1">
        <v>45052</v>
      </c>
      <c r="L439" s="1" t="str">
        <f>TEXT(Table1[[#This Row],[Purchase_Date]],"YYYY")</f>
        <v>2023</v>
      </c>
      <c r="M439" s="1" t="str">
        <f>TEXT(Table1[[#This Row],[Purchase_Date]],"MMM")</f>
        <v>May</v>
      </c>
      <c r="N439" s="1" t="str">
        <f>TEXT(Table1[[#This Row],[Purchase_Date]],"DD")</f>
        <v>06</v>
      </c>
      <c r="O439" s="2" t="s">
        <v>30</v>
      </c>
      <c r="P439" s="3">
        <v>2</v>
      </c>
      <c r="Q439" s="2" t="s">
        <v>23</v>
      </c>
      <c r="R439" s="2" t="s">
        <v>24</v>
      </c>
      <c r="S439">
        <f>Table1[[#This Row],[Purchase_Amount]]*Table1[[#This Row],[Quantity]]</f>
        <v>194.56</v>
      </c>
      <c r="T439" t="str">
        <f>IF(Table1[[#This Row],[Age]]&lt;25,"&lt;25",IF(Table1[[#This Row],[Age]]&lt;=35,"25-35",IF(Table1[[#This Row],[Age]]&lt;=50,"36-50","50+")))</f>
        <v>36-50</v>
      </c>
    </row>
    <row r="440" spans="1:20" x14ac:dyDescent="0.3">
      <c r="A440" s="2" t="s">
        <v>472</v>
      </c>
      <c r="B440" s="2" t="s">
        <v>26</v>
      </c>
      <c r="C440" s="3">
        <v>39</v>
      </c>
      <c r="D440" s="2" t="s">
        <v>109</v>
      </c>
      <c r="E440" s="2" t="s">
        <v>49</v>
      </c>
      <c r="F440" s="2" t="s">
        <v>44</v>
      </c>
      <c r="G440" t="s">
        <v>28</v>
      </c>
      <c r="H440" t="s">
        <v>291</v>
      </c>
      <c r="I440" s="4">
        <v>401.1</v>
      </c>
      <c r="J440" s="3">
        <v>3</v>
      </c>
      <c r="K440" s="1">
        <v>45024</v>
      </c>
      <c r="L440" s="1" t="str">
        <f>TEXT(Table1[[#This Row],[Purchase_Date]],"YYYY")</f>
        <v>2023</v>
      </c>
      <c r="M440" s="1" t="str">
        <f>TEXT(Table1[[#This Row],[Purchase_Date]],"MMM")</f>
        <v>Apr</v>
      </c>
      <c r="N440" s="1" t="str">
        <f>TEXT(Table1[[#This Row],[Purchase_Date]],"DD")</f>
        <v>08</v>
      </c>
      <c r="O440" s="2" t="s">
        <v>41</v>
      </c>
      <c r="P440" s="3">
        <v>3</v>
      </c>
      <c r="Q440" s="2" t="s">
        <v>46</v>
      </c>
      <c r="R440" s="2" t="s">
        <v>24</v>
      </c>
      <c r="S440">
        <f>Table1[[#This Row],[Purchase_Amount]]*Table1[[#This Row],[Quantity]]</f>
        <v>1203.3000000000002</v>
      </c>
      <c r="T440" t="str">
        <f>IF(Table1[[#This Row],[Age]]&lt;25,"&lt;25",IF(Table1[[#This Row],[Age]]&lt;=35,"25-35",IF(Table1[[#This Row],[Age]]&lt;=50,"36-50","50+")))</f>
        <v>36-50</v>
      </c>
    </row>
    <row r="441" spans="1:20" x14ac:dyDescent="0.3">
      <c r="A441" s="2" t="s">
        <v>203</v>
      </c>
      <c r="B441" s="2" t="s">
        <v>26</v>
      </c>
      <c r="C441" s="3">
        <v>39</v>
      </c>
      <c r="D441" s="2" t="s">
        <v>17</v>
      </c>
      <c r="E441" s="2" t="s">
        <v>49</v>
      </c>
      <c r="F441" s="2" t="s">
        <v>27</v>
      </c>
      <c r="G441" t="s">
        <v>28</v>
      </c>
      <c r="H441" t="s">
        <v>160</v>
      </c>
      <c r="I441" s="4">
        <v>988.95</v>
      </c>
      <c r="J441" s="3">
        <v>5</v>
      </c>
      <c r="K441" s="1">
        <v>45091</v>
      </c>
      <c r="L441" s="1" t="str">
        <f>TEXT(Table1[[#This Row],[Purchase_Date]],"YYYY")</f>
        <v>2023</v>
      </c>
      <c r="M441" s="1" t="str">
        <f>TEXT(Table1[[#This Row],[Purchase_Date]],"MMM")</f>
        <v>Jun</v>
      </c>
      <c r="N441" s="1" t="str">
        <f>TEXT(Table1[[#This Row],[Purchase_Date]],"DD")</f>
        <v>14</v>
      </c>
      <c r="O441" s="2" t="s">
        <v>41</v>
      </c>
      <c r="P441" s="3">
        <v>2</v>
      </c>
      <c r="Q441" s="2" t="s">
        <v>23</v>
      </c>
      <c r="R441" s="2" t="s">
        <v>24</v>
      </c>
      <c r="S441">
        <f>Table1[[#This Row],[Purchase_Amount]]*Table1[[#This Row],[Quantity]]</f>
        <v>4944.75</v>
      </c>
      <c r="T441" t="str">
        <f>IF(Table1[[#This Row],[Age]]&lt;25,"&lt;25",IF(Table1[[#This Row],[Age]]&lt;=35,"25-35",IF(Table1[[#This Row],[Age]]&lt;=50,"36-50","50+")))</f>
        <v>36-50</v>
      </c>
    </row>
    <row r="442" spans="1:20" x14ac:dyDescent="0.3">
      <c r="A442" s="2" t="s">
        <v>657</v>
      </c>
      <c r="B442" s="2" t="s">
        <v>26</v>
      </c>
      <c r="C442" s="3">
        <v>40</v>
      </c>
      <c r="D442" s="2" t="s">
        <v>64</v>
      </c>
      <c r="E442" s="2" t="s">
        <v>49</v>
      </c>
      <c r="F442" s="2" t="s">
        <v>27</v>
      </c>
      <c r="G442" t="s">
        <v>28</v>
      </c>
      <c r="H442" t="s">
        <v>221</v>
      </c>
      <c r="I442" s="4">
        <v>966.61</v>
      </c>
      <c r="J442" s="3">
        <v>1</v>
      </c>
      <c r="K442" s="1">
        <v>45407</v>
      </c>
      <c r="L442" s="1" t="str">
        <f>TEXT(Table1[[#This Row],[Purchase_Date]],"YYYY")</f>
        <v>2024</v>
      </c>
      <c r="M442" s="1" t="str">
        <f>TEXT(Table1[[#This Row],[Purchase_Date]],"MMM")</f>
        <v>Apr</v>
      </c>
      <c r="N442" s="1" t="str">
        <f>TEXT(Table1[[#This Row],[Purchase_Date]],"DD")</f>
        <v>25</v>
      </c>
      <c r="O442" s="2" t="s">
        <v>30</v>
      </c>
      <c r="P442" s="3">
        <v>9</v>
      </c>
      <c r="Q442" s="2" t="s">
        <v>46</v>
      </c>
      <c r="R442" s="2" t="s">
        <v>47</v>
      </c>
      <c r="S442">
        <f>Table1[[#This Row],[Purchase_Amount]]*Table1[[#This Row],[Quantity]]</f>
        <v>966.61</v>
      </c>
      <c r="T442" t="str">
        <f>IF(Table1[[#This Row],[Age]]&lt;25,"&lt;25",IF(Table1[[#This Row],[Age]]&lt;=35,"25-35",IF(Table1[[#This Row],[Age]]&lt;=50,"36-50","50+")))</f>
        <v>36-50</v>
      </c>
    </row>
    <row r="443" spans="1:20" x14ac:dyDescent="0.3">
      <c r="A443" s="2" t="s">
        <v>329</v>
      </c>
      <c r="B443" s="2" t="s">
        <v>26</v>
      </c>
      <c r="C443" s="3">
        <v>41</v>
      </c>
      <c r="D443" s="2" t="s">
        <v>17</v>
      </c>
      <c r="E443" s="2" t="s">
        <v>49</v>
      </c>
      <c r="F443" s="2" t="s">
        <v>27</v>
      </c>
      <c r="G443" t="s">
        <v>28</v>
      </c>
      <c r="H443" t="s">
        <v>330</v>
      </c>
      <c r="I443" s="4">
        <v>281.25</v>
      </c>
      <c r="J443" s="3">
        <v>4</v>
      </c>
      <c r="K443" s="1">
        <v>45548</v>
      </c>
      <c r="L443" s="1" t="str">
        <f>TEXT(Table1[[#This Row],[Purchase_Date]],"YYYY")</f>
        <v>2024</v>
      </c>
      <c r="M443" s="1" t="str">
        <f>TEXT(Table1[[#This Row],[Purchase_Date]],"MMM")</f>
        <v>Sep</v>
      </c>
      <c r="N443" s="1" t="str">
        <f>TEXT(Table1[[#This Row],[Purchase_Date]],"DD")</f>
        <v>13</v>
      </c>
      <c r="O443" s="2" t="s">
        <v>36</v>
      </c>
      <c r="P443" s="3">
        <v>7</v>
      </c>
      <c r="Q443" s="2" t="s">
        <v>23</v>
      </c>
      <c r="R443" s="2" t="s">
        <v>24</v>
      </c>
      <c r="S443">
        <f>Table1[[#This Row],[Purchase_Amount]]*Table1[[#This Row],[Quantity]]</f>
        <v>1125</v>
      </c>
      <c r="T443" t="str">
        <f>IF(Table1[[#This Row],[Age]]&lt;25,"&lt;25",IF(Table1[[#This Row],[Age]]&lt;=35,"25-35",IF(Table1[[#This Row],[Age]]&lt;=50,"36-50","50+")))</f>
        <v>36-50</v>
      </c>
    </row>
    <row r="444" spans="1:20" x14ac:dyDescent="0.3">
      <c r="A444" s="2" t="s">
        <v>830</v>
      </c>
      <c r="B444" s="2" t="s">
        <v>26</v>
      </c>
      <c r="C444" s="3">
        <v>41</v>
      </c>
      <c r="D444" s="2" t="s">
        <v>32</v>
      </c>
      <c r="E444" s="2" t="s">
        <v>18</v>
      </c>
      <c r="F444" s="2" t="s">
        <v>27</v>
      </c>
      <c r="G444" t="s">
        <v>28</v>
      </c>
      <c r="H444" t="s">
        <v>215</v>
      </c>
      <c r="I444" s="4">
        <v>474.71</v>
      </c>
      <c r="J444" s="3">
        <v>5</v>
      </c>
      <c r="K444" s="1">
        <v>45250</v>
      </c>
      <c r="L444" s="1" t="str">
        <f>TEXT(Table1[[#This Row],[Purchase_Date]],"YYYY")</f>
        <v>2023</v>
      </c>
      <c r="M444" s="1" t="str">
        <f>TEXT(Table1[[#This Row],[Purchase_Date]],"MMM")</f>
        <v>Nov</v>
      </c>
      <c r="N444" s="1" t="str">
        <f>TEXT(Table1[[#This Row],[Purchase_Date]],"DD")</f>
        <v>20</v>
      </c>
      <c r="O444" s="2" t="s">
        <v>36</v>
      </c>
      <c r="P444" s="3">
        <v>5</v>
      </c>
      <c r="Q444" s="2" t="s">
        <v>23</v>
      </c>
      <c r="R444" s="2" t="s">
        <v>24</v>
      </c>
      <c r="S444">
        <f>Table1[[#This Row],[Purchase_Amount]]*Table1[[#This Row],[Quantity]]</f>
        <v>2373.5499999999997</v>
      </c>
      <c r="T444" t="str">
        <f>IF(Table1[[#This Row],[Age]]&lt;25,"&lt;25",IF(Table1[[#This Row],[Age]]&lt;=35,"25-35",IF(Table1[[#This Row],[Age]]&lt;=50,"36-50","50+")))</f>
        <v>36-50</v>
      </c>
    </row>
    <row r="445" spans="1:20" x14ac:dyDescent="0.3">
      <c r="A445" s="2" t="s">
        <v>920</v>
      </c>
      <c r="B445" s="2" t="s">
        <v>26</v>
      </c>
      <c r="C445" s="3">
        <v>42</v>
      </c>
      <c r="D445" s="2" t="s">
        <v>32</v>
      </c>
      <c r="E445" s="2" t="s">
        <v>49</v>
      </c>
      <c r="F445" s="2" t="s">
        <v>19</v>
      </c>
      <c r="G445" t="s">
        <v>28</v>
      </c>
      <c r="H445" t="s">
        <v>371</v>
      </c>
      <c r="I445" s="4">
        <v>294.64</v>
      </c>
      <c r="J445" s="3">
        <v>3</v>
      </c>
      <c r="K445" s="1">
        <v>45083</v>
      </c>
      <c r="L445" s="1" t="str">
        <f>TEXT(Table1[[#This Row],[Purchase_Date]],"YYYY")</f>
        <v>2023</v>
      </c>
      <c r="M445" s="1" t="str">
        <f>TEXT(Table1[[#This Row],[Purchase_Date]],"MMM")</f>
        <v>Jun</v>
      </c>
      <c r="N445" s="1" t="str">
        <f>TEXT(Table1[[#This Row],[Purchase_Date]],"DD")</f>
        <v>06</v>
      </c>
      <c r="O445" s="2" t="s">
        <v>41</v>
      </c>
      <c r="P445" s="3">
        <v>10</v>
      </c>
      <c r="Q445" s="2" t="s">
        <v>46</v>
      </c>
      <c r="R445" s="2" t="s">
        <v>47</v>
      </c>
      <c r="S445">
        <f>Table1[[#This Row],[Purchase_Amount]]*Table1[[#This Row],[Quantity]]</f>
        <v>883.92</v>
      </c>
      <c r="T445" t="str">
        <f>IF(Table1[[#This Row],[Age]]&lt;25,"&lt;25",IF(Table1[[#This Row],[Age]]&lt;=35,"25-35",IF(Table1[[#This Row],[Age]]&lt;=50,"36-50","50+")))</f>
        <v>36-50</v>
      </c>
    </row>
    <row r="446" spans="1:20" x14ac:dyDescent="0.3">
      <c r="A446" s="2" t="s">
        <v>1028</v>
      </c>
      <c r="B446" s="2" t="s">
        <v>26</v>
      </c>
      <c r="C446" s="3">
        <v>42</v>
      </c>
      <c r="D446" s="2" t="s">
        <v>38</v>
      </c>
      <c r="E446" s="2" t="s">
        <v>49</v>
      </c>
      <c r="F446" s="2" t="s">
        <v>27</v>
      </c>
      <c r="G446" t="s">
        <v>28</v>
      </c>
      <c r="H446" t="s">
        <v>961</v>
      </c>
      <c r="I446" s="4">
        <v>397.01</v>
      </c>
      <c r="J446" s="3">
        <v>3</v>
      </c>
      <c r="K446" s="1">
        <v>45131</v>
      </c>
      <c r="L446" s="1" t="str">
        <f>TEXT(Table1[[#This Row],[Purchase_Date]],"YYYY")</f>
        <v>2023</v>
      </c>
      <c r="M446" s="1" t="str">
        <f>TEXT(Table1[[#This Row],[Purchase_Date]],"MMM")</f>
        <v>Jul</v>
      </c>
      <c r="N446" s="1" t="str">
        <f>TEXT(Table1[[#This Row],[Purchase_Date]],"DD")</f>
        <v>24</v>
      </c>
      <c r="O446" s="2" t="s">
        <v>22</v>
      </c>
      <c r="P446" s="3">
        <v>2</v>
      </c>
      <c r="Q446" s="2" t="s">
        <v>23</v>
      </c>
      <c r="R446" s="2" t="s">
        <v>47</v>
      </c>
      <c r="S446">
        <f>Table1[[#This Row],[Purchase_Amount]]*Table1[[#This Row],[Quantity]]</f>
        <v>1191.03</v>
      </c>
      <c r="T446" t="str">
        <f>IF(Table1[[#This Row],[Age]]&lt;25,"&lt;25",IF(Table1[[#This Row],[Age]]&lt;=35,"25-35",IF(Table1[[#This Row],[Age]]&lt;=50,"36-50","50+")))</f>
        <v>36-50</v>
      </c>
    </row>
    <row r="447" spans="1:20" x14ac:dyDescent="0.3">
      <c r="A447" s="2" t="s">
        <v>682</v>
      </c>
      <c r="B447" s="2" t="s">
        <v>26</v>
      </c>
      <c r="C447" s="3">
        <v>44</v>
      </c>
      <c r="D447" s="2" t="s">
        <v>109</v>
      </c>
      <c r="E447" s="2" t="s">
        <v>33</v>
      </c>
      <c r="F447" s="2" t="s">
        <v>27</v>
      </c>
      <c r="G447" t="s">
        <v>28</v>
      </c>
      <c r="H447" t="s">
        <v>683</v>
      </c>
      <c r="I447" s="4">
        <v>108.58</v>
      </c>
      <c r="J447" s="3">
        <v>4</v>
      </c>
      <c r="K447" s="1">
        <v>45326</v>
      </c>
      <c r="L447" s="1" t="str">
        <f>TEXT(Table1[[#This Row],[Purchase_Date]],"YYYY")</f>
        <v>2024</v>
      </c>
      <c r="M447" s="1" t="str">
        <f>TEXT(Table1[[#This Row],[Purchase_Date]],"MMM")</f>
        <v>Feb</v>
      </c>
      <c r="N447" s="1" t="str">
        <f>TEXT(Table1[[#This Row],[Purchase_Date]],"DD")</f>
        <v>04</v>
      </c>
      <c r="O447" s="2" t="s">
        <v>36</v>
      </c>
      <c r="P447" s="3">
        <v>1</v>
      </c>
      <c r="Q447" s="2" t="s">
        <v>23</v>
      </c>
      <c r="R447" s="2" t="s">
        <v>24</v>
      </c>
      <c r="S447">
        <f>Table1[[#This Row],[Purchase_Amount]]*Table1[[#This Row],[Quantity]]</f>
        <v>434.32</v>
      </c>
      <c r="T447" t="str">
        <f>IF(Table1[[#This Row],[Age]]&lt;25,"&lt;25",IF(Table1[[#This Row],[Age]]&lt;=35,"25-35",IF(Table1[[#This Row],[Age]]&lt;=50,"36-50","50+")))</f>
        <v>36-50</v>
      </c>
    </row>
    <row r="448" spans="1:20" x14ac:dyDescent="0.3">
      <c r="A448" s="2" t="s">
        <v>1092</v>
      </c>
      <c r="B448" s="2" t="s">
        <v>26</v>
      </c>
      <c r="C448" s="3">
        <v>44</v>
      </c>
      <c r="D448" s="2" t="s">
        <v>64</v>
      </c>
      <c r="E448" s="2" t="s">
        <v>33</v>
      </c>
      <c r="F448" s="2" t="s">
        <v>27</v>
      </c>
      <c r="G448" t="s">
        <v>28</v>
      </c>
      <c r="H448" t="s">
        <v>441</v>
      </c>
      <c r="I448" s="4">
        <v>647.47</v>
      </c>
      <c r="J448" s="3">
        <v>5</v>
      </c>
      <c r="K448" s="1">
        <v>45375</v>
      </c>
      <c r="L448" s="1" t="str">
        <f>TEXT(Table1[[#This Row],[Purchase_Date]],"YYYY")</f>
        <v>2024</v>
      </c>
      <c r="M448" s="1" t="str">
        <f>TEXT(Table1[[#This Row],[Purchase_Date]],"MMM")</f>
        <v>Mar</v>
      </c>
      <c r="N448" s="1" t="str">
        <f>TEXT(Table1[[#This Row],[Purchase_Date]],"DD")</f>
        <v>24</v>
      </c>
      <c r="O448" s="2" t="s">
        <v>30</v>
      </c>
      <c r="P448" s="3">
        <v>2</v>
      </c>
      <c r="Q448" s="2" t="s">
        <v>23</v>
      </c>
      <c r="R448" s="2" t="s">
        <v>24</v>
      </c>
      <c r="S448">
        <f>Table1[[#This Row],[Purchase_Amount]]*Table1[[#This Row],[Quantity]]</f>
        <v>3237.3500000000004</v>
      </c>
      <c r="T448" t="str">
        <f>IF(Table1[[#This Row],[Age]]&lt;25,"&lt;25",IF(Table1[[#This Row],[Age]]&lt;=35,"25-35",IF(Table1[[#This Row],[Age]]&lt;=50,"36-50","50+")))</f>
        <v>36-50</v>
      </c>
    </row>
    <row r="449" spans="1:20" x14ac:dyDescent="0.3">
      <c r="A449" s="2" t="s">
        <v>552</v>
      </c>
      <c r="B449" s="2" t="s">
        <v>26</v>
      </c>
      <c r="C449" s="3">
        <v>46</v>
      </c>
      <c r="D449" s="2" t="s">
        <v>38</v>
      </c>
      <c r="E449" s="2" t="s">
        <v>18</v>
      </c>
      <c r="F449" s="2" t="s">
        <v>27</v>
      </c>
      <c r="G449" t="s">
        <v>28</v>
      </c>
      <c r="H449" t="s">
        <v>553</v>
      </c>
      <c r="I449" s="4">
        <v>219.63</v>
      </c>
      <c r="J449" s="3">
        <v>5</v>
      </c>
      <c r="K449" s="1">
        <v>44950</v>
      </c>
      <c r="L449" s="1" t="str">
        <f>TEXT(Table1[[#This Row],[Purchase_Date]],"YYYY")</f>
        <v>2023</v>
      </c>
      <c r="M449" s="1" t="str">
        <f>TEXT(Table1[[#This Row],[Purchase_Date]],"MMM")</f>
        <v>Jan</v>
      </c>
      <c r="N449" s="1" t="str">
        <f>TEXT(Table1[[#This Row],[Purchase_Date]],"DD")</f>
        <v>24</v>
      </c>
      <c r="O449" s="2" t="s">
        <v>41</v>
      </c>
      <c r="P449" s="3">
        <v>5</v>
      </c>
      <c r="Q449" s="2" t="s">
        <v>23</v>
      </c>
      <c r="R449" s="2" t="s">
        <v>24</v>
      </c>
      <c r="S449">
        <f>Table1[[#This Row],[Purchase_Amount]]*Table1[[#This Row],[Quantity]]</f>
        <v>1098.1500000000001</v>
      </c>
      <c r="T449" t="str">
        <f>IF(Table1[[#This Row],[Age]]&lt;25,"&lt;25",IF(Table1[[#This Row],[Age]]&lt;=35,"25-35",IF(Table1[[#This Row],[Age]]&lt;=50,"36-50","50+")))</f>
        <v>36-50</v>
      </c>
    </row>
    <row r="450" spans="1:20" x14ac:dyDescent="0.3">
      <c r="A450" s="2" t="s">
        <v>505</v>
      </c>
      <c r="B450" s="2" t="s">
        <v>26</v>
      </c>
      <c r="C450" s="3">
        <v>47</v>
      </c>
      <c r="D450" s="2" t="s">
        <v>38</v>
      </c>
      <c r="E450" s="2" t="s">
        <v>33</v>
      </c>
      <c r="F450" s="2" t="s">
        <v>44</v>
      </c>
      <c r="G450" t="s">
        <v>28</v>
      </c>
      <c r="H450" t="s">
        <v>89</v>
      </c>
      <c r="I450" s="4">
        <v>452.26</v>
      </c>
      <c r="J450" s="3">
        <v>4</v>
      </c>
      <c r="K450" s="1">
        <v>45198</v>
      </c>
      <c r="L450" s="1" t="str">
        <f>TEXT(Table1[[#This Row],[Purchase_Date]],"YYYY")</f>
        <v>2023</v>
      </c>
      <c r="M450" s="1" t="str">
        <f>TEXT(Table1[[#This Row],[Purchase_Date]],"MMM")</f>
        <v>Sep</v>
      </c>
      <c r="N450" s="1" t="str">
        <f>TEXT(Table1[[#This Row],[Purchase_Date]],"DD")</f>
        <v>29</v>
      </c>
      <c r="O450" s="2" t="s">
        <v>30</v>
      </c>
      <c r="P450" s="3">
        <v>8</v>
      </c>
      <c r="Q450" s="2" t="s">
        <v>46</v>
      </c>
      <c r="R450" s="2" t="s">
        <v>24</v>
      </c>
      <c r="S450">
        <f>Table1[[#This Row],[Purchase_Amount]]*Table1[[#This Row],[Quantity]]</f>
        <v>1809.04</v>
      </c>
      <c r="T450" t="str">
        <f>IF(Table1[[#This Row],[Age]]&lt;25,"&lt;25",IF(Table1[[#This Row],[Age]]&lt;=35,"25-35",IF(Table1[[#This Row],[Age]]&lt;=50,"36-50","50+")))</f>
        <v>36-50</v>
      </c>
    </row>
    <row r="451" spans="1:20" x14ac:dyDescent="0.3">
      <c r="A451" s="2" t="s">
        <v>1066</v>
      </c>
      <c r="B451" s="2" t="s">
        <v>26</v>
      </c>
      <c r="C451" s="3">
        <v>48</v>
      </c>
      <c r="D451" s="2" t="s">
        <v>43</v>
      </c>
      <c r="E451" s="2" t="s">
        <v>49</v>
      </c>
      <c r="F451" s="2" t="s">
        <v>19</v>
      </c>
      <c r="G451" t="s">
        <v>28</v>
      </c>
      <c r="H451" t="s">
        <v>563</v>
      </c>
      <c r="I451" s="4">
        <v>281.92</v>
      </c>
      <c r="J451" s="3">
        <v>5</v>
      </c>
      <c r="K451" s="1">
        <v>45500</v>
      </c>
      <c r="L451" s="1" t="str">
        <f>TEXT(Table1[[#This Row],[Purchase_Date]],"YYYY")</f>
        <v>2024</v>
      </c>
      <c r="M451" s="1" t="str">
        <f>TEXT(Table1[[#This Row],[Purchase_Date]],"MMM")</f>
        <v>Jul</v>
      </c>
      <c r="N451" s="1" t="str">
        <f>TEXT(Table1[[#This Row],[Purchase_Date]],"DD")</f>
        <v>27</v>
      </c>
      <c r="O451" s="2" t="s">
        <v>41</v>
      </c>
      <c r="P451" s="3">
        <v>3</v>
      </c>
      <c r="Q451" s="2" t="s">
        <v>23</v>
      </c>
      <c r="R451" s="2" t="s">
        <v>24</v>
      </c>
      <c r="S451">
        <f>Table1[[#This Row],[Purchase_Amount]]*Table1[[#This Row],[Quantity]]</f>
        <v>1409.6000000000001</v>
      </c>
      <c r="T451" t="str">
        <f>IF(Table1[[#This Row],[Age]]&lt;25,"&lt;25",IF(Table1[[#This Row],[Age]]&lt;=35,"25-35",IF(Table1[[#This Row],[Age]]&lt;=50,"36-50","50+")))</f>
        <v>36-50</v>
      </c>
    </row>
    <row r="452" spans="1:20" x14ac:dyDescent="0.3">
      <c r="A452" s="2" t="s">
        <v>829</v>
      </c>
      <c r="B452" s="2" t="s">
        <v>26</v>
      </c>
      <c r="C452" s="3">
        <v>48</v>
      </c>
      <c r="D452" s="2" t="s">
        <v>109</v>
      </c>
      <c r="E452" s="2" t="s">
        <v>18</v>
      </c>
      <c r="F452" s="2" t="s">
        <v>19</v>
      </c>
      <c r="G452" t="s">
        <v>28</v>
      </c>
      <c r="H452" t="s">
        <v>99</v>
      </c>
      <c r="I452" s="4">
        <v>297.97000000000003</v>
      </c>
      <c r="J452" s="3">
        <v>5</v>
      </c>
      <c r="K452" s="1">
        <v>45244</v>
      </c>
      <c r="L452" s="1" t="str">
        <f>TEXT(Table1[[#This Row],[Purchase_Date]],"YYYY")</f>
        <v>2023</v>
      </c>
      <c r="M452" s="1" t="str">
        <f>TEXT(Table1[[#This Row],[Purchase_Date]],"MMM")</f>
        <v>Nov</v>
      </c>
      <c r="N452" s="1" t="str">
        <f>TEXT(Table1[[#This Row],[Purchase_Date]],"DD")</f>
        <v>14</v>
      </c>
      <c r="O452" s="2" t="s">
        <v>22</v>
      </c>
      <c r="P452" s="3">
        <v>5</v>
      </c>
      <c r="Q452" s="2" t="s">
        <v>23</v>
      </c>
      <c r="R452" s="2" t="s">
        <v>24</v>
      </c>
      <c r="S452">
        <f>Table1[[#This Row],[Purchase_Amount]]*Table1[[#This Row],[Quantity]]</f>
        <v>1489.8500000000001</v>
      </c>
      <c r="T452" t="str">
        <f>IF(Table1[[#This Row],[Age]]&lt;25,"&lt;25",IF(Table1[[#This Row],[Age]]&lt;=35,"25-35",IF(Table1[[#This Row],[Age]]&lt;=50,"36-50","50+")))</f>
        <v>36-50</v>
      </c>
    </row>
    <row r="453" spans="1:20" x14ac:dyDescent="0.3">
      <c r="A453" s="2" t="s">
        <v>1038</v>
      </c>
      <c r="B453" s="2" t="s">
        <v>26</v>
      </c>
      <c r="C453" s="3">
        <v>48</v>
      </c>
      <c r="D453" s="2" t="s">
        <v>32</v>
      </c>
      <c r="E453" s="2" t="s">
        <v>33</v>
      </c>
      <c r="F453" s="2" t="s">
        <v>27</v>
      </c>
      <c r="G453" t="s">
        <v>28</v>
      </c>
      <c r="H453" t="s">
        <v>289</v>
      </c>
      <c r="I453" s="4">
        <v>859.74</v>
      </c>
      <c r="J453" s="3">
        <v>2</v>
      </c>
      <c r="K453" s="1">
        <v>45350</v>
      </c>
      <c r="L453" s="1" t="str">
        <f>TEXT(Table1[[#This Row],[Purchase_Date]],"YYYY")</f>
        <v>2024</v>
      </c>
      <c r="M453" s="1" t="str">
        <f>TEXT(Table1[[#This Row],[Purchase_Date]],"MMM")</f>
        <v>Feb</v>
      </c>
      <c r="N453" s="1" t="str">
        <f>TEXT(Table1[[#This Row],[Purchase_Date]],"DD")</f>
        <v>28</v>
      </c>
      <c r="O453" s="2" t="s">
        <v>30</v>
      </c>
      <c r="P453" s="3">
        <v>7</v>
      </c>
      <c r="Q453" s="2" t="s">
        <v>23</v>
      </c>
      <c r="R453" s="2" t="s">
        <v>47</v>
      </c>
      <c r="S453">
        <f>Table1[[#This Row],[Purchase_Amount]]*Table1[[#This Row],[Quantity]]</f>
        <v>1719.48</v>
      </c>
      <c r="T453" t="str">
        <f>IF(Table1[[#This Row],[Age]]&lt;25,"&lt;25",IF(Table1[[#This Row],[Age]]&lt;=35,"25-35",IF(Table1[[#This Row],[Age]]&lt;=50,"36-50","50+")))</f>
        <v>36-50</v>
      </c>
    </row>
    <row r="454" spans="1:20" x14ac:dyDescent="0.3">
      <c r="A454" s="2" t="s">
        <v>539</v>
      </c>
      <c r="B454" s="2" t="s">
        <v>26</v>
      </c>
      <c r="C454" s="3">
        <v>49</v>
      </c>
      <c r="D454" s="2" t="s">
        <v>32</v>
      </c>
      <c r="E454" s="2" t="s">
        <v>18</v>
      </c>
      <c r="F454" s="2" t="s">
        <v>27</v>
      </c>
      <c r="G454" t="s">
        <v>28</v>
      </c>
      <c r="H454" t="s">
        <v>138</v>
      </c>
      <c r="I454" s="4">
        <v>346.6</v>
      </c>
      <c r="J454" s="3">
        <v>1</v>
      </c>
      <c r="K454" s="1">
        <v>45200</v>
      </c>
      <c r="L454" s="1" t="str">
        <f>TEXT(Table1[[#This Row],[Purchase_Date]],"YYYY")</f>
        <v>2023</v>
      </c>
      <c r="M454" s="1" t="str">
        <f>TEXT(Table1[[#This Row],[Purchase_Date]],"MMM")</f>
        <v>Oct</v>
      </c>
      <c r="N454" s="1" t="str">
        <f>TEXT(Table1[[#This Row],[Purchase_Date]],"DD")</f>
        <v>01</v>
      </c>
      <c r="O454" s="2" t="s">
        <v>22</v>
      </c>
      <c r="P454" s="3">
        <v>9</v>
      </c>
      <c r="Q454" s="2" t="s">
        <v>23</v>
      </c>
      <c r="R454" s="2" t="s">
        <v>47</v>
      </c>
      <c r="S454">
        <f>Table1[[#This Row],[Purchase_Amount]]*Table1[[#This Row],[Quantity]]</f>
        <v>346.6</v>
      </c>
      <c r="T454" t="str">
        <f>IF(Table1[[#This Row],[Age]]&lt;25,"&lt;25",IF(Table1[[#This Row],[Age]]&lt;=35,"25-35",IF(Table1[[#This Row],[Age]]&lt;=50,"36-50","50+")))</f>
        <v>36-50</v>
      </c>
    </row>
    <row r="455" spans="1:20" x14ac:dyDescent="0.3">
      <c r="A455" s="2" t="s">
        <v>549</v>
      </c>
      <c r="B455" s="2" t="s">
        <v>26</v>
      </c>
      <c r="C455" s="3">
        <v>49</v>
      </c>
      <c r="D455" s="2" t="s">
        <v>78</v>
      </c>
      <c r="E455" s="2" t="s">
        <v>18</v>
      </c>
      <c r="F455" s="2" t="s">
        <v>19</v>
      </c>
      <c r="G455" t="s">
        <v>28</v>
      </c>
      <c r="H455" t="s">
        <v>232</v>
      </c>
      <c r="I455" s="4">
        <v>539.99</v>
      </c>
      <c r="J455" s="3">
        <v>1</v>
      </c>
      <c r="K455" s="1">
        <v>45235</v>
      </c>
      <c r="L455" s="1" t="str">
        <f>TEXT(Table1[[#This Row],[Purchase_Date]],"YYYY")</f>
        <v>2023</v>
      </c>
      <c r="M455" s="1" t="str">
        <f>TEXT(Table1[[#This Row],[Purchase_Date]],"MMM")</f>
        <v>Nov</v>
      </c>
      <c r="N455" s="1" t="str">
        <f>TEXT(Table1[[#This Row],[Purchase_Date]],"DD")</f>
        <v>05</v>
      </c>
      <c r="O455" s="2" t="s">
        <v>36</v>
      </c>
      <c r="P455" s="3">
        <v>4</v>
      </c>
      <c r="Q455" s="2" t="s">
        <v>23</v>
      </c>
      <c r="R455" s="2" t="s">
        <v>47</v>
      </c>
      <c r="S455">
        <f>Table1[[#This Row],[Purchase_Amount]]*Table1[[#This Row],[Quantity]]</f>
        <v>539.99</v>
      </c>
      <c r="T455" t="str">
        <f>IF(Table1[[#This Row],[Age]]&lt;25,"&lt;25",IF(Table1[[#This Row],[Age]]&lt;=35,"25-35",IF(Table1[[#This Row],[Age]]&lt;=50,"36-50","50+")))</f>
        <v>36-50</v>
      </c>
    </row>
    <row r="456" spans="1:20" x14ac:dyDescent="0.3">
      <c r="A456" s="2" t="s">
        <v>566</v>
      </c>
      <c r="B456" s="2" t="s">
        <v>26</v>
      </c>
      <c r="C456" s="3">
        <v>50</v>
      </c>
      <c r="D456" s="2" t="s">
        <v>64</v>
      </c>
      <c r="E456" s="2" t="s">
        <v>49</v>
      </c>
      <c r="F456" s="2" t="s">
        <v>27</v>
      </c>
      <c r="G456" t="s">
        <v>28</v>
      </c>
      <c r="H456" t="s">
        <v>249</v>
      </c>
      <c r="I456" s="4">
        <v>266.32</v>
      </c>
      <c r="J456" s="3">
        <v>2</v>
      </c>
      <c r="K456" s="1">
        <v>45370</v>
      </c>
      <c r="L456" s="1" t="str">
        <f>TEXT(Table1[[#This Row],[Purchase_Date]],"YYYY")</f>
        <v>2024</v>
      </c>
      <c r="M456" s="1" t="str">
        <f>TEXT(Table1[[#This Row],[Purchase_Date]],"MMM")</f>
        <v>Mar</v>
      </c>
      <c r="N456" s="1" t="str">
        <f>TEXT(Table1[[#This Row],[Purchase_Date]],"DD")</f>
        <v>19</v>
      </c>
      <c r="O456" s="2" t="s">
        <v>30</v>
      </c>
      <c r="P456" s="3">
        <v>10</v>
      </c>
      <c r="Q456" s="2" t="s">
        <v>23</v>
      </c>
      <c r="R456" s="2" t="s">
        <v>24</v>
      </c>
      <c r="S456">
        <f>Table1[[#This Row],[Purchase_Amount]]*Table1[[#This Row],[Quantity]]</f>
        <v>532.64</v>
      </c>
      <c r="T456" t="str">
        <f>IF(Table1[[#This Row],[Age]]&lt;25,"&lt;25",IF(Table1[[#This Row],[Age]]&lt;=35,"25-35",IF(Table1[[#This Row],[Age]]&lt;=50,"36-50","50+")))</f>
        <v>36-50</v>
      </c>
    </row>
    <row r="457" spans="1:20" x14ac:dyDescent="0.3">
      <c r="A457" s="2" t="s">
        <v>714</v>
      </c>
      <c r="B457" s="2" t="s">
        <v>26</v>
      </c>
      <c r="C457" s="3">
        <v>52</v>
      </c>
      <c r="D457" s="2" t="s">
        <v>109</v>
      </c>
      <c r="E457" s="2" t="s">
        <v>49</v>
      </c>
      <c r="F457" s="2" t="s">
        <v>19</v>
      </c>
      <c r="G457" t="s">
        <v>28</v>
      </c>
      <c r="H457" t="s">
        <v>485</v>
      </c>
      <c r="I457" s="4">
        <v>49.93</v>
      </c>
      <c r="J457" s="3">
        <v>3</v>
      </c>
      <c r="K457" s="1">
        <v>45341</v>
      </c>
      <c r="L457" s="1" t="str">
        <f>TEXT(Table1[[#This Row],[Purchase_Date]],"YYYY")</f>
        <v>2024</v>
      </c>
      <c r="M457" s="1" t="str">
        <f>TEXT(Table1[[#This Row],[Purchase_Date]],"MMM")</f>
        <v>Feb</v>
      </c>
      <c r="N457" s="1" t="str">
        <f>TEXT(Table1[[#This Row],[Purchase_Date]],"DD")</f>
        <v>19</v>
      </c>
      <c r="O457" s="2" t="s">
        <v>22</v>
      </c>
      <c r="P457" s="3">
        <v>6</v>
      </c>
      <c r="Q457" s="2" t="s">
        <v>23</v>
      </c>
      <c r="R457" s="2" t="s">
        <v>47</v>
      </c>
      <c r="S457">
        <f>Table1[[#This Row],[Purchase_Amount]]*Table1[[#This Row],[Quantity]]</f>
        <v>149.79</v>
      </c>
      <c r="T457" t="str">
        <f>IF(Table1[[#This Row],[Age]]&lt;25,"&lt;25",IF(Table1[[#This Row],[Age]]&lt;=35,"25-35",IF(Table1[[#This Row],[Age]]&lt;=50,"36-50","50+")))</f>
        <v>50+</v>
      </c>
    </row>
    <row r="458" spans="1:20" x14ac:dyDescent="0.3">
      <c r="A458" s="2" t="s">
        <v>355</v>
      </c>
      <c r="B458" s="2" t="s">
        <v>26</v>
      </c>
      <c r="C458" s="3">
        <v>53</v>
      </c>
      <c r="D458" s="2" t="s">
        <v>64</v>
      </c>
      <c r="E458" s="2" t="s">
        <v>33</v>
      </c>
      <c r="F458" s="2" t="s">
        <v>27</v>
      </c>
      <c r="G458" t="s">
        <v>28</v>
      </c>
      <c r="H458" t="s">
        <v>249</v>
      </c>
      <c r="I458" s="4">
        <v>154.56</v>
      </c>
      <c r="J458" s="3">
        <v>1</v>
      </c>
      <c r="K458" s="1">
        <v>45104</v>
      </c>
      <c r="L458" s="1" t="str">
        <f>TEXT(Table1[[#This Row],[Purchase_Date]],"YYYY")</f>
        <v>2023</v>
      </c>
      <c r="M458" s="1" t="str">
        <f>TEXT(Table1[[#This Row],[Purchase_Date]],"MMM")</f>
        <v>Jun</v>
      </c>
      <c r="N458" s="1" t="str">
        <f>TEXT(Table1[[#This Row],[Purchase_Date]],"DD")</f>
        <v>27</v>
      </c>
      <c r="O458" s="2" t="s">
        <v>22</v>
      </c>
      <c r="P458" s="3">
        <v>10</v>
      </c>
      <c r="Q458" s="2" t="s">
        <v>46</v>
      </c>
      <c r="R458" s="2" t="s">
        <v>24</v>
      </c>
      <c r="S458">
        <f>Table1[[#This Row],[Purchase_Amount]]*Table1[[#This Row],[Quantity]]</f>
        <v>154.56</v>
      </c>
      <c r="T458" t="str">
        <f>IF(Table1[[#This Row],[Age]]&lt;25,"&lt;25",IF(Table1[[#This Row],[Age]]&lt;=35,"25-35",IF(Table1[[#This Row],[Age]]&lt;=50,"36-50","50+")))</f>
        <v>50+</v>
      </c>
    </row>
    <row r="459" spans="1:20" x14ac:dyDescent="0.3">
      <c r="A459" s="2" t="s">
        <v>353</v>
      </c>
      <c r="B459" s="2" t="s">
        <v>26</v>
      </c>
      <c r="C459" s="3">
        <v>53</v>
      </c>
      <c r="D459" s="2" t="s">
        <v>64</v>
      </c>
      <c r="E459" s="2" t="s">
        <v>18</v>
      </c>
      <c r="F459" s="2" t="s">
        <v>44</v>
      </c>
      <c r="G459" t="s">
        <v>28</v>
      </c>
      <c r="H459" t="s">
        <v>354</v>
      </c>
      <c r="I459" s="4">
        <v>200.1</v>
      </c>
      <c r="J459" s="3">
        <v>5</v>
      </c>
      <c r="K459" s="1">
        <v>45353</v>
      </c>
      <c r="L459" s="1" t="str">
        <f>TEXT(Table1[[#This Row],[Purchase_Date]],"YYYY")</f>
        <v>2024</v>
      </c>
      <c r="M459" s="1" t="str">
        <f>TEXT(Table1[[#This Row],[Purchase_Date]],"MMM")</f>
        <v>Mar</v>
      </c>
      <c r="N459" s="1" t="str">
        <f>TEXT(Table1[[#This Row],[Purchase_Date]],"DD")</f>
        <v>02</v>
      </c>
      <c r="O459" s="2" t="s">
        <v>36</v>
      </c>
      <c r="P459" s="3">
        <v>7</v>
      </c>
      <c r="Q459" s="2" t="s">
        <v>23</v>
      </c>
      <c r="R459" s="2" t="s">
        <v>24</v>
      </c>
      <c r="S459">
        <f>Table1[[#This Row],[Purchase_Amount]]*Table1[[#This Row],[Quantity]]</f>
        <v>1000.5</v>
      </c>
      <c r="T459" t="str">
        <f>IF(Table1[[#This Row],[Age]]&lt;25,"&lt;25",IF(Table1[[#This Row],[Age]]&lt;=35,"25-35",IF(Table1[[#This Row],[Age]]&lt;=50,"36-50","50+")))</f>
        <v>50+</v>
      </c>
    </row>
    <row r="460" spans="1:20" x14ac:dyDescent="0.3">
      <c r="A460" s="2" t="s">
        <v>42</v>
      </c>
      <c r="B460" s="2" t="s">
        <v>26</v>
      </c>
      <c r="C460" s="3">
        <v>54</v>
      </c>
      <c r="D460" s="2" t="s">
        <v>43</v>
      </c>
      <c r="E460" s="2" t="s">
        <v>33</v>
      </c>
      <c r="F460" s="2" t="s">
        <v>44</v>
      </c>
      <c r="G460" t="s">
        <v>28</v>
      </c>
      <c r="H460" t="s">
        <v>45</v>
      </c>
      <c r="I460" s="4">
        <v>56.72</v>
      </c>
      <c r="J460" s="3">
        <v>1</v>
      </c>
      <c r="K460" s="1">
        <v>45594</v>
      </c>
      <c r="L460" s="1" t="str">
        <f>TEXT(Table1[[#This Row],[Purchase_Date]],"YYYY")</f>
        <v>2024</v>
      </c>
      <c r="M460" s="1" t="str">
        <f>TEXT(Table1[[#This Row],[Purchase_Date]],"MMM")</f>
        <v>Oct</v>
      </c>
      <c r="N460" s="1" t="str">
        <f>TEXT(Table1[[#This Row],[Purchase_Date]],"DD")</f>
        <v>29</v>
      </c>
      <c r="O460" s="2" t="s">
        <v>30</v>
      </c>
      <c r="P460" s="3">
        <v>8</v>
      </c>
      <c r="Q460" s="2" t="s">
        <v>46</v>
      </c>
      <c r="R460" s="2" t="s">
        <v>47</v>
      </c>
      <c r="S460">
        <f>Table1[[#This Row],[Purchase_Amount]]*Table1[[#This Row],[Quantity]]</f>
        <v>56.72</v>
      </c>
      <c r="T460" t="str">
        <f>IF(Table1[[#This Row],[Age]]&lt;25,"&lt;25",IF(Table1[[#This Row],[Age]]&lt;=35,"25-35",IF(Table1[[#This Row],[Age]]&lt;=50,"36-50","50+")))</f>
        <v>50+</v>
      </c>
    </row>
    <row r="461" spans="1:20" x14ac:dyDescent="0.3">
      <c r="A461" s="2" t="s">
        <v>910</v>
      </c>
      <c r="B461" s="2" t="s">
        <v>26</v>
      </c>
      <c r="C461" s="3">
        <v>54</v>
      </c>
      <c r="D461" s="2" t="s">
        <v>64</v>
      </c>
      <c r="E461" s="2" t="s">
        <v>18</v>
      </c>
      <c r="F461" s="2" t="s">
        <v>19</v>
      </c>
      <c r="G461" t="s">
        <v>28</v>
      </c>
      <c r="H461" t="s">
        <v>153</v>
      </c>
      <c r="I461" s="4">
        <v>100.41</v>
      </c>
      <c r="J461" s="3">
        <v>3</v>
      </c>
      <c r="K461" s="1">
        <v>45122</v>
      </c>
      <c r="L461" s="1" t="str">
        <f>TEXT(Table1[[#This Row],[Purchase_Date]],"YYYY")</f>
        <v>2023</v>
      </c>
      <c r="M461" s="1" t="str">
        <f>TEXT(Table1[[#This Row],[Purchase_Date]],"MMM")</f>
        <v>Jul</v>
      </c>
      <c r="N461" s="1" t="str">
        <f>TEXT(Table1[[#This Row],[Purchase_Date]],"DD")</f>
        <v>15</v>
      </c>
      <c r="O461" s="2" t="s">
        <v>41</v>
      </c>
      <c r="P461" s="3">
        <v>7</v>
      </c>
      <c r="Q461" s="2" t="s">
        <v>46</v>
      </c>
      <c r="R461" s="2" t="s">
        <v>24</v>
      </c>
      <c r="S461">
        <f>Table1[[#This Row],[Purchase_Amount]]*Table1[[#This Row],[Quantity]]</f>
        <v>301.23</v>
      </c>
      <c r="T461" t="str">
        <f>IF(Table1[[#This Row],[Age]]&lt;25,"&lt;25",IF(Table1[[#This Row],[Age]]&lt;=35,"25-35",IF(Table1[[#This Row],[Age]]&lt;=50,"36-50","50+")))</f>
        <v>50+</v>
      </c>
    </row>
    <row r="462" spans="1:20" x14ac:dyDescent="0.3">
      <c r="A462" s="2" t="s">
        <v>562</v>
      </c>
      <c r="B462" s="2" t="s">
        <v>26</v>
      </c>
      <c r="C462" s="3">
        <v>54</v>
      </c>
      <c r="D462" s="2" t="s">
        <v>109</v>
      </c>
      <c r="E462" s="2" t="s">
        <v>33</v>
      </c>
      <c r="F462" s="2" t="s">
        <v>27</v>
      </c>
      <c r="G462" t="s">
        <v>28</v>
      </c>
      <c r="H462" t="s">
        <v>563</v>
      </c>
      <c r="I462" s="4">
        <v>722.05</v>
      </c>
      <c r="J462" s="3">
        <v>3</v>
      </c>
      <c r="K462" s="1">
        <v>45329</v>
      </c>
      <c r="L462" s="1" t="str">
        <f>TEXT(Table1[[#This Row],[Purchase_Date]],"YYYY")</f>
        <v>2024</v>
      </c>
      <c r="M462" s="1" t="str">
        <f>TEXT(Table1[[#This Row],[Purchase_Date]],"MMM")</f>
        <v>Feb</v>
      </c>
      <c r="N462" s="1" t="str">
        <f>TEXT(Table1[[#This Row],[Purchase_Date]],"DD")</f>
        <v>07</v>
      </c>
      <c r="O462" s="2" t="s">
        <v>30</v>
      </c>
      <c r="P462" s="3">
        <v>1</v>
      </c>
      <c r="Q462" s="2" t="s">
        <v>46</v>
      </c>
      <c r="R462" s="2" t="s">
        <v>24</v>
      </c>
      <c r="S462">
        <f>Table1[[#This Row],[Purchase_Amount]]*Table1[[#This Row],[Quantity]]</f>
        <v>2166.1499999999996</v>
      </c>
      <c r="T462" t="str">
        <f>IF(Table1[[#This Row],[Age]]&lt;25,"&lt;25",IF(Table1[[#This Row],[Age]]&lt;=35,"25-35",IF(Table1[[#This Row],[Age]]&lt;=50,"36-50","50+")))</f>
        <v>50+</v>
      </c>
    </row>
    <row r="463" spans="1:20" x14ac:dyDescent="0.3">
      <c r="A463" s="2" t="s">
        <v>820</v>
      </c>
      <c r="B463" s="2" t="s">
        <v>26</v>
      </c>
      <c r="C463" s="3">
        <v>56</v>
      </c>
      <c r="D463" s="2" t="s">
        <v>17</v>
      </c>
      <c r="E463" s="2" t="s">
        <v>33</v>
      </c>
      <c r="F463" s="2" t="s">
        <v>27</v>
      </c>
      <c r="G463" t="s">
        <v>28</v>
      </c>
      <c r="H463" t="s">
        <v>229</v>
      </c>
      <c r="I463" s="4">
        <v>878.97</v>
      </c>
      <c r="J463" s="3">
        <v>3</v>
      </c>
      <c r="K463" s="1">
        <v>45409</v>
      </c>
      <c r="L463" s="1" t="str">
        <f>TEXT(Table1[[#This Row],[Purchase_Date]],"YYYY")</f>
        <v>2024</v>
      </c>
      <c r="M463" s="1" t="str">
        <f>TEXT(Table1[[#This Row],[Purchase_Date]],"MMM")</f>
        <v>Apr</v>
      </c>
      <c r="N463" s="1" t="str">
        <f>TEXT(Table1[[#This Row],[Purchase_Date]],"DD")</f>
        <v>27</v>
      </c>
      <c r="O463" s="2" t="s">
        <v>30</v>
      </c>
      <c r="P463" s="3">
        <v>3</v>
      </c>
      <c r="Q463" s="2" t="s">
        <v>23</v>
      </c>
      <c r="R463" s="2" t="s">
        <v>47</v>
      </c>
      <c r="S463">
        <f>Table1[[#This Row],[Purchase_Amount]]*Table1[[#This Row],[Quantity]]</f>
        <v>2636.91</v>
      </c>
      <c r="T463" t="str">
        <f>IF(Table1[[#This Row],[Age]]&lt;25,"&lt;25",IF(Table1[[#This Row],[Age]]&lt;=35,"25-35",IF(Table1[[#This Row],[Age]]&lt;=50,"36-50","50+")))</f>
        <v>50+</v>
      </c>
    </row>
    <row r="464" spans="1:20" x14ac:dyDescent="0.3">
      <c r="A464" s="2" t="s">
        <v>1010</v>
      </c>
      <c r="B464" s="2" t="s">
        <v>26</v>
      </c>
      <c r="C464" s="3">
        <v>57</v>
      </c>
      <c r="D464" s="2" t="s">
        <v>38</v>
      </c>
      <c r="E464" s="2" t="s">
        <v>49</v>
      </c>
      <c r="F464" s="2" t="s">
        <v>44</v>
      </c>
      <c r="G464" t="s">
        <v>28</v>
      </c>
      <c r="H464" t="s">
        <v>155</v>
      </c>
      <c r="I464" s="4">
        <v>465.73</v>
      </c>
      <c r="J464" s="3">
        <v>3</v>
      </c>
      <c r="K464" s="1">
        <v>45322</v>
      </c>
      <c r="L464" s="1" t="str">
        <f>TEXT(Table1[[#This Row],[Purchase_Date]],"YYYY")</f>
        <v>2024</v>
      </c>
      <c r="M464" s="1" t="str">
        <f>TEXT(Table1[[#This Row],[Purchase_Date]],"MMM")</f>
        <v>Jan</v>
      </c>
      <c r="N464" s="1" t="str">
        <f>TEXT(Table1[[#This Row],[Purchase_Date]],"DD")</f>
        <v>31</v>
      </c>
      <c r="O464" s="2" t="s">
        <v>30</v>
      </c>
      <c r="P464" s="3">
        <v>5</v>
      </c>
      <c r="Q464" s="2" t="s">
        <v>23</v>
      </c>
      <c r="R464" s="2" t="s">
        <v>24</v>
      </c>
      <c r="S464">
        <f>Table1[[#This Row],[Purchase_Amount]]*Table1[[#This Row],[Quantity]]</f>
        <v>1397.19</v>
      </c>
      <c r="T464" t="str">
        <f>IF(Table1[[#This Row],[Age]]&lt;25,"&lt;25",IF(Table1[[#This Row],[Age]]&lt;=35,"25-35",IF(Table1[[#This Row],[Age]]&lt;=50,"36-50","50+")))</f>
        <v>50+</v>
      </c>
    </row>
    <row r="465" spans="1:20" x14ac:dyDescent="0.3">
      <c r="A465" s="2" t="s">
        <v>665</v>
      </c>
      <c r="B465" s="2" t="s">
        <v>26</v>
      </c>
      <c r="C465" s="3">
        <v>58</v>
      </c>
      <c r="D465" s="2" t="s">
        <v>32</v>
      </c>
      <c r="E465" s="2" t="s">
        <v>33</v>
      </c>
      <c r="F465" s="2" t="s">
        <v>19</v>
      </c>
      <c r="G465" t="s">
        <v>28</v>
      </c>
      <c r="H465" t="s">
        <v>485</v>
      </c>
      <c r="I465" s="4">
        <v>487.2</v>
      </c>
      <c r="J465" s="3">
        <v>1</v>
      </c>
      <c r="K465" s="1">
        <v>45185</v>
      </c>
      <c r="L465" s="1" t="str">
        <f>TEXT(Table1[[#This Row],[Purchase_Date]],"YYYY")</f>
        <v>2023</v>
      </c>
      <c r="M465" s="1" t="str">
        <f>TEXT(Table1[[#This Row],[Purchase_Date]],"MMM")</f>
        <v>Sep</v>
      </c>
      <c r="N465" s="1" t="str">
        <f>TEXT(Table1[[#This Row],[Purchase_Date]],"DD")</f>
        <v>16</v>
      </c>
      <c r="O465" s="2" t="s">
        <v>30</v>
      </c>
      <c r="P465" s="3">
        <v>9</v>
      </c>
      <c r="Q465" s="2" t="s">
        <v>23</v>
      </c>
      <c r="R465" s="2" t="s">
        <v>24</v>
      </c>
      <c r="S465">
        <f>Table1[[#This Row],[Purchase_Amount]]*Table1[[#This Row],[Quantity]]</f>
        <v>487.2</v>
      </c>
      <c r="T465" t="str">
        <f>IF(Table1[[#This Row],[Age]]&lt;25,"&lt;25",IF(Table1[[#This Row],[Age]]&lt;=35,"25-35",IF(Table1[[#This Row],[Age]]&lt;=50,"36-50","50+")))</f>
        <v>50+</v>
      </c>
    </row>
    <row r="466" spans="1:20" x14ac:dyDescent="0.3">
      <c r="A466" s="2" t="s">
        <v>746</v>
      </c>
      <c r="B466" s="2" t="s">
        <v>26</v>
      </c>
      <c r="C466" s="3">
        <v>59</v>
      </c>
      <c r="D466" s="2" t="s">
        <v>43</v>
      </c>
      <c r="E466" s="2" t="s">
        <v>33</v>
      </c>
      <c r="F466" s="2" t="s">
        <v>19</v>
      </c>
      <c r="G466" t="s">
        <v>28</v>
      </c>
      <c r="H466" t="s">
        <v>298</v>
      </c>
      <c r="I466" s="4">
        <v>338.85</v>
      </c>
      <c r="J466" s="3">
        <v>5</v>
      </c>
      <c r="K466" s="1">
        <v>45103</v>
      </c>
      <c r="L466" s="1" t="str">
        <f>TEXT(Table1[[#This Row],[Purchase_Date]],"YYYY")</f>
        <v>2023</v>
      </c>
      <c r="M466" s="1" t="str">
        <f>TEXT(Table1[[#This Row],[Purchase_Date]],"MMM")</f>
        <v>Jun</v>
      </c>
      <c r="N466" s="1" t="str">
        <f>TEXT(Table1[[#This Row],[Purchase_Date]],"DD")</f>
        <v>26</v>
      </c>
      <c r="O466" s="2" t="s">
        <v>41</v>
      </c>
      <c r="P466" s="3">
        <v>3</v>
      </c>
      <c r="Q466" s="2" t="s">
        <v>23</v>
      </c>
      <c r="R466" s="2" t="s">
        <v>47</v>
      </c>
      <c r="S466">
        <f>Table1[[#This Row],[Purchase_Amount]]*Table1[[#This Row],[Quantity]]</f>
        <v>1694.25</v>
      </c>
      <c r="T466" t="str">
        <f>IF(Table1[[#This Row],[Age]]&lt;25,"&lt;25",IF(Table1[[#This Row],[Age]]&lt;=35,"25-35",IF(Table1[[#This Row],[Age]]&lt;=50,"36-50","50+")))</f>
        <v>50+</v>
      </c>
    </row>
    <row r="467" spans="1:20" x14ac:dyDescent="0.3">
      <c r="A467" s="2" t="s">
        <v>733</v>
      </c>
      <c r="B467" s="2" t="s">
        <v>26</v>
      </c>
      <c r="C467" s="3">
        <v>60</v>
      </c>
      <c r="D467" s="2" t="s">
        <v>43</v>
      </c>
      <c r="E467" s="2" t="s">
        <v>49</v>
      </c>
      <c r="F467" s="2" t="s">
        <v>27</v>
      </c>
      <c r="G467" t="s">
        <v>28</v>
      </c>
      <c r="H467" t="s">
        <v>263</v>
      </c>
      <c r="I467" s="4">
        <v>95.84</v>
      </c>
      <c r="J467" s="3">
        <v>3</v>
      </c>
      <c r="K467" s="1">
        <v>44984</v>
      </c>
      <c r="L467" s="1" t="str">
        <f>TEXT(Table1[[#This Row],[Purchase_Date]],"YYYY")</f>
        <v>2023</v>
      </c>
      <c r="M467" s="1" t="str">
        <f>TEXT(Table1[[#This Row],[Purchase_Date]],"MMM")</f>
        <v>Feb</v>
      </c>
      <c r="N467" s="1" t="str">
        <f>TEXT(Table1[[#This Row],[Purchase_Date]],"DD")</f>
        <v>27</v>
      </c>
      <c r="O467" s="2" t="s">
        <v>36</v>
      </c>
      <c r="P467" s="3">
        <v>3</v>
      </c>
      <c r="Q467" s="2" t="s">
        <v>23</v>
      </c>
      <c r="R467" s="2" t="s">
        <v>47</v>
      </c>
      <c r="S467">
        <f>Table1[[#This Row],[Purchase_Amount]]*Table1[[#This Row],[Quantity]]</f>
        <v>287.52</v>
      </c>
      <c r="T467" t="str">
        <f>IF(Table1[[#This Row],[Age]]&lt;25,"&lt;25",IF(Table1[[#This Row],[Age]]&lt;=35,"25-35",IF(Table1[[#This Row],[Age]]&lt;=50,"36-50","50+")))</f>
        <v>50+</v>
      </c>
    </row>
    <row r="468" spans="1:20" x14ac:dyDescent="0.3">
      <c r="A468" s="2" t="s">
        <v>1035</v>
      </c>
      <c r="B468" s="2" t="s">
        <v>26</v>
      </c>
      <c r="C468" s="3">
        <v>60</v>
      </c>
      <c r="D468" s="2" t="s">
        <v>109</v>
      </c>
      <c r="E468" s="2" t="s">
        <v>18</v>
      </c>
      <c r="F468" s="2" t="s">
        <v>44</v>
      </c>
      <c r="G468" t="s">
        <v>28</v>
      </c>
      <c r="H468" t="s">
        <v>349</v>
      </c>
      <c r="I468" s="4">
        <v>274.13</v>
      </c>
      <c r="J468" s="3">
        <v>2</v>
      </c>
      <c r="K468" s="1">
        <v>45157</v>
      </c>
      <c r="L468" s="1" t="str">
        <f>TEXT(Table1[[#This Row],[Purchase_Date]],"YYYY")</f>
        <v>2023</v>
      </c>
      <c r="M468" s="1" t="str">
        <f>TEXT(Table1[[#This Row],[Purchase_Date]],"MMM")</f>
        <v>Aug</v>
      </c>
      <c r="N468" s="1" t="str">
        <f>TEXT(Table1[[#This Row],[Purchase_Date]],"DD")</f>
        <v>19</v>
      </c>
      <c r="O468" s="2" t="s">
        <v>22</v>
      </c>
      <c r="P468" s="3">
        <v>9</v>
      </c>
      <c r="Q468" s="2" t="s">
        <v>46</v>
      </c>
      <c r="R468" s="2" t="s">
        <v>24</v>
      </c>
      <c r="S468">
        <f>Table1[[#This Row],[Purchase_Amount]]*Table1[[#This Row],[Quantity]]</f>
        <v>548.26</v>
      </c>
      <c r="T468" t="str">
        <f>IF(Table1[[#This Row],[Age]]&lt;25,"&lt;25",IF(Table1[[#This Row],[Age]]&lt;=35,"25-35",IF(Table1[[#This Row],[Age]]&lt;=50,"36-50","50+")))</f>
        <v>50+</v>
      </c>
    </row>
    <row r="469" spans="1:20" x14ac:dyDescent="0.3">
      <c r="A469" s="2" t="s">
        <v>390</v>
      </c>
      <c r="B469" s="2" t="s">
        <v>26</v>
      </c>
      <c r="C469" s="3">
        <v>60</v>
      </c>
      <c r="D469" s="2" t="s">
        <v>38</v>
      </c>
      <c r="E469" s="2" t="s">
        <v>18</v>
      </c>
      <c r="F469" s="2" t="s">
        <v>27</v>
      </c>
      <c r="G469" t="s">
        <v>28</v>
      </c>
      <c r="H469" t="s">
        <v>391</v>
      </c>
      <c r="I469" s="4">
        <v>802.93</v>
      </c>
      <c r="J469" s="3">
        <v>2</v>
      </c>
      <c r="K469" s="1">
        <v>45205</v>
      </c>
      <c r="L469" s="1" t="str">
        <f>TEXT(Table1[[#This Row],[Purchase_Date]],"YYYY")</f>
        <v>2023</v>
      </c>
      <c r="M469" s="1" t="str">
        <f>TEXT(Table1[[#This Row],[Purchase_Date]],"MMM")</f>
        <v>Oct</v>
      </c>
      <c r="N469" s="1" t="str">
        <f>TEXT(Table1[[#This Row],[Purchase_Date]],"DD")</f>
        <v>06</v>
      </c>
      <c r="O469" s="2" t="s">
        <v>41</v>
      </c>
      <c r="P469" s="3">
        <v>9</v>
      </c>
      <c r="Q469" s="2" t="s">
        <v>46</v>
      </c>
      <c r="R469" s="2" t="s">
        <v>47</v>
      </c>
      <c r="S469">
        <f>Table1[[#This Row],[Purchase_Amount]]*Table1[[#This Row],[Quantity]]</f>
        <v>1605.86</v>
      </c>
      <c r="T469" t="str">
        <f>IF(Table1[[#This Row],[Age]]&lt;25,"&lt;25",IF(Table1[[#This Row],[Age]]&lt;=35,"25-35",IF(Table1[[#This Row],[Age]]&lt;=50,"36-50","50+")))</f>
        <v>50+</v>
      </c>
    </row>
    <row r="470" spans="1:20" x14ac:dyDescent="0.3">
      <c r="A470" s="2" t="s">
        <v>878</v>
      </c>
      <c r="B470" s="2" t="s">
        <v>26</v>
      </c>
      <c r="C470" s="3">
        <v>61</v>
      </c>
      <c r="D470" s="2" t="s">
        <v>64</v>
      </c>
      <c r="E470" s="2" t="s">
        <v>49</v>
      </c>
      <c r="F470" s="2" t="s">
        <v>27</v>
      </c>
      <c r="G470" t="s">
        <v>28</v>
      </c>
      <c r="H470" t="s">
        <v>294</v>
      </c>
      <c r="I470" s="4">
        <v>927.64</v>
      </c>
      <c r="J470" s="3">
        <v>5</v>
      </c>
      <c r="K470" s="1">
        <v>45154</v>
      </c>
      <c r="L470" s="1" t="str">
        <f>TEXT(Table1[[#This Row],[Purchase_Date]],"YYYY")</f>
        <v>2023</v>
      </c>
      <c r="M470" s="1" t="str">
        <f>TEXT(Table1[[#This Row],[Purchase_Date]],"MMM")</f>
        <v>Aug</v>
      </c>
      <c r="N470" s="1" t="str">
        <f>TEXT(Table1[[#This Row],[Purchase_Date]],"DD")</f>
        <v>16</v>
      </c>
      <c r="O470" s="2" t="s">
        <v>22</v>
      </c>
      <c r="P470" s="3">
        <v>1</v>
      </c>
      <c r="Q470" s="2" t="s">
        <v>23</v>
      </c>
      <c r="R470" s="2" t="s">
        <v>24</v>
      </c>
      <c r="S470">
        <f>Table1[[#This Row],[Purchase_Amount]]*Table1[[#This Row],[Quantity]]</f>
        <v>4638.2</v>
      </c>
      <c r="T470" t="str">
        <f>IF(Table1[[#This Row],[Age]]&lt;25,"&lt;25",IF(Table1[[#This Row],[Age]]&lt;=35,"25-35",IF(Table1[[#This Row],[Age]]&lt;=50,"36-50","50+")))</f>
        <v>50+</v>
      </c>
    </row>
    <row r="471" spans="1:20" x14ac:dyDescent="0.3">
      <c r="A471" s="2" t="s">
        <v>376</v>
      </c>
      <c r="B471" s="2" t="s">
        <v>26</v>
      </c>
      <c r="C471" s="3">
        <v>63</v>
      </c>
      <c r="D471" s="2" t="s">
        <v>43</v>
      </c>
      <c r="E471" s="2" t="s">
        <v>49</v>
      </c>
      <c r="F471" s="2" t="s">
        <v>27</v>
      </c>
      <c r="G471" t="s">
        <v>28</v>
      </c>
      <c r="H471" t="s">
        <v>377</v>
      </c>
      <c r="I471" s="4">
        <v>140.94999999999999</v>
      </c>
      <c r="J471" s="3">
        <v>4</v>
      </c>
      <c r="K471" s="1">
        <v>45121</v>
      </c>
      <c r="L471" s="1" t="str">
        <f>TEXT(Table1[[#This Row],[Purchase_Date]],"YYYY")</f>
        <v>2023</v>
      </c>
      <c r="M471" s="1" t="str">
        <f>TEXT(Table1[[#This Row],[Purchase_Date]],"MMM")</f>
        <v>Jul</v>
      </c>
      <c r="N471" s="1" t="str">
        <f>TEXT(Table1[[#This Row],[Purchase_Date]],"DD")</f>
        <v>14</v>
      </c>
      <c r="O471" s="2" t="s">
        <v>36</v>
      </c>
      <c r="P471" s="3">
        <v>2</v>
      </c>
      <c r="Q471" s="2" t="s">
        <v>46</v>
      </c>
      <c r="R471" s="2" t="s">
        <v>47</v>
      </c>
      <c r="S471">
        <f>Table1[[#This Row],[Purchase_Amount]]*Table1[[#This Row],[Quantity]]</f>
        <v>563.79999999999995</v>
      </c>
      <c r="T471" t="str">
        <f>IF(Table1[[#This Row],[Age]]&lt;25,"&lt;25",IF(Table1[[#This Row],[Age]]&lt;=35,"25-35",IF(Table1[[#This Row],[Age]]&lt;=50,"36-50","50+")))</f>
        <v>50+</v>
      </c>
    </row>
    <row r="472" spans="1:20" x14ac:dyDescent="0.3">
      <c r="A472" s="2" t="s">
        <v>1060</v>
      </c>
      <c r="B472" s="2" t="s">
        <v>26</v>
      </c>
      <c r="C472" s="3">
        <v>63</v>
      </c>
      <c r="D472" s="2" t="s">
        <v>60</v>
      </c>
      <c r="E472" s="2" t="s">
        <v>18</v>
      </c>
      <c r="F472" s="2" t="s">
        <v>19</v>
      </c>
      <c r="G472" t="s">
        <v>28</v>
      </c>
      <c r="H472" t="s">
        <v>335</v>
      </c>
      <c r="I472" s="4">
        <v>665.69</v>
      </c>
      <c r="J472" s="3">
        <v>5</v>
      </c>
      <c r="K472" s="1">
        <v>45318</v>
      </c>
      <c r="L472" s="1" t="str">
        <f>TEXT(Table1[[#This Row],[Purchase_Date]],"YYYY")</f>
        <v>2024</v>
      </c>
      <c r="M472" s="1" t="str">
        <f>TEXT(Table1[[#This Row],[Purchase_Date]],"MMM")</f>
        <v>Jan</v>
      </c>
      <c r="N472" s="1" t="str">
        <f>TEXT(Table1[[#This Row],[Purchase_Date]],"DD")</f>
        <v>27</v>
      </c>
      <c r="O472" s="2" t="s">
        <v>36</v>
      </c>
      <c r="P472" s="3">
        <v>9</v>
      </c>
      <c r="Q472" s="2" t="s">
        <v>46</v>
      </c>
      <c r="R472" s="2" t="s">
        <v>24</v>
      </c>
      <c r="S472">
        <f>Table1[[#This Row],[Purchase_Amount]]*Table1[[#This Row],[Quantity]]</f>
        <v>3328.4500000000003</v>
      </c>
      <c r="T472" t="str">
        <f>IF(Table1[[#This Row],[Age]]&lt;25,"&lt;25",IF(Table1[[#This Row],[Age]]&lt;=35,"25-35",IF(Table1[[#This Row],[Age]]&lt;=50,"36-50","50+")))</f>
        <v>50+</v>
      </c>
    </row>
    <row r="473" spans="1:20" x14ac:dyDescent="0.3">
      <c r="A473" s="2" t="s">
        <v>723</v>
      </c>
      <c r="B473" s="2" t="s">
        <v>26</v>
      </c>
      <c r="C473" s="3">
        <v>64</v>
      </c>
      <c r="D473" s="2" t="s">
        <v>38</v>
      </c>
      <c r="E473" s="2" t="s">
        <v>33</v>
      </c>
      <c r="F473" s="2" t="s">
        <v>44</v>
      </c>
      <c r="G473" t="s">
        <v>28</v>
      </c>
      <c r="H473" t="s">
        <v>67</v>
      </c>
      <c r="I473" s="4">
        <v>771.37</v>
      </c>
      <c r="J473" s="3">
        <v>5</v>
      </c>
      <c r="K473" s="1">
        <v>45465</v>
      </c>
      <c r="L473" s="1" t="str">
        <f>TEXT(Table1[[#This Row],[Purchase_Date]],"YYYY")</f>
        <v>2024</v>
      </c>
      <c r="M473" s="1" t="str">
        <f>TEXT(Table1[[#This Row],[Purchase_Date]],"MMM")</f>
        <v>Jun</v>
      </c>
      <c r="N473" s="1" t="str">
        <f>TEXT(Table1[[#This Row],[Purchase_Date]],"DD")</f>
        <v>22</v>
      </c>
      <c r="O473" s="2" t="s">
        <v>30</v>
      </c>
      <c r="P473" s="3">
        <v>1</v>
      </c>
      <c r="Q473" s="2" t="s">
        <v>23</v>
      </c>
      <c r="R473" s="2" t="s">
        <v>24</v>
      </c>
      <c r="S473">
        <f>Table1[[#This Row],[Purchase_Amount]]*Table1[[#This Row],[Quantity]]</f>
        <v>3856.85</v>
      </c>
      <c r="T473" t="str">
        <f>IF(Table1[[#This Row],[Age]]&lt;25,"&lt;25",IF(Table1[[#This Row],[Age]]&lt;=35,"25-35",IF(Table1[[#This Row],[Age]]&lt;=50,"36-50","50+")))</f>
        <v>50+</v>
      </c>
    </row>
    <row r="474" spans="1:20" x14ac:dyDescent="0.3">
      <c r="A474" s="2" t="s">
        <v>995</v>
      </c>
      <c r="B474" s="2" t="s">
        <v>26</v>
      </c>
      <c r="C474" s="3">
        <v>65</v>
      </c>
      <c r="D474" s="2" t="s">
        <v>78</v>
      </c>
      <c r="E474" s="2" t="s">
        <v>33</v>
      </c>
      <c r="F474" s="2" t="s">
        <v>44</v>
      </c>
      <c r="G474" t="s">
        <v>28</v>
      </c>
      <c r="H474" t="s">
        <v>477</v>
      </c>
      <c r="I474" s="4">
        <v>580.78</v>
      </c>
      <c r="J474" s="3">
        <v>3</v>
      </c>
      <c r="K474" s="1">
        <v>45549</v>
      </c>
      <c r="L474" s="1" t="str">
        <f>TEXT(Table1[[#This Row],[Purchase_Date]],"YYYY")</f>
        <v>2024</v>
      </c>
      <c r="M474" s="1" t="str">
        <f>TEXT(Table1[[#This Row],[Purchase_Date]],"MMM")</f>
        <v>Sep</v>
      </c>
      <c r="N474" s="1" t="str">
        <f>TEXT(Table1[[#This Row],[Purchase_Date]],"DD")</f>
        <v>14</v>
      </c>
      <c r="O474" s="2" t="s">
        <v>36</v>
      </c>
      <c r="P474" s="3">
        <v>8</v>
      </c>
      <c r="Q474" s="2" t="s">
        <v>46</v>
      </c>
      <c r="R474" s="2" t="s">
        <v>24</v>
      </c>
      <c r="S474">
        <f>Table1[[#This Row],[Purchase_Amount]]*Table1[[#This Row],[Quantity]]</f>
        <v>1742.34</v>
      </c>
      <c r="T474" t="str">
        <f>IF(Table1[[#This Row],[Age]]&lt;25,"&lt;25",IF(Table1[[#This Row],[Age]]&lt;=35,"25-35",IF(Table1[[#This Row],[Age]]&lt;=50,"36-50","50+")))</f>
        <v>50+</v>
      </c>
    </row>
    <row r="475" spans="1:20" x14ac:dyDescent="0.3">
      <c r="A475" s="2" t="s">
        <v>25</v>
      </c>
      <c r="B475" s="2" t="s">
        <v>26</v>
      </c>
      <c r="C475" s="3">
        <v>68</v>
      </c>
      <c r="D475" s="2" t="s">
        <v>17</v>
      </c>
      <c r="E475" s="2" t="s">
        <v>18</v>
      </c>
      <c r="F475" s="2" t="s">
        <v>27</v>
      </c>
      <c r="G475" t="s">
        <v>28</v>
      </c>
      <c r="H475" t="s">
        <v>29</v>
      </c>
      <c r="I475" s="4">
        <v>121.46</v>
      </c>
      <c r="J475" s="3">
        <v>1</v>
      </c>
      <c r="K475" s="1">
        <v>45220</v>
      </c>
      <c r="L475" s="1" t="str">
        <f>TEXT(Table1[[#This Row],[Purchase_Date]],"YYYY")</f>
        <v>2023</v>
      </c>
      <c r="M475" s="1" t="str">
        <f>TEXT(Table1[[#This Row],[Purchase_Date]],"MMM")</f>
        <v>Oct</v>
      </c>
      <c r="N475" s="1" t="str">
        <f>TEXT(Table1[[#This Row],[Purchase_Date]],"DD")</f>
        <v>21</v>
      </c>
      <c r="O475" s="2" t="s">
        <v>30</v>
      </c>
      <c r="P475" s="3">
        <v>4</v>
      </c>
      <c r="Q475" s="2" t="s">
        <v>23</v>
      </c>
      <c r="R475" s="2" t="s">
        <v>24</v>
      </c>
      <c r="S475">
        <f>Table1[[#This Row],[Purchase_Amount]]*Table1[[#This Row],[Quantity]]</f>
        <v>121.46</v>
      </c>
      <c r="T475" t="str">
        <f>IF(Table1[[#This Row],[Age]]&lt;25,"&lt;25",IF(Table1[[#This Row],[Age]]&lt;=35,"25-35",IF(Table1[[#This Row],[Age]]&lt;=50,"36-50","50+")))</f>
        <v>50+</v>
      </c>
    </row>
    <row r="476" spans="1:20" x14ac:dyDescent="0.3">
      <c r="A476" s="2" t="s">
        <v>1006</v>
      </c>
      <c r="B476" s="2" t="s">
        <v>26</v>
      </c>
      <c r="C476" s="3">
        <v>68</v>
      </c>
      <c r="D476" s="2" t="s">
        <v>38</v>
      </c>
      <c r="E476" s="2" t="s">
        <v>18</v>
      </c>
      <c r="F476" s="2" t="s">
        <v>19</v>
      </c>
      <c r="G476" t="s">
        <v>28</v>
      </c>
      <c r="H476" t="s">
        <v>191</v>
      </c>
      <c r="I476" s="4">
        <v>218.86</v>
      </c>
      <c r="J476" s="3">
        <v>3</v>
      </c>
      <c r="K476" s="1">
        <v>45243</v>
      </c>
      <c r="L476" s="1" t="str">
        <f>TEXT(Table1[[#This Row],[Purchase_Date]],"YYYY")</f>
        <v>2023</v>
      </c>
      <c r="M476" s="1" t="str">
        <f>TEXT(Table1[[#This Row],[Purchase_Date]],"MMM")</f>
        <v>Nov</v>
      </c>
      <c r="N476" s="1" t="str">
        <f>TEXT(Table1[[#This Row],[Purchase_Date]],"DD")</f>
        <v>13</v>
      </c>
      <c r="O476" s="2" t="s">
        <v>41</v>
      </c>
      <c r="P476" s="3">
        <v>4</v>
      </c>
      <c r="Q476" s="2" t="s">
        <v>23</v>
      </c>
      <c r="R476" s="2" t="s">
        <v>47</v>
      </c>
      <c r="S476">
        <f>Table1[[#This Row],[Purchase_Amount]]*Table1[[#This Row],[Quantity]]</f>
        <v>656.58</v>
      </c>
      <c r="T476" t="str">
        <f>IF(Table1[[#This Row],[Age]]&lt;25,"&lt;25",IF(Table1[[#This Row],[Age]]&lt;=35,"25-35",IF(Table1[[#This Row],[Age]]&lt;=50,"36-50","50+")))</f>
        <v>50+</v>
      </c>
    </row>
    <row r="477" spans="1:20" x14ac:dyDescent="0.3">
      <c r="A477" s="2" t="s">
        <v>442</v>
      </c>
      <c r="B477" s="2" t="s">
        <v>26</v>
      </c>
      <c r="C477" s="3">
        <v>69</v>
      </c>
      <c r="D477" s="2" t="s">
        <v>78</v>
      </c>
      <c r="E477" s="2" t="s">
        <v>18</v>
      </c>
      <c r="F477" s="2" t="s">
        <v>44</v>
      </c>
      <c r="G477" t="s">
        <v>28</v>
      </c>
      <c r="H477" t="s">
        <v>91</v>
      </c>
      <c r="I477" s="4">
        <v>264.49</v>
      </c>
      <c r="J477" s="3">
        <v>3</v>
      </c>
      <c r="K477" s="1">
        <v>45452</v>
      </c>
      <c r="L477" s="1" t="str">
        <f>TEXT(Table1[[#This Row],[Purchase_Date]],"YYYY")</f>
        <v>2024</v>
      </c>
      <c r="M477" s="1" t="str">
        <f>TEXT(Table1[[#This Row],[Purchase_Date]],"MMM")</f>
        <v>Jun</v>
      </c>
      <c r="N477" s="1" t="str">
        <f>TEXT(Table1[[#This Row],[Purchase_Date]],"DD")</f>
        <v>09</v>
      </c>
      <c r="O477" s="2" t="s">
        <v>22</v>
      </c>
      <c r="P477" s="3">
        <v>8</v>
      </c>
      <c r="Q477" s="2" t="s">
        <v>23</v>
      </c>
      <c r="R477" s="2" t="s">
        <v>24</v>
      </c>
      <c r="S477">
        <f>Table1[[#This Row],[Purchase_Amount]]*Table1[[#This Row],[Quantity]]</f>
        <v>793.47</v>
      </c>
      <c r="T477" t="str">
        <f>IF(Table1[[#This Row],[Age]]&lt;25,"&lt;25",IF(Table1[[#This Row],[Age]]&lt;=35,"25-35",IF(Table1[[#This Row],[Age]]&lt;=50,"36-50","50+")))</f>
        <v>50+</v>
      </c>
    </row>
    <row r="478" spans="1:20" x14ac:dyDescent="0.3">
      <c r="A478" s="2" t="s">
        <v>606</v>
      </c>
      <c r="B478" s="2" t="s">
        <v>26</v>
      </c>
      <c r="C478" s="3">
        <v>18</v>
      </c>
      <c r="D478" s="2" t="s">
        <v>32</v>
      </c>
      <c r="E478" s="2" t="s">
        <v>33</v>
      </c>
      <c r="F478" s="2" t="s">
        <v>27</v>
      </c>
      <c r="G478" t="s">
        <v>20</v>
      </c>
      <c r="H478" t="s">
        <v>276</v>
      </c>
      <c r="I478" s="4">
        <v>933.54</v>
      </c>
      <c r="J478" s="3">
        <v>5</v>
      </c>
      <c r="K478" s="1">
        <v>45095</v>
      </c>
      <c r="L478" s="1" t="str">
        <f>TEXT(Table1[[#This Row],[Purchase_Date]],"YYYY")</f>
        <v>2023</v>
      </c>
      <c r="M478" s="1" t="str">
        <f>TEXT(Table1[[#This Row],[Purchase_Date]],"MMM")</f>
        <v>Jun</v>
      </c>
      <c r="N478" s="1" t="str">
        <f>TEXT(Table1[[#This Row],[Purchase_Date]],"DD")</f>
        <v>18</v>
      </c>
      <c r="O478" s="2" t="s">
        <v>30</v>
      </c>
      <c r="P478" s="3">
        <v>1</v>
      </c>
      <c r="Q478" s="2" t="s">
        <v>46</v>
      </c>
      <c r="R478" s="2" t="s">
        <v>47</v>
      </c>
      <c r="S478">
        <f>Table1[[#This Row],[Purchase_Amount]]*Table1[[#This Row],[Quantity]]</f>
        <v>4667.7</v>
      </c>
      <c r="T478" t="str">
        <f>IF(Table1[[#This Row],[Age]]&lt;25,"&lt;25",IF(Table1[[#This Row],[Age]]&lt;=35,"25-35",IF(Table1[[#This Row],[Age]]&lt;=50,"36-50","50+")))</f>
        <v>&lt;25</v>
      </c>
    </row>
    <row r="479" spans="1:20" x14ac:dyDescent="0.3">
      <c r="A479" s="2" t="s">
        <v>86</v>
      </c>
      <c r="B479" s="2" t="s">
        <v>26</v>
      </c>
      <c r="C479" s="3">
        <v>19</v>
      </c>
      <c r="D479" s="2" t="s">
        <v>32</v>
      </c>
      <c r="E479" s="2" t="s">
        <v>49</v>
      </c>
      <c r="F479" s="2" t="s">
        <v>19</v>
      </c>
      <c r="G479" t="s">
        <v>20</v>
      </c>
      <c r="H479" t="s">
        <v>87</v>
      </c>
      <c r="I479" s="4">
        <v>350.65</v>
      </c>
      <c r="J479" s="3">
        <v>3</v>
      </c>
      <c r="K479" s="1">
        <v>45054</v>
      </c>
      <c r="L479" s="1" t="str">
        <f>TEXT(Table1[[#This Row],[Purchase_Date]],"YYYY")</f>
        <v>2023</v>
      </c>
      <c r="M479" s="1" t="str">
        <f>TEXT(Table1[[#This Row],[Purchase_Date]],"MMM")</f>
        <v>May</v>
      </c>
      <c r="N479" s="1" t="str">
        <f>TEXT(Table1[[#This Row],[Purchase_Date]],"DD")</f>
        <v>08</v>
      </c>
      <c r="O479" s="2" t="s">
        <v>41</v>
      </c>
      <c r="P479" s="3">
        <v>2</v>
      </c>
      <c r="Q479" s="2" t="s">
        <v>46</v>
      </c>
      <c r="R479" s="2" t="s">
        <v>24</v>
      </c>
      <c r="S479">
        <f>Table1[[#This Row],[Purchase_Amount]]*Table1[[#This Row],[Quantity]]</f>
        <v>1051.9499999999998</v>
      </c>
      <c r="T479" t="str">
        <f>IF(Table1[[#This Row],[Age]]&lt;25,"&lt;25",IF(Table1[[#This Row],[Age]]&lt;=35,"25-35",IF(Table1[[#This Row],[Age]]&lt;=50,"36-50","50+")))</f>
        <v>&lt;25</v>
      </c>
    </row>
    <row r="480" spans="1:20" x14ac:dyDescent="0.3">
      <c r="A480" s="2" t="s">
        <v>889</v>
      </c>
      <c r="B480" s="2" t="s">
        <v>26</v>
      </c>
      <c r="C480" s="3">
        <v>20</v>
      </c>
      <c r="D480" s="2" t="s">
        <v>109</v>
      </c>
      <c r="E480" s="2" t="s">
        <v>18</v>
      </c>
      <c r="F480" s="2" t="s">
        <v>27</v>
      </c>
      <c r="G480" t="s">
        <v>20</v>
      </c>
      <c r="H480" t="s">
        <v>153</v>
      </c>
      <c r="I480" s="4">
        <v>998.81</v>
      </c>
      <c r="J480" s="3">
        <v>1</v>
      </c>
      <c r="K480" s="1">
        <v>45325</v>
      </c>
      <c r="L480" s="1" t="str">
        <f>TEXT(Table1[[#This Row],[Purchase_Date]],"YYYY")</f>
        <v>2024</v>
      </c>
      <c r="M480" s="1" t="str">
        <f>TEXT(Table1[[#This Row],[Purchase_Date]],"MMM")</f>
        <v>Feb</v>
      </c>
      <c r="N480" s="1" t="str">
        <f>TEXT(Table1[[#This Row],[Purchase_Date]],"DD")</f>
        <v>03</v>
      </c>
      <c r="O480" s="2" t="s">
        <v>36</v>
      </c>
      <c r="P480" s="3">
        <v>5</v>
      </c>
      <c r="Q480" s="2" t="s">
        <v>46</v>
      </c>
      <c r="R480" s="2" t="s">
        <v>47</v>
      </c>
      <c r="S480">
        <f>Table1[[#This Row],[Purchase_Amount]]*Table1[[#This Row],[Quantity]]</f>
        <v>998.81</v>
      </c>
      <c r="T480" t="str">
        <f>IF(Table1[[#This Row],[Age]]&lt;25,"&lt;25",IF(Table1[[#This Row],[Age]]&lt;=35,"25-35",IF(Table1[[#This Row],[Age]]&lt;=50,"36-50","50+")))</f>
        <v>&lt;25</v>
      </c>
    </row>
    <row r="481" spans="1:20" x14ac:dyDescent="0.3">
      <c r="A481" s="2" t="s">
        <v>652</v>
      </c>
      <c r="B481" s="2" t="s">
        <v>26</v>
      </c>
      <c r="C481" s="3">
        <v>21</v>
      </c>
      <c r="D481" s="2" t="s">
        <v>60</v>
      </c>
      <c r="E481" s="2" t="s">
        <v>18</v>
      </c>
      <c r="F481" s="2" t="s">
        <v>27</v>
      </c>
      <c r="G481" t="s">
        <v>20</v>
      </c>
      <c r="H481" t="s">
        <v>314</v>
      </c>
      <c r="I481" s="4">
        <v>322.38</v>
      </c>
      <c r="J481" s="3">
        <v>1</v>
      </c>
      <c r="K481" s="1">
        <v>45461</v>
      </c>
      <c r="L481" s="1" t="str">
        <f>TEXT(Table1[[#This Row],[Purchase_Date]],"YYYY")</f>
        <v>2024</v>
      </c>
      <c r="M481" s="1" t="str">
        <f>TEXT(Table1[[#This Row],[Purchase_Date]],"MMM")</f>
        <v>Jun</v>
      </c>
      <c r="N481" s="1" t="str">
        <f>TEXT(Table1[[#This Row],[Purchase_Date]],"DD")</f>
        <v>18</v>
      </c>
      <c r="O481" s="2" t="s">
        <v>36</v>
      </c>
      <c r="P481" s="3">
        <v>6</v>
      </c>
      <c r="Q481" s="2" t="s">
        <v>23</v>
      </c>
      <c r="R481" s="2" t="s">
        <v>24</v>
      </c>
      <c r="S481">
        <f>Table1[[#This Row],[Purchase_Amount]]*Table1[[#This Row],[Quantity]]</f>
        <v>322.38</v>
      </c>
      <c r="T481" t="str">
        <f>IF(Table1[[#This Row],[Age]]&lt;25,"&lt;25",IF(Table1[[#This Row],[Age]]&lt;=35,"25-35",IF(Table1[[#This Row],[Age]]&lt;=50,"36-50","50+")))</f>
        <v>&lt;25</v>
      </c>
    </row>
    <row r="482" spans="1:20" x14ac:dyDescent="0.3">
      <c r="A482" s="2" t="s">
        <v>1157</v>
      </c>
      <c r="B482" s="2" t="s">
        <v>26</v>
      </c>
      <c r="C482" s="3">
        <v>23</v>
      </c>
      <c r="D482" s="2" t="s">
        <v>78</v>
      </c>
      <c r="E482" s="2" t="s">
        <v>33</v>
      </c>
      <c r="F482" s="2" t="s">
        <v>44</v>
      </c>
      <c r="G482" t="s">
        <v>20</v>
      </c>
      <c r="H482" t="s">
        <v>1046</v>
      </c>
      <c r="I482" s="4">
        <v>704.48</v>
      </c>
      <c r="J482" s="3">
        <v>4</v>
      </c>
      <c r="K482" s="1">
        <v>45304</v>
      </c>
      <c r="L482" s="1" t="str">
        <f>TEXT(Table1[[#This Row],[Purchase_Date]],"YYYY")</f>
        <v>2024</v>
      </c>
      <c r="M482" s="1" t="str">
        <f>TEXT(Table1[[#This Row],[Purchase_Date]],"MMM")</f>
        <v>Jan</v>
      </c>
      <c r="N482" s="1" t="str">
        <f>TEXT(Table1[[#This Row],[Purchase_Date]],"DD")</f>
        <v>13</v>
      </c>
      <c r="O482" s="2" t="s">
        <v>41</v>
      </c>
      <c r="P482" s="3">
        <v>4</v>
      </c>
      <c r="Q482" s="2" t="s">
        <v>23</v>
      </c>
      <c r="R482" s="2" t="s">
        <v>24</v>
      </c>
      <c r="S482">
        <f>Table1[[#This Row],[Purchase_Amount]]*Table1[[#This Row],[Quantity]]</f>
        <v>2817.92</v>
      </c>
      <c r="T482" t="str">
        <f>IF(Table1[[#This Row],[Age]]&lt;25,"&lt;25",IF(Table1[[#This Row],[Age]]&lt;=35,"25-35",IF(Table1[[#This Row],[Age]]&lt;=50,"36-50","50+")))</f>
        <v>&lt;25</v>
      </c>
    </row>
    <row r="483" spans="1:20" x14ac:dyDescent="0.3">
      <c r="A483" s="2" t="s">
        <v>130</v>
      </c>
      <c r="B483" s="2" t="s">
        <v>26</v>
      </c>
      <c r="C483" s="3">
        <v>28</v>
      </c>
      <c r="D483" s="2" t="s">
        <v>38</v>
      </c>
      <c r="E483" s="2" t="s">
        <v>49</v>
      </c>
      <c r="F483" s="2" t="s">
        <v>44</v>
      </c>
      <c r="G483" t="s">
        <v>20</v>
      </c>
      <c r="H483" t="s">
        <v>131</v>
      </c>
      <c r="I483" s="4">
        <v>600.09</v>
      </c>
      <c r="J483" s="3">
        <v>1</v>
      </c>
      <c r="K483" s="1">
        <v>45496</v>
      </c>
      <c r="L483" s="1" t="str">
        <f>TEXT(Table1[[#This Row],[Purchase_Date]],"YYYY")</f>
        <v>2024</v>
      </c>
      <c r="M483" s="1" t="str">
        <f>TEXT(Table1[[#This Row],[Purchase_Date]],"MMM")</f>
        <v>Jul</v>
      </c>
      <c r="N483" s="1" t="str">
        <f>TEXT(Table1[[#This Row],[Purchase_Date]],"DD")</f>
        <v>23</v>
      </c>
      <c r="O483" s="2" t="s">
        <v>36</v>
      </c>
      <c r="P483" s="3">
        <v>1</v>
      </c>
      <c r="Q483" s="2" t="s">
        <v>46</v>
      </c>
      <c r="R483" s="2" t="s">
        <v>47</v>
      </c>
      <c r="S483">
        <f>Table1[[#This Row],[Purchase_Amount]]*Table1[[#This Row],[Quantity]]</f>
        <v>600.09</v>
      </c>
      <c r="T483" t="str">
        <f>IF(Table1[[#This Row],[Age]]&lt;25,"&lt;25",IF(Table1[[#This Row],[Age]]&lt;=35,"25-35",IF(Table1[[#This Row],[Age]]&lt;=50,"36-50","50+")))</f>
        <v>25-35</v>
      </c>
    </row>
    <row r="484" spans="1:20" x14ac:dyDescent="0.3">
      <c r="A484" s="2" t="s">
        <v>789</v>
      </c>
      <c r="B484" s="2" t="s">
        <v>26</v>
      </c>
      <c r="C484" s="3">
        <v>29</v>
      </c>
      <c r="D484" s="2" t="s">
        <v>43</v>
      </c>
      <c r="E484" s="2" t="s">
        <v>33</v>
      </c>
      <c r="F484" s="2" t="s">
        <v>27</v>
      </c>
      <c r="G484" t="s">
        <v>20</v>
      </c>
      <c r="H484" t="s">
        <v>431</v>
      </c>
      <c r="I484" s="4">
        <v>160.22999999999999</v>
      </c>
      <c r="J484" s="3">
        <v>5</v>
      </c>
      <c r="K484" s="1">
        <v>45010</v>
      </c>
      <c r="L484" s="1" t="str">
        <f>TEXT(Table1[[#This Row],[Purchase_Date]],"YYYY")</f>
        <v>2023</v>
      </c>
      <c r="M484" s="1" t="str">
        <f>TEXT(Table1[[#This Row],[Purchase_Date]],"MMM")</f>
        <v>Mar</v>
      </c>
      <c r="N484" s="1" t="str">
        <f>TEXT(Table1[[#This Row],[Purchase_Date]],"DD")</f>
        <v>25</v>
      </c>
      <c r="O484" s="2" t="s">
        <v>22</v>
      </c>
      <c r="P484" s="3">
        <v>5</v>
      </c>
      <c r="Q484" s="2" t="s">
        <v>46</v>
      </c>
      <c r="R484" s="2" t="s">
        <v>24</v>
      </c>
      <c r="S484">
        <f>Table1[[#This Row],[Purchase_Amount]]*Table1[[#This Row],[Quantity]]</f>
        <v>801.15</v>
      </c>
      <c r="T484" t="str">
        <f>IF(Table1[[#This Row],[Age]]&lt;25,"&lt;25",IF(Table1[[#This Row],[Age]]&lt;=35,"25-35",IF(Table1[[#This Row],[Age]]&lt;=50,"36-50","50+")))</f>
        <v>25-35</v>
      </c>
    </row>
    <row r="485" spans="1:20" x14ac:dyDescent="0.3">
      <c r="A485" s="2" t="s">
        <v>958</v>
      </c>
      <c r="B485" s="2" t="s">
        <v>26</v>
      </c>
      <c r="C485" s="3">
        <v>30</v>
      </c>
      <c r="D485" s="2" t="s">
        <v>43</v>
      </c>
      <c r="E485" s="2" t="s">
        <v>33</v>
      </c>
      <c r="F485" s="2" t="s">
        <v>19</v>
      </c>
      <c r="G485" t="s">
        <v>20</v>
      </c>
      <c r="H485" t="s">
        <v>227</v>
      </c>
      <c r="I485" s="4">
        <v>864.8</v>
      </c>
      <c r="J485" s="3">
        <v>4</v>
      </c>
      <c r="K485" s="1">
        <v>45378</v>
      </c>
      <c r="L485" s="1" t="str">
        <f>TEXT(Table1[[#This Row],[Purchase_Date]],"YYYY")</f>
        <v>2024</v>
      </c>
      <c r="M485" s="1" t="str">
        <f>TEXT(Table1[[#This Row],[Purchase_Date]],"MMM")</f>
        <v>Mar</v>
      </c>
      <c r="N485" s="1" t="str">
        <f>TEXT(Table1[[#This Row],[Purchase_Date]],"DD")</f>
        <v>27</v>
      </c>
      <c r="O485" s="2" t="s">
        <v>22</v>
      </c>
      <c r="P485" s="3">
        <v>9</v>
      </c>
      <c r="Q485" s="2" t="s">
        <v>23</v>
      </c>
      <c r="R485" s="2" t="s">
        <v>24</v>
      </c>
      <c r="S485">
        <f>Table1[[#This Row],[Purchase_Amount]]*Table1[[#This Row],[Quantity]]</f>
        <v>3459.2</v>
      </c>
      <c r="T485" t="str">
        <f>IF(Table1[[#This Row],[Age]]&lt;25,"&lt;25",IF(Table1[[#This Row],[Age]]&lt;=35,"25-35",IF(Table1[[#This Row],[Age]]&lt;=50,"36-50","50+")))</f>
        <v>25-35</v>
      </c>
    </row>
    <row r="486" spans="1:20" x14ac:dyDescent="0.3">
      <c r="A486" s="2" t="s">
        <v>964</v>
      </c>
      <c r="B486" s="2" t="s">
        <v>26</v>
      </c>
      <c r="C486" s="3">
        <v>31</v>
      </c>
      <c r="D486" s="2" t="s">
        <v>64</v>
      </c>
      <c r="E486" s="2" t="s">
        <v>49</v>
      </c>
      <c r="F486" s="2" t="s">
        <v>44</v>
      </c>
      <c r="G486" t="s">
        <v>20</v>
      </c>
      <c r="H486" t="s">
        <v>414</v>
      </c>
      <c r="I486" s="4">
        <v>720.83</v>
      </c>
      <c r="J486" s="3">
        <v>4</v>
      </c>
      <c r="K486" s="1">
        <v>45444</v>
      </c>
      <c r="L486" s="1" t="str">
        <f>TEXT(Table1[[#This Row],[Purchase_Date]],"YYYY")</f>
        <v>2024</v>
      </c>
      <c r="M486" s="1" t="str">
        <f>TEXT(Table1[[#This Row],[Purchase_Date]],"MMM")</f>
        <v>Jun</v>
      </c>
      <c r="N486" s="1" t="str">
        <f>TEXT(Table1[[#This Row],[Purchase_Date]],"DD")</f>
        <v>01</v>
      </c>
      <c r="O486" s="2" t="s">
        <v>36</v>
      </c>
      <c r="P486" s="3">
        <v>10</v>
      </c>
      <c r="Q486" s="2" t="s">
        <v>46</v>
      </c>
      <c r="R486" s="2" t="s">
        <v>24</v>
      </c>
      <c r="S486">
        <f>Table1[[#This Row],[Purchase_Amount]]*Table1[[#This Row],[Quantity]]</f>
        <v>2883.32</v>
      </c>
      <c r="T486" t="str">
        <f>IF(Table1[[#This Row],[Age]]&lt;25,"&lt;25",IF(Table1[[#This Row],[Age]]&lt;=35,"25-35",IF(Table1[[#This Row],[Age]]&lt;=50,"36-50","50+")))</f>
        <v>25-35</v>
      </c>
    </row>
    <row r="487" spans="1:20" x14ac:dyDescent="0.3">
      <c r="A487" s="2" t="s">
        <v>88</v>
      </c>
      <c r="B487" s="2" t="s">
        <v>26</v>
      </c>
      <c r="C487" s="3">
        <v>32</v>
      </c>
      <c r="D487" s="2" t="s">
        <v>64</v>
      </c>
      <c r="E487" s="2" t="s">
        <v>18</v>
      </c>
      <c r="F487" s="2" t="s">
        <v>19</v>
      </c>
      <c r="G487" t="s">
        <v>20</v>
      </c>
      <c r="H487" t="s">
        <v>89</v>
      </c>
      <c r="I487" s="4">
        <v>525.34</v>
      </c>
      <c r="J487" s="3">
        <v>1</v>
      </c>
      <c r="K487" s="1">
        <v>45505</v>
      </c>
      <c r="L487" s="1" t="str">
        <f>TEXT(Table1[[#This Row],[Purchase_Date]],"YYYY")</f>
        <v>2024</v>
      </c>
      <c r="M487" s="1" t="str">
        <f>TEXT(Table1[[#This Row],[Purchase_Date]],"MMM")</f>
        <v>Aug</v>
      </c>
      <c r="N487" s="1" t="str">
        <f>TEXT(Table1[[#This Row],[Purchase_Date]],"DD")</f>
        <v>01</v>
      </c>
      <c r="O487" s="2" t="s">
        <v>22</v>
      </c>
      <c r="P487" s="3">
        <v>9</v>
      </c>
      <c r="Q487" s="2" t="s">
        <v>23</v>
      </c>
      <c r="R487" s="2" t="s">
        <v>24</v>
      </c>
      <c r="S487">
        <f>Table1[[#This Row],[Purchase_Amount]]*Table1[[#This Row],[Quantity]]</f>
        <v>525.34</v>
      </c>
      <c r="T487" t="str">
        <f>IF(Table1[[#This Row],[Age]]&lt;25,"&lt;25",IF(Table1[[#This Row],[Age]]&lt;=35,"25-35",IF(Table1[[#This Row],[Age]]&lt;=50,"36-50","50+")))</f>
        <v>25-35</v>
      </c>
    </row>
    <row r="488" spans="1:20" x14ac:dyDescent="0.3">
      <c r="A488" s="2" t="s">
        <v>1163</v>
      </c>
      <c r="B488" s="2" t="s">
        <v>26</v>
      </c>
      <c r="C488" s="3">
        <v>32</v>
      </c>
      <c r="D488" s="2" t="s">
        <v>60</v>
      </c>
      <c r="E488" s="2" t="s">
        <v>49</v>
      </c>
      <c r="F488" s="2" t="s">
        <v>44</v>
      </c>
      <c r="G488" t="s">
        <v>20</v>
      </c>
      <c r="H488" t="s">
        <v>267</v>
      </c>
      <c r="I488" s="4">
        <v>644.67999999999995</v>
      </c>
      <c r="J488" s="3">
        <v>3</v>
      </c>
      <c r="K488" s="1">
        <v>45495</v>
      </c>
      <c r="L488" s="1" t="str">
        <f>TEXT(Table1[[#This Row],[Purchase_Date]],"YYYY")</f>
        <v>2024</v>
      </c>
      <c r="M488" s="1" t="str">
        <f>TEXT(Table1[[#This Row],[Purchase_Date]],"MMM")</f>
        <v>Jul</v>
      </c>
      <c r="N488" s="1" t="str">
        <f>TEXT(Table1[[#This Row],[Purchase_Date]],"DD")</f>
        <v>22</v>
      </c>
      <c r="O488" s="2" t="s">
        <v>36</v>
      </c>
      <c r="P488" s="3">
        <v>1</v>
      </c>
      <c r="Q488" s="2" t="s">
        <v>23</v>
      </c>
      <c r="R488" s="2" t="s">
        <v>47</v>
      </c>
      <c r="S488">
        <f>Table1[[#This Row],[Purchase_Amount]]*Table1[[#This Row],[Quantity]]</f>
        <v>1934.04</v>
      </c>
      <c r="T488" t="str">
        <f>IF(Table1[[#This Row],[Age]]&lt;25,"&lt;25",IF(Table1[[#This Row],[Age]]&lt;=35,"25-35",IF(Table1[[#This Row],[Age]]&lt;=50,"36-50","50+")))</f>
        <v>25-35</v>
      </c>
    </row>
    <row r="489" spans="1:20" x14ac:dyDescent="0.3">
      <c r="A489" s="2" t="s">
        <v>783</v>
      </c>
      <c r="B489" s="2" t="s">
        <v>26</v>
      </c>
      <c r="C489" s="3">
        <v>33</v>
      </c>
      <c r="D489" s="2" t="s">
        <v>43</v>
      </c>
      <c r="E489" s="2" t="s">
        <v>33</v>
      </c>
      <c r="F489" s="2" t="s">
        <v>44</v>
      </c>
      <c r="G489" t="s">
        <v>20</v>
      </c>
      <c r="H489" t="s">
        <v>50</v>
      </c>
      <c r="I489" s="4">
        <v>176.34</v>
      </c>
      <c r="J489" s="3">
        <v>5</v>
      </c>
      <c r="K489" s="1">
        <v>45567</v>
      </c>
      <c r="L489" s="1" t="str">
        <f>TEXT(Table1[[#This Row],[Purchase_Date]],"YYYY")</f>
        <v>2024</v>
      </c>
      <c r="M489" s="1" t="str">
        <f>TEXT(Table1[[#This Row],[Purchase_Date]],"MMM")</f>
        <v>Oct</v>
      </c>
      <c r="N489" s="1" t="str">
        <f>TEXT(Table1[[#This Row],[Purchase_Date]],"DD")</f>
        <v>02</v>
      </c>
      <c r="O489" s="2" t="s">
        <v>30</v>
      </c>
      <c r="P489" s="3">
        <v>1</v>
      </c>
      <c r="Q489" s="2" t="s">
        <v>46</v>
      </c>
      <c r="R489" s="2" t="s">
        <v>24</v>
      </c>
      <c r="S489">
        <f>Table1[[#This Row],[Purchase_Amount]]*Table1[[#This Row],[Quantity]]</f>
        <v>881.7</v>
      </c>
      <c r="T489" t="str">
        <f>IF(Table1[[#This Row],[Age]]&lt;25,"&lt;25",IF(Table1[[#This Row],[Age]]&lt;=35,"25-35",IF(Table1[[#This Row],[Age]]&lt;=50,"36-50","50+")))</f>
        <v>25-35</v>
      </c>
    </row>
    <row r="490" spans="1:20" x14ac:dyDescent="0.3">
      <c r="A490" s="2" t="s">
        <v>1093</v>
      </c>
      <c r="B490" s="2" t="s">
        <v>26</v>
      </c>
      <c r="C490" s="3">
        <v>34</v>
      </c>
      <c r="D490" s="2" t="s">
        <v>17</v>
      </c>
      <c r="E490" s="2" t="s">
        <v>18</v>
      </c>
      <c r="F490" s="2" t="s">
        <v>27</v>
      </c>
      <c r="G490" t="s">
        <v>20</v>
      </c>
      <c r="H490" t="s">
        <v>110</v>
      </c>
      <c r="I490" s="4">
        <v>835.98</v>
      </c>
      <c r="J490" s="3">
        <v>2</v>
      </c>
      <c r="K490" s="1">
        <v>44977</v>
      </c>
      <c r="L490" s="1" t="str">
        <f>TEXT(Table1[[#This Row],[Purchase_Date]],"YYYY")</f>
        <v>2023</v>
      </c>
      <c r="M490" s="1" t="str">
        <f>TEXT(Table1[[#This Row],[Purchase_Date]],"MMM")</f>
        <v>Feb</v>
      </c>
      <c r="N490" s="1" t="str">
        <f>TEXT(Table1[[#This Row],[Purchase_Date]],"DD")</f>
        <v>20</v>
      </c>
      <c r="O490" s="2" t="s">
        <v>36</v>
      </c>
      <c r="P490" s="3">
        <v>7</v>
      </c>
      <c r="Q490" s="2" t="s">
        <v>23</v>
      </c>
      <c r="R490" s="2" t="s">
        <v>47</v>
      </c>
      <c r="S490">
        <f>Table1[[#This Row],[Purchase_Amount]]*Table1[[#This Row],[Quantity]]</f>
        <v>1671.96</v>
      </c>
      <c r="T490" t="str">
        <f>IF(Table1[[#This Row],[Age]]&lt;25,"&lt;25",IF(Table1[[#This Row],[Age]]&lt;=35,"25-35",IF(Table1[[#This Row],[Age]]&lt;=50,"36-50","50+")))</f>
        <v>25-35</v>
      </c>
    </row>
    <row r="491" spans="1:20" x14ac:dyDescent="0.3">
      <c r="A491" s="2" t="s">
        <v>157</v>
      </c>
      <c r="B491" s="2" t="s">
        <v>26</v>
      </c>
      <c r="C491" s="3">
        <v>37</v>
      </c>
      <c r="D491" s="2" t="s">
        <v>32</v>
      </c>
      <c r="E491" s="2" t="s">
        <v>18</v>
      </c>
      <c r="F491" s="2" t="s">
        <v>44</v>
      </c>
      <c r="G491" t="s">
        <v>20</v>
      </c>
      <c r="H491" t="s">
        <v>158</v>
      </c>
      <c r="I491" s="4">
        <v>929.52</v>
      </c>
      <c r="J491" s="3">
        <v>1</v>
      </c>
      <c r="K491" s="1">
        <v>45149</v>
      </c>
      <c r="L491" s="1" t="str">
        <f>TEXT(Table1[[#This Row],[Purchase_Date]],"YYYY")</f>
        <v>2023</v>
      </c>
      <c r="M491" s="1" t="str">
        <f>TEXT(Table1[[#This Row],[Purchase_Date]],"MMM")</f>
        <v>Aug</v>
      </c>
      <c r="N491" s="1" t="str">
        <f>TEXT(Table1[[#This Row],[Purchase_Date]],"DD")</f>
        <v>11</v>
      </c>
      <c r="O491" s="2" t="s">
        <v>30</v>
      </c>
      <c r="P491" s="3">
        <v>2</v>
      </c>
      <c r="Q491" s="2" t="s">
        <v>46</v>
      </c>
      <c r="R491" s="2" t="s">
        <v>24</v>
      </c>
      <c r="S491">
        <f>Table1[[#This Row],[Purchase_Amount]]*Table1[[#This Row],[Quantity]]</f>
        <v>929.52</v>
      </c>
      <c r="T491" t="str">
        <f>IF(Table1[[#This Row],[Age]]&lt;25,"&lt;25",IF(Table1[[#This Row],[Age]]&lt;=35,"25-35",IF(Table1[[#This Row],[Age]]&lt;=50,"36-50","50+")))</f>
        <v>36-50</v>
      </c>
    </row>
    <row r="492" spans="1:20" x14ac:dyDescent="0.3">
      <c r="A492" s="2" t="s">
        <v>925</v>
      </c>
      <c r="B492" s="2" t="s">
        <v>26</v>
      </c>
      <c r="C492" s="3">
        <v>37</v>
      </c>
      <c r="D492" s="2" t="s">
        <v>78</v>
      </c>
      <c r="E492" s="2" t="s">
        <v>49</v>
      </c>
      <c r="F492" s="2" t="s">
        <v>19</v>
      </c>
      <c r="G492" t="s">
        <v>20</v>
      </c>
      <c r="H492" t="s">
        <v>573</v>
      </c>
      <c r="I492" s="4">
        <v>977.68</v>
      </c>
      <c r="J492" s="3">
        <v>3</v>
      </c>
      <c r="K492" s="1">
        <v>45200</v>
      </c>
      <c r="L492" s="1" t="str">
        <f>TEXT(Table1[[#This Row],[Purchase_Date]],"YYYY")</f>
        <v>2023</v>
      </c>
      <c r="M492" s="1" t="str">
        <f>TEXT(Table1[[#This Row],[Purchase_Date]],"MMM")</f>
        <v>Oct</v>
      </c>
      <c r="N492" s="1" t="str">
        <f>TEXT(Table1[[#This Row],[Purchase_Date]],"DD")</f>
        <v>01</v>
      </c>
      <c r="O492" s="2" t="s">
        <v>36</v>
      </c>
      <c r="P492" s="3">
        <v>1</v>
      </c>
      <c r="Q492" s="2" t="s">
        <v>23</v>
      </c>
      <c r="R492" s="2" t="s">
        <v>47</v>
      </c>
      <c r="S492">
        <f>Table1[[#This Row],[Purchase_Amount]]*Table1[[#This Row],[Quantity]]</f>
        <v>2933.04</v>
      </c>
      <c r="T492" t="str">
        <f>IF(Table1[[#This Row],[Age]]&lt;25,"&lt;25",IF(Table1[[#This Row],[Age]]&lt;=35,"25-35",IF(Table1[[#This Row],[Age]]&lt;=50,"36-50","50+")))</f>
        <v>36-50</v>
      </c>
    </row>
    <row r="493" spans="1:20" x14ac:dyDescent="0.3">
      <c r="A493" s="2" t="s">
        <v>634</v>
      </c>
      <c r="B493" s="2" t="s">
        <v>26</v>
      </c>
      <c r="C493" s="3">
        <v>40</v>
      </c>
      <c r="D493" s="2" t="s">
        <v>43</v>
      </c>
      <c r="E493" s="2" t="s">
        <v>18</v>
      </c>
      <c r="F493" s="2" t="s">
        <v>27</v>
      </c>
      <c r="G493" t="s">
        <v>20</v>
      </c>
      <c r="H493" t="s">
        <v>210</v>
      </c>
      <c r="I493" s="4">
        <v>71.33</v>
      </c>
      <c r="J493" s="3">
        <v>3</v>
      </c>
      <c r="K493" s="1">
        <v>45121</v>
      </c>
      <c r="L493" s="1" t="str">
        <f>TEXT(Table1[[#This Row],[Purchase_Date]],"YYYY")</f>
        <v>2023</v>
      </c>
      <c r="M493" s="1" t="str">
        <f>TEXT(Table1[[#This Row],[Purchase_Date]],"MMM")</f>
        <v>Jul</v>
      </c>
      <c r="N493" s="1" t="str">
        <f>TEXT(Table1[[#This Row],[Purchase_Date]],"DD")</f>
        <v>14</v>
      </c>
      <c r="O493" s="2" t="s">
        <v>36</v>
      </c>
      <c r="P493" s="3">
        <v>1</v>
      </c>
      <c r="Q493" s="2" t="s">
        <v>46</v>
      </c>
      <c r="R493" s="2" t="s">
        <v>24</v>
      </c>
      <c r="S493">
        <f>Table1[[#This Row],[Purchase_Amount]]*Table1[[#This Row],[Quantity]]</f>
        <v>213.99</v>
      </c>
      <c r="T493" t="str">
        <f>IF(Table1[[#This Row],[Age]]&lt;25,"&lt;25",IF(Table1[[#This Row],[Age]]&lt;=35,"25-35",IF(Table1[[#This Row],[Age]]&lt;=50,"36-50","50+")))</f>
        <v>36-50</v>
      </c>
    </row>
    <row r="494" spans="1:20" x14ac:dyDescent="0.3">
      <c r="A494" s="2" t="s">
        <v>558</v>
      </c>
      <c r="B494" s="2" t="s">
        <v>26</v>
      </c>
      <c r="C494" s="3">
        <v>40</v>
      </c>
      <c r="D494" s="2" t="s">
        <v>38</v>
      </c>
      <c r="E494" s="2" t="s">
        <v>33</v>
      </c>
      <c r="F494" s="2" t="s">
        <v>27</v>
      </c>
      <c r="G494" t="s">
        <v>20</v>
      </c>
      <c r="H494" t="s">
        <v>52</v>
      </c>
      <c r="I494" s="4">
        <v>670.26</v>
      </c>
      <c r="J494" s="3">
        <v>2</v>
      </c>
      <c r="K494" s="1">
        <v>45417</v>
      </c>
      <c r="L494" s="1" t="str">
        <f>TEXT(Table1[[#This Row],[Purchase_Date]],"YYYY")</f>
        <v>2024</v>
      </c>
      <c r="M494" s="1" t="str">
        <f>TEXT(Table1[[#This Row],[Purchase_Date]],"MMM")</f>
        <v>May</v>
      </c>
      <c r="N494" s="1" t="str">
        <f>TEXT(Table1[[#This Row],[Purchase_Date]],"DD")</f>
        <v>05</v>
      </c>
      <c r="O494" s="2" t="s">
        <v>30</v>
      </c>
      <c r="P494" s="3">
        <v>8</v>
      </c>
      <c r="Q494" s="2" t="s">
        <v>23</v>
      </c>
      <c r="R494" s="2" t="s">
        <v>24</v>
      </c>
      <c r="S494">
        <f>Table1[[#This Row],[Purchase_Amount]]*Table1[[#This Row],[Quantity]]</f>
        <v>1340.52</v>
      </c>
      <c r="T494" t="str">
        <f>IF(Table1[[#This Row],[Age]]&lt;25,"&lt;25",IF(Table1[[#This Row],[Age]]&lt;=35,"25-35",IF(Table1[[#This Row],[Age]]&lt;=50,"36-50","50+")))</f>
        <v>36-50</v>
      </c>
    </row>
    <row r="495" spans="1:20" x14ac:dyDescent="0.3">
      <c r="A495" s="2" t="s">
        <v>1016</v>
      </c>
      <c r="B495" s="2" t="s">
        <v>26</v>
      </c>
      <c r="C495" s="3">
        <v>41</v>
      </c>
      <c r="D495" s="2" t="s">
        <v>60</v>
      </c>
      <c r="E495" s="2" t="s">
        <v>18</v>
      </c>
      <c r="F495" s="2" t="s">
        <v>44</v>
      </c>
      <c r="G495" t="s">
        <v>20</v>
      </c>
      <c r="H495" t="s">
        <v>762</v>
      </c>
      <c r="I495" s="4">
        <v>354.34</v>
      </c>
      <c r="J495" s="3">
        <v>2</v>
      </c>
      <c r="K495" s="1">
        <v>44972</v>
      </c>
      <c r="L495" s="1" t="str">
        <f>TEXT(Table1[[#This Row],[Purchase_Date]],"YYYY")</f>
        <v>2023</v>
      </c>
      <c r="M495" s="1" t="str">
        <f>TEXT(Table1[[#This Row],[Purchase_Date]],"MMM")</f>
        <v>Feb</v>
      </c>
      <c r="N495" s="1" t="str">
        <f>TEXT(Table1[[#This Row],[Purchase_Date]],"DD")</f>
        <v>15</v>
      </c>
      <c r="O495" s="2" t="s">
        <v>22</v>
      </c>
      <c r="P495" s="3">
        <v>9</v>
      </c>
      <c r="Q495" s="2" t="s">
        <v>23</v>
      </c>
      <c r="R495" s="2" t="s">
        <v>24</v>
      </c>
      <c r="S495">
        <f>Table1[[#This Row],[Purchase_Amount]]*Table1[[#This Row],[Quantity]]</f>
        <v>708.68</v>
      </c>
      <c r="T495" t="str">
        <f>IF(Table1[[#This Row],[Age]]&lt;25,"&lt;25",IF(Table1[[#This Row],[Age]]&lt;=35,"25-35",IF(Table1[[#This Row],[Age]]&lt;=50,"36-50","50+")))</f>
        <v>36-50</v>
      </c>
    </row>
    <row r="496" spans="1:20" x14ac:dyDescent="0.3">
      <c r="A496" s="2" t="s">
        <v>443</v>
      </c>
      <c r="B496" s="2" t="s">
        <v>26</v>
      </c>
      <c r="C496" s="3">
        <v>42</v>
      </c>
      <c r="D496" s="2" t="s">
        <v>64</v>
      </c>
      <c r="E496" s="2" t="s">
        <v>18</v>
      </c>
      <c r="F496" s="2" t="s">
        <v>44</v>
      </c>
      <c r="G496" t="s">
        <v>20</v>
      </c>
      <c r="H496" t="s">
        <v>105</v>
      </c>
      <c r="I496" s="4">
        <v>470.39</v>
      </c>
      <c r="J496" s="3">
        <v>3</v>
      </c>
      <c r="K496" s="1">
        <v>45053</v>
      </c>
      <c r="L496" s="1" t="str">
        <f>TEXT(Table1[[#This Row],[Purchase_Date]],"YYYY")</f>
        <v>2023</v>
      </c>
      <c r="M496" s="1" t="str">
        <f>TEXT(Table1[[#This Row],[Purchase_Date]],"MMM")</f>
        <v>May</v>
      </c>
      <c r="N496" s="1" t="str">
        <f>TEXT(Table1[[#This Row],[Purchase_Date]],"DD")</f>
        <v>07</v>
      </c>
      <c r="O496" s="2" t="s">
        <v>30</v>
      </c>
      <c r="P496" s="3">
        <v>10</v>
      </c>
      <c r="Q496" s="2" t="s">
        <v>46</v>
      </c>
      <c r="R496" s="2" t="s">
        <v>47</v>
      </c>
      <c r="S496">
        <f>Table1[[#This Row],[Purchase_Amount]]*Table1[[#This Row],[Quantity]]</f>
        <v>1411.17</v>
      </c>
      <c r="T496" t="str">
        <f>IF(Table1[[#This Row],[Age]]&lt;25,"&lt;25",IF(Table1[[#This Row],[Age]]&lt;=35,"25-35",IF(Table1[[#This Row],[Age]]&lt;=50,"36-50","50+")))</f>
        <v>36-50</v>
      </c>
    </row>
    <row r="497" spans="1:20" x14ac:dyDescent="0.3">
      <c r="A497" s="2" t="s">
        <v>802</v>
      </c>
      <c r="B497" s="2" t="s">
        <v>26</v>
      </c>
      <c r="C497" s="3">
        <v>43</v>
      </c>
      <c r="D497" s="2" t="s">
        <v>32</v>
      </c>
      <c r="E497" s="2" t="s">
        <v>49</v>
      </c>
      <c r="F497" s="2" t="s">
        <v>44</v>
      </c>
      <c r="G497" t="s">
        <v>20</v>
      </c>
      <c r="H497" t="s">
        <v>191</v>
      </c>
      <c r="I497" s="4">
        <v>426.53</v>
      </c>
      <c r="J497" s="3">
        <v>5</v>
      </c>
      <c r="K497" s="1">
        <v>45224</v>
      </c>
      <c r="L497" s="1" t="str">
        <f>TEXT(Table1[[#This Row],[Purchase_Date]],"YYYY")</f>
        <v>2023</v>
      </c>
      <c r="M497" s="1" t="str">
        <f>TEXT(Table1[[#This Row],[Purchase_Date]],"MMM")</f>
        <v>Oct</v>
      </c>
      <c r="N497" s="1" t="str">
        <f>TEXT(Table1[[#This Row],[Purchase_Date]],"DD")</f>
        <v>25</v>
      </c>
      <c r="O497" s="2" t="s">
        <v>36</v>
      </c>
      <c r="P497" s="3">
        <v>3</v>
      </c>
      <c r="Q497" s="2" t="s">
        <v>46</v>
      </c>
      <c r="R497" s="2" t="s">
        <v>24</v>
      </c>
      <c r="S497">
        <f>Table1[[#This Row],[Purchase_Amount]]*Table1[[#This Row],[Quantity]]</f>
        <v>2132.6499999999996</v>
      </c>
      <c r="T497" t="str">
        <f>IF(Table1[[#This Row],[Age]]&lt;25,"&lt;25",IF(Table1[[#This Row],[Age]]&lt;=35,"25-35",IF(Table1[[#This Row],[Age]]&lt;=50,"36-50","50+")))</f>
        <v>36-50</v>
      </c>
    </row>
    <row r="498" spans="1:20" x14ac:dyDescent="0.3">
      <c r="A498" s="2" t="s">
        <v>535</v>
      </c>
      <c r="B498" s="2" t="s">
        <v>26</v>
      </c>
      <c r="C498" s="3">
        <v>46</v>
      </c>
      <c r="D498" s="2" t="s">
        <v>43</v>
      </c>
      <c r="E498" s="2" t="s">
        <v>18</v>
      </c>
      <c r="F498" s="2" t="s">
        <v>19</v>
      </c>
      <c r="G498" t="s">
        <v>20</v>
      </c>
      <c r="H498" t="s">
        <v>536</v>
      </c>
      <c r="I498" s="4">
        <v>399.7</v>
      </c>
      <c r="J498" s="3">
        <v>3</v>
      </c>
      <c r="K498" s="1">
        <v>44987</v>
      </c>
      <c r="L498" s="1" t="str">
        <f>TEXT(Table1[[#This Row],[Purchase_Date]],"YYYY")</f>
        <v>2023</v>
      </c>
      <c r="M498" s="1" t="str">
        <f>TEXT(Table1[[#This Row],[Purchase_Date]],"MMM")</f>
        <v>Mar</v>
      </c>
      <c r="N498" s="1" t="str">
        <f>TEXT(Table1[[#This Row],[Purchase_Date]],"DD")</f>
        <v>02</v>
      </c>
      <c r="O498" s="2" t="s">
        <v>30</v>
      </c>
      <c r="P498" s="3">
        <v>7</v>
      </c>
      <c r="Q498" s="2" t="s">
        <v>46</v>
      </c>
      <c r="R498" s="2" t="s">
        <v>47</v>
      </c>
      <c r="S498">
        <f>Table1[[#This Row],[Purchase_Amount]]*Table1[[#This Row],[Quantity]]</f>
        <v>1199.0999999999999</v>
      </c>
      <c r="T498" t="str">
        <f>IF(Table1[[#This Row],[Age]]&lt;25,"&lt;25",IF(Table1[[#This Row],[Age]]&lt;=35,"25-35",IF(Table1[[#This Row],[Age]]&lt;=50,"36-50","50+")))</f>
        <v>36-50</v>
      </c>
    </row>
    <row r="499" spans="1:20" x14ac:dyDescent="0.3">
      <c r="A499" s="2" t="s">
        <v>213</v>
      </c>
      <c r="B499" s="2" t="s">
        <v>26</v>
      </c>
      <c r="C499" s="3">
        <v>47</v>
      </c>
      <c r="D499" s="2" t="s">
        <v>38</v>
      </c>
      <c r="E499" s="2" t="s">
        <v>33</v>
      </c>
      <c r="F499" s="2" t="s">
        <v>19</v>
      </c>
      <c r="G499" t="s">
        <v>20</v>
      </c>
      <c r="H499" t="s">
        <v>101</v>
      </c>
      <c r="I499" s="4">
        <v>858.96</v>
      </c>
      <c r="J499" s="3">
        <v>1</v>
      </c>
      <c r="K499" s="1">
        <v>45452</v>
      </c>
      <c r="L499" s="1" t="str">
        <f>TEXT(Table1[[#This Row],[Purchase_Date]],"YYYY")</f>
        <v>2024</v>
      </c>
      <c r="M499" s="1" t="str">
        <f>TEXT(Table1[[#This Row],[Purchase_Date]],"MMM")</f>
        <v>Jun</v>
      </c>
      <c r="N499" s="1" t="str">
        <f>TEXT(Table1[[#This Row],[Purchase_Date]],"DD")</f>
        <v>09</v>
      </c>
      <c r="O499" s="2" t="s">
        <v>36</v>
      </c>
      <c r="P499" s="3">
        <v>2</v>
      </c>
      <c r="Q499" s="2" t="s">
        <v>23</v>
      </c>
      <c r="R499" s="2" t="s">
        <v>24</v>
      </c>
      <c r="S499">
        <f>Table1[[#This Row],[Purchase_Amount]]*Table1[[#This Row],[Quantity]]</f>
        <v>858.96</v>
      </c>
      <c r="T499" t="str">
        <f>IF(Table1[[#This Row],[Age]]&lt;25,"&lt;25",IF(Table1[[#This Row],[Age]]&lt;=35,"25-35",IF(Table1[[#This Row],[Age]]&lt;=50,"36-50","50+")))</f>
        <v>36-50</v>
      </c>
    </row>
    <row r="500" spans="1:20" x14ac:dyDescent="0.3">
      <c r="A500" s="2" t="s">
        <v>1004</v>
      </c>
      <c r="B500" s="2" t="s">
        <v>26</v>
      </c>
      <c r="C500" s="3">
        <v>49</v>
      </c>
      <c r="D500" s="2" t="s">
        <v>78</v>
      </c>
      <c r="E500" s="2" t="s">
        <v>49</v>
      </c>
      <c r="F500" s="2" t="s">
        <v>44</v>
      </c>
      <c r="G500" t="s">
        <v>20</v>
      </c>
      <c r="H500" t="s">
        <v>728</v>
      </c>
      <c r="I500" s="4">
        <v>600.17999999999995</v>
      </c>
      <c r="J500" s="3">
        <v>2</v>
      </c>
      <c r="K500" s="1">
        <v>45004</v>
      </c>
      <c r="L500" s="1" t="str">
        <f>TEXT(Table1[[#This Row],[Purchase_Date]],"YYYY")</f>
        <v>2023</v>
      </c>
      <c r="M500" s="1" t="str">
        <f>TEXT(Table1[[#This Row],[Purchase_Date]],"MMM")</f>
        <v>Mar</v>
      </c>
      <c r="N500" s="1" t="str">
        <f>TEXT(Table1[[#This Row],[Purchase_Date]],"DD")</f>
        <v>19</v>
      </c>
      <c r="O500" s="2" t="s">
        <v>22</v>
      </c>
      <c r="P500" s="3">
        <v>1</v>
      </c>
      <c r="Q500" s="2" t="s">
        <v>46</v>
      </c>
      <c r="R500" s="2" t="s">
        <v>24</v>
      </c>
      <c r="S500">
        <f>Table1[[#This Row],[Purchase_Amount]]*Table1[[#This Row],[Quantity]]</f>
        <v>1200.3599999999999</v>
      </c>
      <c r="T500" t="str">
        <f>IF(Table1[[#This Row],[Age]]&lt;25,"&lt;25",IF(Table1[[#This Row],[Age]]&lt;=35,"25-35",IF(Table1[[#This Row],[Age]]&lt;=50,"36-50","50+")))</f>
        <v>36-50</v>
      </c>
    </row>
    <row r="501" spans="1:20" x14ac:dyDescent="0.3">
      <c r="A501" s="2" t="s">
        <v>248</v>
      </c>
      <c r="B501" s="2" t="s">
        <v>26</v>
      </c>
      <c r="C501" s="3">
        <v>50</v>
      </c>
      <c r="D501" s="2" t="s">
        <v>78</v>
      </c>
      <c r="E501" s="2" t="s">
        <v>49</v>
      </c>
      <c r="F501" s="2" t="s">
        <v>27</v>
      </c>
      <c r="G501" t="s">
        <v>20</v>
      </c>
      <c r="H501" t="s">
        <v>249</v>
      </c>
      <c r="I501" s="4">
        <v>498.03</v>
      </c>
      <c r="J501" s="3">
        <v>3</v>
      </c>
      <c r="K501" s="1">
        <v>45322</v>
      </c>
      <c r="L501" s="1" t="str">
        <f>TEXT(Table1[[#This Row],[Purchase_Date]],"YYYY")</f>
        <v>2024</v>
      </c>
      <c r="M501" s="1" t="str">
        <f>TEXT(Table1[[#This Row],[Purchase_Date]],"MMM")</f>
        <v>Jan</v>
      </c>
      <c r="N501" s="1" t="str">
        <f>TEXT(Table1[[#This Row],[Purchase_Date]],"DD")</f>
        <v>31</v>
      </c>
      <c r="O501" s="2" t="s">
        <v>36</v>
      </c>
      <c r="P501" s="3">
        <v>10</v>
      </c>
      <c r="Q501" s="2" t="s">
        <v>46</v>
      </c>
      <c r="R501" s="2" t="s">
        <v>47</v>
      </c>
      <c r="S501">
        <f>Table1[[#This Row],[Purchase_Amount]]*Table1[[#This Row],[Quantity]]</f>
        <v>1494.09</v>
      </c>
      <c r="T501" t="str">
        <f>IF(Table1[[#This Row],[Age]]&lt;25,"&lt;25",IF(Table1[[#This Row],[Age]]&lt;=35,"25-35",IF(Table1[[#This Row],[Age]]&lt;=50,"36-50","50+")))</f>
        <v>36-50</v>
      </c>
    </row>
    <row r="502" spans="1:20" x14ac:dyDescent="0.3">
      <c r="A502" s="2" t="s">
        <v>571</v>
      </c>
      <c r="B502" s="2" t="s">
        <v>26</v>
      </c>
      <c r="C502" s="3">
        <v>52</v>
      </c>
      <c r="D502" s="2" t="s">
        <v>32</v>
      </c>
      <c r="E502" s="2" t="s">
        <v>49</v>
      </c>
      <c r="F502" s="2" t="s">
        <v>19</v>
      </c>
      <c r="G502" t="s">
        <v>20</v>
      </c>
      <c r="H502" t="s">
        <v>105</v>
      </c>
      <c r="I502" s="4">
        <v>537.15</v>
      </c>
      <c r="J502" s="3">
        <v>1</v>
      </c>
      <c r="K502" s="1">
        <v>44996</v>
      </c>
      <c r="L502" s="1" t="str">
        <f>TEXT(Table1[[#This Row],[Purchase_Date]],"YYYY")</f>
        <v>2023</v>
      </c>
      <c r="M502" s="1" t="str">
        <f>TEXT(Table1[[#This Row],[Purchase_Date]],"MMM")</f>
        <v>Mar</v>
      </c>
      <c r="N502" s="1" t="str">
        <f>TEXT(Table1[[#This Row],[Purchase_Date]],"DD")</f>
        <v>11</v>
      </c>
      <c r="O502" s="2" t="s">
        <v>22</v>
      </c>
      <c r="P502" s="3">
        <v>5</v>
      </c>
      <c r="Q502" s="2" t="s">
        <v>46</v>
      </c>
      <c r="R502" s="2" t="s">
        <v>47</v>
      </c>
      <c r="S502">
        <f>Table1[[#This Row],[Purchase_Amount]]*Table1[[#This Row],[Quantity]]</f>
        <v>537.15</v>
      </c>
      <c r="T502" t="str">
        <f>IF(Table1[[#This Row],[Age]]&lt;25,"&lt;25",IF(Table1[[#This Row],[Age]]&lt;=35,"25-35",IF(Table1[[#This Row],[Age]]&lt;=50,"36-50","50+")))</f>
        <v>50+</v>
      </c>
    </row>
    <row r="503" spans="1:20" x14ac:dyDescent="0.3">
      <c r="A503" s="2" t="s">
        <v>305</v>
      </c>
      <c r="B503" s="2" t="s">
        <v>26</v>
      </c>
      <c r="C503" s="3">
        <v>54</v>
      </c>
      <c r="D503" s="2" t="s">
        <v>32</v>
      </c>
      <c r="E503" s="2" t="s">
        <v>18</v>
      </c>
      <c r="F503" s="2" t="s">
        <v>44</v>
      </c>
      <c r="G503" t="s">
        <v>20</v>
      </c>
      <c r="H503" t="s">
        <v>246</v>
      </c>
      <c r="I503" s="4">
        <v>399.39</v>
      </c>
      <c r="J503" s="3">
        <v>2</v>
      </c>
      <c r="K503" s="1">
        <v>45099</v>
      </c>
      <c r="L503" s="1" t="str">
        <f>TEXT(Table1[[#This Row],[Purchase_Date]],"YYYY")</f>
        <v>2023</v>
      </c>
      <c r="M503" s="1" t="str">
        <f>TEXT(Table1[[#This Row],[Purchase_Date]],"MMM")</f>
        <v>Jun</v>
      </c>
      <c r="N503" s="1" t="str">
        <f>TEXT(Table1[[#This Row],[Purchase_Date]],"DD")</f>
        <v>22</v>
      </c>
      <c r="O503" s="2" t="s">
        <v>41</v>
      </c>
      <c r="P503" s="3">
        <v>4</v>
      </c>
      <c r="Q503" s="2" t="s">
        <v>23</v>
      </c>
      <c r="R503" s="2" t="s">
        <v>47</v>
      </c>
      <c r="S503">
        <f>Table1[[#This Row],[Purchase_Amount]]*Table1[[#This Row],[Quantity]]</f>
        <v>798.78</v>
      </c>
      <c r="T503" t="str">
        <f>IF(Table1[[#This Row],[Age]]&lt;25,"&lt;25",IF(Table1[[#This Row],[Age]]&lt;=35,"25-35",IF(Table1[[#This Row],[Age]]&lt;=50,"36-50","50+")))</f>
        <v>50+</v>
      </c>
    </row>
    <row r="504" spans="1:20" x14ac:dyDescent="0.3">
      <c r="A504" s="2" t="s">
        <v>211</v>
      </c>
      <c r="B504" s="2" t="s">
        <v>26</v>
      </c>
      <c r="C504" s="3">
        <v>54</v>
      </c>
      <c r="D504" s="2" t="s">
        <v>17</v>
      </c>
      <c r="E504" s="2" t="s">
        <v>18</v>
      </c>
      <c r="F504" s="2" t="s">
        <v>19</v>
      </c>
      <c r="G504" t="s">
        <v>20</v>
      </c>
      <c r="H504" t="s">
        <v>50</v>
      </c>
      <c r="I504" s="4">
        <v>543.01</v>
      </c>
      <c r="J504" s="3">
        <v>3</v>
      </c>
      <c r="K504" s="1">
        <v>44928</v>
      </c>
      <c r="L504" s="1" t="str">
        <f>TEXT(Table1[[#This Row],[Purchase_Date]],"YYYY")</f>
        <v>2023</v>
      </c>
      <c r="M504" s="1" t="str">
        <f>TEXT(Table1[[#This Row],[Purchase_Date]],"MMM")</f>
        <v>Jan</v>
      </c>
      <c r="N504" s="1" t="str">
        <f>TEXT(Table1[[#This Row],[Purchase_Date]],"DD")</f>
        <v>02</v>
      </c>
      <c r="O504" s="2" t="s">
        <v>30</v>
      </c>
      <c r="P504" s="3">
        <v>9</v>
      </c>
      <c r="Q504" s="2" t="s">
        <v>23</v>
      </c>
      <c r="R504" s="2" t="s">
        <v>47</v>
      </c>
      <c r="S504">
        <f>Table1[[#This Row],[Purchase_Amount]]*Table1[[#This Row],[Quantity]]</f>
        <v>1629.03</v>
      </c>
      <c r="T504" t="str">
        <f>IF(Table1[[#This Row],[Age]]&lt;25,"&lt;25",IF(Table1[[#This Row],[Age]]&lt;=35,"25-35",IF(Table1[[#This Row],[Age]]&lt;=50,"36-50","50+")))</f>
        <v>50+</v>
      </c>
    </row>
    <row r="505" spans="1:20" x14ac:dyDescent="0.3">
      <c r="A505" s="2" t="s">
        <v>419</v>
      </c>
      <c r="B505" s="2" t="s">
        <v>26</v>
      </c>
      <c r="C505" s="3">
        <v>54</v>
      </c>
      <c r="D505" s="2" t="s">
        <v>43</v>
      </c>
      <c r="E505" s="2" t="s">
        <v>33</v>
      </c>
      <c r="F505" s="2" t="s">
        <v>27</v>
      </c>
      <c r="G505" t="s">
        <v>20</v>
      </c>
      <c r="H505" t="s">
        <v>162</v>
      </c>
      <c r="I505" s="4">
        <v>966.17</v>
      </c>
      <c r="J505" s="3">
        <v>4</v>
      </c>
      <c r="K505" s="1">
        <v>45482</v>
      </c>
      <c r="L505" s="1" t="str">
        <f>TEXT(Table1[[#This Row],[Purchase_Date]],"YYYY")</f>
        <v>2024</v>
      </c>
      <c r="M505" s="1" t="str">
        <f>TEXT(Table1[[#This Row],[Purchase_Date]],"MMM")</f>
        <v>Jul</v>
      </c>
      <c r="N505" s="1" t="str">
        <f>TEXT(Table1[[#This Row],[Purchase_Date]],"DD")</f>
        <v>09</v>
      </c>
      <c r="O505" s="2" t="s">
        <v>22</v>
      </c>
      <c r="P505" s="3">
        <v>5</v>
      </c>
      <c r="Q505" s="2" t="s">
        <v>23</v>
      </c>
      <c r="R505" s="2" t="s">
        <v>24</v>
      </c>
      <c r="S505">
        <f>Table1[[#This Row],[Purchase_Amount]]*Table1[[#This Row],[Quantity]]</f>
        <v>3864.68</v>
      </c>
      <c r="T505" t="str">
        <f>IF(Table1[[#This Row],[Age]]&lt;25,"&lt;25",IF(Table1[[#This Row],[Age]]&lt;=35,"25-35",IF(Table1[[#This Row],[Age]]&lt;=50,"36-50","50+")))</f>
        <v>50+</v>
      </c>
    </row>
    <row r="506" spans="1:20" x14ac:dyDescent="0.3">
      <c r="A506" s="2" t="s">
        <v>646</v>
      </c>
      <c r="B506" s="2" t="s">
        <v>26</v>
      </c>
      <c r="C506" s="3">
        <v>56</v>
      </c>
      <c r="D506" s="2" t="s">
        <v>32</v>
      </c>
      <c r="E506" s="2" t="s">
        <v>49</v>
      </c>
      <c r="F506" s="2" t="s">
        <v>19</v>
      </c>
      <c r="G506" t="s">
        <v>20</v>
      </c>
      <c r="H506" t="s">
        <v>110</v>
      </c>
      <c r="I506" s="4">
        <v>49.52</v>
      </c>
      <c r="J506" s="3">
        <v>5</v>
      </c>
      <c r="K506" s="1">
        <v>45348</v>
      </c>
      <c r="L506" s="1" t="str">
        <f>TEXT(Table1[[#This Row],[Purchase_Date]],"YYYY")</f>
        <v>2024</v>
      </c>
      <c r="M506" s="1" t="str">
        <f>TEXT(Table1[[#This Row],[Purchase_Date]],"MMM")</f>
        <v>Feb</v>
      </c>
      <c r="N506" s="1" t="str">
        <f>TEXT(Table1[[#This Row],[Purchase_Date]],"DD")</f>
        <v>26</v>
      </c>
      <c r="O506" s="2" t="s">
        <v>36</v>
      </c>
      <c r="P506" s="3">
        <v>1</v>
      </c>
      <c r="Q506" s="2" t="s">
        <v>46</v>
      </c>
      <c r="R506" s="2" t="s">
        <v>47</v>
      </c>
      <c r="S506">
        <f>Table1[[#This Row],[Purchase_Amount]]*Table1[[#This Row],[Quantity]]</f>
        <v>247.60000000000002</v>
      </c>
      <c r="T506" t="str">
        <f>IF(Table1[[#This Row],[Age]]&lt;25,"&lt;25",IF(Table1[[#This Row],[Age]]&lt;=35,"25-35",IF(Table1[[#This Row],[Age]]&lt;=50,"36-50","50+")))</f>
        <v>50+</v>
      </c>
    </row>
    <row r="507" spans="1:20" x14ac:dyDescent="0.3">
      <c r="A507" s="2" t="s">
        <v>1002</v>
      </c>
      <c r="B507" s="2" t="s">
        <v>26</v>
      </c>
      <c r="C507" s="3">
        <v>57</v>
      </c>
      <c r="D507" s="2" t="s">
        <v>64</v>
      </c>
      <c r="E507" s="2" t="s">
        <v>49</v>
      </c>
      <c r="F507" s="2" t="s">
        <v>44</v>
      </c>
      <c r="G507" t="s">
        <v>20</v>
      </c>
      <c r="H507" t="s">
        <v>371</v>
      </c>
      <c r="I507" s="4">
        <v>680.1</v>
      </c>
      <c r="J507" s="3">
        <v>2</v>
      </c>
      <c r="K507" s="1">
        <v>44930</v>
      </c>
      <c r="L507" s="1" t="str">
        <f>TEXT(Table1[[#This Row],[Purchase_Date]],"YYYY")</f>
        <v>2023</v>
      </c>
      <c r="M507" s="1" t="str">
        <f>TEXT(Table1[[#This Row],[Purchase_Date]],"MMM")</f>
        <v>Jan</v>
      </c>
      <c r="N507" s="1" t="str">
        <f>TEXT(Table1[[#This Row],[Purchase_Date]],"DD")</f>
        <v>04</v>
      </c>
      <c r="O507" s="2" t="s">
        <v>36</v>
      </c>
      <c r="P507" s="3">
        <v>4</v>
      </c>
      <c r="Q507" s="2" t="s">
        <v>23</v>
      </c>
      <c r="R507" s="2" t="s">
        <v>24</v>
      </c>
      <c r="S507">
        <f>Table1[[#This Row],[Purchase_Amount]]*Table1[[#This Row],[Quantity]]</f>
        <v>1360.2</v>
      </c>
      <c r="T507" t="str">
        <f>IF(Table1[[#This Row],[Age]]&lt;25,"&lt;25",IF(Table1[[#This Row],[Age]]&lt;=35,"25-35",IF(Table1[[#This Row],[Age]]&lt;=50,"36-50","50+")))</f>
        <v>50+</v>
      </c>
    </row>
    <row r="508" spans="1:20" x14ac:dyDescent="0.3">
      <c r="A508" s="2" t="s">
        <v>611</v>
      </c>
      <c r="B508" s="2" t="s">
        <v>26</v>
      </c>
      <c r="C508" s="3">
        <v>59</v>
      </c>
      <c r="D508" s="2" t="s">
        <v>109</v>
      </c>
      <c r="E508" s="2" t="s">
        <v>49</v>
      </c>
      <c r="F508" s="2" t="s">
        <v>44</v>
      </c>
      <c r="G508" t="s">
        <v>20</v>
      </c>
      <c r="H508" t="s">
        <v>605</v>
      </c>
      <c r="I508" s="4">
        <v>46.35</v>
      </c>
      <c r="J508" s="3">
        <v>3</v>
      </c>
      <c r="K508" s="1">
        <v>45552</v>
      </c>
      <c r="L508" s="1" t="str">
        <f>TEXT(Table1[[#This Row],[Purchase_Date]],"YYYY")</f>
        <v>2024</v>
      </c>
      <c r="M508" s="1" t="str">
        <f>TEXT(Table1[[#This Row],[Purchase_Date]],"MMM")</f>
        <v>Sep</v>
      </c>
      <c r="N508" s="1" t="str">
        <f>TEXT(Table1[[#This Row],[Purchase_Date]],"DD")</f>
        <v>17</v>
      </c>
      <c r="O508" s="2" t="s">
        <v>30</v>
      </c>
      <c r="P508" s="3">
        <v>8</v>
      </c>
      <c r="Q508" s="2" t="s">
        <v>23</v>
      </c>
      <c r="R508" s="2" t="s">
        <v>24</v>
      </c>
      <c r="S508">
        <f>Table1[[#This Row],[Purchase_Amount]]*Table1[[#This Row],[Quantity]]</f>
        <v>139.05000000000001</v>
      </c>
      <c r="T508" t="str">
        <f>IF(Table1[[#This Row],[Age]]&lt;25,"&lt;25",IF(Table1[[#This Row],[Age]]&lt;=35,"25-35",IF(Table1[[#This Row],[Age]]&lt;=50,"36-50","50+")))</f>
        <v>50+</v>
      </c>
    </row>
    <row r="509" spans="1:20" x14ac:dyDescent="0.3">
      <c r="A509" s="2" t="s">
        <v>378</v>
      </c>
      <c r="B509" s="2" t="s">
        <v>26</v>
      </c>
      <c r="C509" s="3">
        <v>60</v>
      </c>
      <c r="D509" s="2" t="s">
        <v>38</v>
      </c>
      <c r="E509" s="2" t="s">
        <v>33</v>
      </c>
      <c r="F509" s="2" t="s">
        <v>19</v>
      </c>
      <c r="G509" t="s">
        <v>20</v>
      </c>
      <c r="H509" t="s">
        <v>191</v>
      </c>
      <c r="I509" s="4">
        <v>204.72</v>
      </c>
      <c r="J509" s="3">
        <v>2</v>
      </c>
      <c r="K509" s="1">
        <v>45556</v>
      </c>
      <c r="L509" s="1" t="str">
        <f>TEXT(Table1[[#This Row],[Purchase_Date]],"YYYY")</f>
        <v>2024</v>
      </c>
      <c r="M509" s="1" t="str">
        <f>TEXT(Table1[[#This Row],[Purchase_Date]],"MMM")</f>
        <v>Sep</v>
      </c>
      <c r="N509" s="1" t="str">
        <f>TEXT(Table1[[#This Row],[Purchase_Date]],"DD")</f>
        <v>21</v>
      </c>
      <c r="O509" s="2" t="s">
        <v>22</v>
      </c>
      <c r="P509" s="3">
        <v>10</v>
      </c>
      <c r="Q509" s="2" t="s">
        <v>46</v>
      </c>
      <c r="R509" s="2" t="s">
        <v>47</v>
      </c>
      <c r="S509">
        <f>Table1[[#This Row],[Purchase_Amount]]*Table1[[#This Row],[Quantity]]</f>
        <v>409.44</v>
      </c>
      <c r="T509" t="str">
        <f>IF(Table1[[#This Row],[Age]]&lt;25,"&lt;25",IF(Table1[[#This Row],[Age]]&lt;=35,"25-35",IF(Table1[[#This Row],[Age]]&lt;=50,"36-50","50+")))</f>
        <v>50+</v>
      </c>
    </row>
    <row r="510" spans="1:20" x14ac:dyDescent="0.3">
      <c r="A510" s="2" t="s">
        <v>912</v>
      </c>
      <c r="B510" s="2" t="s">
        <v>26</v>
      </c>
      <c r="C510" s="3">
        <v>60</v>
      </c>
      <c r="D510" s="2" t="s">
        <v>109</v>
      </c>
      <c r="E510" s="2" t="s">
        <v>49</v>
      </c>
      <c r="F510" s="2" t="s">
        <v>27</v>
      </c>
      <c r="G510" t="s">
        <v>20</v>
      </c>
      <c r="H510" t="s">
        <v>162</v>
      </c>
      <c r="I510" s="4">
        <v>961.14</v>
      </c>
      <c r="J510" s="3">
        <v>5</v>
      </c>
      <c r="K510" s="1">
        <v>45212</v>
      </c>
      <c r="L510" s="1" t="str">
        <f>TEXT(Table1[[#This Row],[Purchase_Date]],"YYYY")</f>
        <v>2023</v>
      </c>
      <c r="M510" s="1" t="str">
        <f>TEXT(Table1[[#This Row],[Purchase_Date]],"MMM")</f>
        <v>Oct</v>
      </c>
      <c r="N510" s="1" t="str">
        <f>TEXT(Table1[[#This Row],[Purchase_Date]],"DD")</f>
        <v>13</v>
      </c>
      <c r="O510" s="2" t="s">
        <v>36</v>
      </c>
      <c r="P510" s="3">
        <v>10</v>
      </c>
      <c r="Q510" s="2" t="s">
        <v>23</v>
      </c>
      <c r="R510" s="2" t="s">
        <v>24</v>
      </c>
      <c r="S510">
        <f>Table1[[#This Row],[Purchase_Amount]]*Table1[[#This Row],[Quantity]]</f>
        <v>4805.7</v>
      </c>
      <c r="T510" t="str">
        <f>IF(Table1[[#This Row],[Age]]&lt;25,"&lt;25",IF(Table1[[#This Row],[Age]]&lt;=35,"25-35",IF(Table1[[#This Row],[Age]]&lt;=50,"36-50","50+")))</f>
        <v>50+</v>
      </c>
    </row>
    <row r="511" spans="1:20" x14ac:dyDescent="0.3">
      <c r="A511" s="2" t="s">
        <v>1036</v>
      </c>
      <c r="B511" s="2" t="s">
        <v>26</v>
      </c>
      <c r="C511" s="3">
        <v>62</v>
      </c>
      <c r="D511" s="2" t="s">
        <v>32</v>
      </c>
      <c r="E511" s="2" t="s">
        <v>33</v>
      </c>
      <c r="F511" s="2" t="s">
        <v>27</v>
      </c>
      <c r="G511" t="s">
        <v>20</v>
      </c>
      <c r="H511" t="s">
        <v>160</v>
      </c>
      <c r="I511" s="4">
        <v>510.87</v>
      </c>
      <c r="J511" s="3">
        <v>1</v>
      </c>
      <c r="K511" s="1">
        <v>45024</v>
      </c>
      <c r="L511" s="1" t="str">
        <f>TEXT(Table1[[#This Row],[Purchase_Date]],"YYYY")</f>
        <v>2023</v>
      </c>
      <c r="M511" s="1" t="str">
        <f>TEXT(Table1[[#This Row],[Purchase_Date]],"MMM")</f>
        <v>Apr</v>
      </c>
      <c r="N511" s="1" t="str">
        <f>TEXT(Table1[[#This Row],[Purchase_Date]],"DD")</f>
        <v>08</v>
      </c>
      <c r="O511" s="2" t="s">
        <v>36</v>
      </c>
      <c r="P511" s="3">
        <v>10</v>
      </c>
      <c r="Q511" s="2" t="s">
        <v>46</v>
      </c>
      <c r="R511" s="2" t="s">
        <v>47</v>
      </c>
      <c r="S511">
        <f>Table1[[#This Row],[Purchase_Amount]]*Table1[[#This Row],[Quantity]]</f>
        <v>510.87</v>
      </c>
      <c r="T511" t="str">
        <f>IF(Table1[[#This Row],[Age]]&lt;25,"&lt;25",IF(Table1[[#This Row],[Age]]&lt;=35,"25-35",IF(Table1[[#This Row],[Age]]&lt;=50,"36-50","50+")))</f>
        <v>50+</v>
      </c>
    </row>
    <row r="512" spans="1:20" x14ac:dyDescent="0.3">
      <c r="A512" s="2" t="s">
        <v>795</v>
      </c>
      <c r="B512" s="2" t="s">
        <v>26</v>
      </c>
      <c r="C512" s="3">
        <v>64</v>
      </c>
      <c r="D512" s="2" t="s">
        <v>17</v>
      </c>
      <c r="E512" s="2" t="s">
        <v>49</v>
      </c>
      <c r="F512" s="2" t="s">
        <v>27</v>
      </c>
      <c r="G512" t="s">
        <v>20</v>
      </c>
      <c r="H512" t="s">
        <v>592</v>
      </c>
      <c r="I512" s="4">
        <v>509.59</v>
      </c>
      <c r="J512" s="3">
        <v>2</v>
      </c>
      <c r="K512" s="1">
        <v>45140</v>
      </c>
      <c r="L512" s="1" t="str">
        <f>TEXT(Table1[[#This Row],[Purchase_Date]],"YYYY")</f>
        <v>2023</v>
      </c>
      <c r="M512" s="1" t="str">
        <f>TEXT(Table1[[#This Row],[Purchase_Date]],"MMM")</f>
        <v>Aug</v>
      </c>
      <c r="N512" s="1" t="str">
        <f>TEXT(Table1[[#This Row],[Purchase_Date]],"DD")</f>
        <v>02</v>
      </c>
      <c r="O512" s="2" t="s">
        <v>30</v>
      </c>
      <c r="P512" s="3">
        <v>3</v>
      </c>
      <c r="Q512" s="2" t="s">
        <v>23</v>
      </c>
      <c r="R512" s="2" t="s">
        <v>24</v>
      </c>
      <c r="S512">
        <f>Table1[[#This Row],[Purchase_Amount]]*Table1[[#This Row],[Quantity]]</f>
        <v>1019.18</v>
      </c>
      <c r="T512" t="str">
        <f>IF(Table1[[#This Row],[Age]]&lt;25,"&lt;25",IF(Table1[[#This Row],[Age]]&lt;=35,"25-35",IF(Table1[[#This Row],[Age]]&lt;=50,"36-50","50+")))</f>
        <v>50+</v>
      </c>
    </row>
    <row r="513" spans="1:20" x14ac:dyDescent="0.3">
      <c r="A513" s="2" t="s">
        <v>607</v>
      </c>
      <c r="B513" s="2" t="s">
        <v>26</v>
      </c>
      <c r="C513" s="3">
        <v>64</v>
      </c>
      <c r="D513" s="2" t="s">
        <v>32</v>
      </c>
      <c r="E513" s="2" t="s">
        <v>33</v>
      </c>
      <c r="F513" s="2" t="s">
        <v>27</v>
      </c>
      <c r="G513" t="s">
        <v>20</v>
      </c>
      <c r="H513" t="s">
        <v>364</v>
      </c>
      <c r="I513" s="4">
        <v>923.42</v>
      </c>
      <c r="J513" s="3">
        <v>1</v>
      </c>
      <c r="K513" s="1">
        <v>45336</v>
      </c>
      <c r="L513" s="1" t="str">
        <f>TEXT(Table1[[#This Row],[Purchase_Date]],"YYYY")</f>
        <v>2024</v>
      </c>
      <c r="M513" s="1" t="str">
        <f>TEXT(Table1[[#This Row],[Purchase_Date]],"MMM")</f>
        <v>Feb</v>
      </c>
      <c r="N513" s="1" t="str">
        <f>TEXT(Table1[[#This Row],[Purchase_Date]],"DD")</f>
        <v>14</v>
      </c>
      <c r="O513" s="2" t="s">
        <v>22</v>
      </c>
      <c r="P513" s="3">
        <v>5</v>
      </c>
      <c r="Q513" s="2" t="s">
        <v>23</v>
      </c>
      <c r="R513" s="2" t="s">
        <v>24</v>
      </c>
      <c r="S513">
        <f>Table1[[#This Row],[Purchase_Amount]]*Table1[[#This Row],[Quantity]]</f>
        <v>923.42</v>
      </c>
      <c r="T513" t="str">
        <f>IF(Table1[[#This Row],[Age]]&lt;25,"&lt;25",IF(Table1[[#This Row],[Age]]&lt;=35,"25-35",IF(Table1[[#This Row],[Age]]&lt;=50,"36-50","50+")))</f>
        <v>50+</v>
      </c>
    </row>
    <row r="514" spans="1:20" x14ac:dyDescent="0.3">
      <c r="A514" s="2" t="s">
        <v>1022</v>
      </c>
      <c r="B514" s="2" t="s">
        <v>26</v>
      </c>
      <c r="C514" s="3">
        <v>65</v>
      </c>
      <c r="D514" s="2" t="s">
        <v>64</v>
      </c>
      <c r="E514" s="2" t="s">
        <v>18</v>
      </c>
      <c r="F514" s="2" t="s">
        <v>27</v>
      </c>
      <c r="G514" t="s">
        <v>20</v>
      </c>
      <c r="H514" t="s">
        <v>1023</v>
      </c>
      <c r="I514" s="4">
        <v>221.41</v>
      </c>
      <c r="J514" s="3">
        <v>4</v>
      </c>
      <c r="K514" s="1">
        <v>45113</v>
      </c>
      <c r="L514" s="1" t="str">
        <f>TEXT(Table1[[#This Row],[Purchase_Date]],"YYYY")</f>
        <v>2023</v>
      </c>
      <c r="M514" s="1" t="str">
        <f>TEXT(Table1[[#This Row],[Purchase_Date]],"MMM")</f>
        <v>Jul</v>
      </c>
      <c r="N514" s="1" t="str">
        <f>TEXT(Table1[[#This Row],[Purchase_Date]],"DD")</f>
        <v>06</v>
      </c>
      <c r="O514" s="2" t="s">
        <v>36</v>
      </c>
      <c r="P514" s="3">
        <v>9</v>
      </c>
      <c r="Q514" s="2" t="s">
        <v>23</v>
      </c>
      <c r="R514" s="2" t="s">
        <v>24</v>
      </c>
      <c r="S514">
        <f>Table1[[#This Row],[Purchase_Amount]]*Table1[[#This Row],[Quantity]]</f>
        <v>885.64</v>
      </c>
      <c r="T514" t="str">
        <f>IF(Table1[[#This Row],[Age]]&lt;25,"&lt;25",IF(Table1[[#This Row],[Age]]&lt;=35,"25-35",IF(Table1[[#This Row],[Age]]&lt;=50,"36-50","50+")))</f>
        <v>50+</v>
      </c>
    </row>
    <row r="515" spans="1:20" x14ac:dyDescent="0.3">
      <c r="A515" s="2" t="s">
        <v>906</v>
      </c>
      <c r="B515" s="2" t="s">
        <v>26</v>
      </c>
      <c r="C515" s="3">
        <v>66</v>
      </c>
      <c r="D515" s="2" t="s">
        <v>32</v>
      </c>
      <c r="E515" s="2" t="s">
        <v>18</v>
      </c>
      <c r="F515" s="2" t="s">
        <v>44</v>
      </c>
      <c r="G515" t="s">
        <v>20</v>
      </c>
      <c r="H515" t="s">
        <v>314</v>
      </c>
      <c r="I515" s="4">
        <v>910.5</v>
      </c>
      <c r="J515" s="3">
        <v>4</v>
      </c>
      <c r="K515" s="1">
        <v>45210</v>
      </c>
      <c r="L515" s="1" t="str">
        <f>TEXT(Table1[[#This Row],[Purchase_Date]],"YYYY")</f>
        <v>2023</v>
      </c>
      <c r="M515" s="1" t="str">
        <f>TEXT(Table1[[#This Row],[Purchase_Date]],"MMM")</f>
        <v>Oct</v>
      </c>
      <c r="N515" s="1" t="str">
        <f>TEXT(Table1[[#This Row],[Purchase_Date]],"DD")</f>
        <v>11</v>
      </c>
      <c r="O515" s="2" t="s">
        <v>22</v>
      </c>
      <c r="P515" s="3">
        <v>10</v>
      </c>
      <c r="Q515" s="2" t="s">
        <v>46</v>
      </c>
      <c r="R515" s="2" t="s">
        <v>24</v>
      </c>
      <c r="S515">
        <f>Table1[[#This Row],[Purchase_Amount]]*Table1[[#This Row],[Quantity]]</f>
        <v>3642</v>
      </c>
      <c r="T515" t="str">
        <f>IF(Table1[[#This Row],[Age]]&lt;25,"&lt;25",IF(Table1[[#This Row],[Age]]&lt;=35,"25-35",IF(Table1[[#This Row],[Age]]&lt;=50,"36-50","50+")))</f>
        <v>50+</v>
      </c>
    </row>
    <row r="516" spans="1:20" x14ac:dyDescent="0.3">
      <c r="A516" s="2" t="s">
        <v>1102</v>
      </c>
      <c r="B516" s="2" t="s">
        <v>26</v>
      </c>
      <c r="C516" s="3">
        <v>67</v>
      </c>
      <c r="D516" s="2" t="s">
        <v>109</v>
      </c>
      <c r="E516" s="2" t="s">
        <v>33</v>
      </c>
      <c r="F516" s="2" t="s">
        <v>19</v>
      </c>
      <c r="G516" t="s">
        <v>20</v>
      </c>
      <c r="H516" t="s">
        <v>294</v>
      </c>
      <c r="I516" s="4">
        <v>299.73</v>
      </c>
      <c r="J516" s="3">
        <v>4</v>
      </c>
      <c r="K516" s="1">
        <v>45216</v>
      </c>
      <c r="L516" s="1" t="str">
        <f>TEXT(Table1[[#This Row],[Purchase_Date]],"YYYY")</f>
        <v>2023</v>
      </c>
      <c r="M516" s="1" t="str">
        <f>TEXT(Table1[[#This Row],[Purchase_Date]],"MMM")</f>
        <v>Oct</v>
      </c>
      <c r="N516" s="1" t="str">
        <f>TEXT(Table1[[#This Row],[Purchase_Date]],"DD")</f>
        <v>17</v>
      </c>
      <c r="O516" s="2" t="s">
        <v>22</v>
      </c>
      <c r="P516" s="3">
        <v>4</v>
      </c>
      <c r="Q516" s="2" t="s">
        <v>23</v>
      </c>
      <c r="R516" s="2" t="s">
        <v>47</v>
      </c>
      <c r="S516">
        <f>Table1[[#This Row],[Purchase_Amount]]*Table1[[#This Row],[Quantity]]</f>
        <v>1198.92</v>
      </c>
      <c r="T516" t="str">
        <f>IF(Table1[[#This Row],[Age]]&lt;25,"&lt;25",IF(Table1[[#This Row],[Age]]&lt;=35,"25-35",IF(Table1[[#This Row],[Age]]&lt;=50,"36-50","50+")))</f>
        <v>50+</v>
      </c>
    </row>
    <row r="517" spans="1:20" x14ac:dyDescent="0.3">
      <c r="A517" s="2" t="s">
        <v>1185</v>
      </c>
      <c r="B517" s="2" t="s">
        <v>26</v>
      </c>
      <c r="C517" s="3">
        <v>69</v>
      </c>
      <c r="D517" s="2" t="s">
        <v>60</v>
      </c>
      <c r="E517" s="2" t="s">
        <v>49</v>
      </c>
      <c r="F517" s="2" t="s">
        <v>44</v>
      </c>
      <c r="G517" t="s">
        <v>20</v>
      </c>
      <c r="H517" t="s">
        <v>276</v>
      </c>
      <c r="I517" s="4">
        <v>674.06</v>
      </c>
      <c r="J517" s="3">
        <v>4</v>
      </c>
      <c r="K517" s="1">
        <v>45249</v>
      </c>
      <c r="L517" s="1" t="str">
        <f>TEXT(Table1[[#This Row],[Purchase_Date]],"YYYY")</f>
        <v>2023</v>
      </c>
      <c r="M517" s="1" t="str">
        <f>TEXT(Table1[[#This Row],[Purchase_Date]],"MMM")</f>
        <v>Nov</v>
      </c>
      <c r="N517" s="1" t="str">
        <f>TEXT(Table1[[#This Row],[Purchase_Date]],"DD")</f>
        <v>19</v>
      </c>
      <c r="O517" s="2" t="s">
        <v>36</v>
      </c>
      <c r="P517" s="3">
        <v>10</v>
      </c>
      <c r="Q517" s="2" t="s">
        <v>23</v>
      </c>
      <c r="R517" s="2" t="s">
        <v>24</v>
      </c>
      <c r="S517">
        <f>Table1[[#This Row],[Purchase_Amount]]*Table1[[#This Row],[Quantity]]</f>
        <v>2696.24</v>
      </c>
      <c r="T517" t="str">
        <f>IF(Table1[[#This Row],[Age]]&lt;25,"&lt;25",IF(Table1[[#This Row],[Age]]&lt;=35,"25-35",IF(Table1[[#This Row],[Age]]&lt;=50,"36-50","50+")))</f>
        <v>50+</v>
      </c>
    </row>
    <row r="518" spans="1:20" x14ac:dyDescent="0.3">
      <c r="A518" s="2" t="s">
        <v>901</v>
      </c>
      <c r="B518" s="2" t="s">
        <v>26</v>
      </c>
      <c r="C518" s="3">
        <v>18</v>
      </c>
      <c r="D518" s="2" t="s">
        <v>60</v>
      </c>
      <c r="E518" s="2" t="s">
        <v>49</v>
      </c>
      <c r="F518" s="2" t="s">
        <v>44</v>
      </c>
      <c r="G518" t="s">
        <v>39</v>
      </c>
      <c r="H518" t="s">
        <v>196</v>
      </c>
      <c r="I518" s="4">
        <v>310.19</v>
      </c>
      <c r="J518" s="3">
        <v>5</v>
      </c>
      <c r="K518" s="1">
        <v>45545</v>
      </c>
      <c r="L518" s="1" t="str">
        <f>TEXT(Table1[[#This Row],[Purchase_Date]],"YYYY")</f>
        <v>2024</v>
      </c>
      <c r="M518" s="1" t="str">
        <f>TEXT(Table1[[#This Row],[Purchase_Date]],"MMM")</f>
        <v>Sep</v>
      </c>
      <c r="N518" s="1" t="str">
        <f>TEXT(Table1[[#This Row],[Purchase_Date]],"DD")</f>
        <v>10</v>
      </c>
      <c r="O518" s="2" t="s">
        <v>30</v>
      </c>
      <c r="P518" s="3">
        <v>1</v>
      </c>
      <c r="Q518" s="2" t="s">
        <v>23</v>
      </c>
      <c r="R518" s="2" t="s">
        <v>47</v>
      </c>
      <c r="S518">
        <f>Table1[[#This Row],[Purchase_Amount]]*Table1[[#This Row],[Quantity]]</f>
        <v>1550.95</v>
      </c>
      <c r="T518" t="str">
        <f>IF(Table1[[#This Row],[Age]]&lt;25,"&lt;25",IF(Table1[[#This Row],[Age]]&lt;=35,"25-35",IF(Table1[[#This Row],[Age]]&lt;=50,"36-50","50+")))</f>
        <v>&lt;25</v>
      </c>
    </row>
    <row r="519" spans="1:20" x14ac:dyDescent="0.3">
      <c r="A519" s="2" t="s">
        <v>698</v>
      </c>
      <c r="B519" s="2" t="s">
        <v>26</v>
      </c>
      <c r="C519" s="3">
        <v>19</v>
      </c>
      <c r="D519" s="2" t="s">
        <v>109</v>
      </c>
      <c r="E519" s="2" t="s">
        <v>49</v>
      </c>
      <c r="F519" s="2" t="s">
        <v>27</v>
      </c>
      <c r="G519" t="s">
        <v>39</v>
      </c>
      <c r="H519" t="s">
        <v>117</v>
      </c>
      <c r="I519" s="4">
        <v>881.04</v>
      </c>
      <c r="J519" s="3">
        <v>5</v>
      </c>
      <c r="K519" s="1">
        <v>45530</v>
      </c>
      <c r="L519" s="1" t="str">
        <f>TEXT(Table1[[#This Row],[Purchase_Date]],"YYYY")</f>
        <v>2024</v>
      </c>
      <c r="M519" s="1" t="str">
        <f>TEXT(Table1[[#This Row],[Purchase_Date]],"MMM")</f>
        <v>Aug</v>
      </c>
      <c r="N519" s="1" t="str">
        <f>TEXT(Table1[[#This Row],[Purchase_Date]],"DD")</f>
        <v>26</v>
      </c>
      <c r="O519" s="2" t="s">
        <v>22</v>
      </c>
      <c r="P519" s="3">
        <v>9</v>
      </c>
      <c r="Q519" s="2" t="s">
        <v>46</v>
      </c>
      <c r="R519" s="2" t="s">
        <v>24</v>
      </c>
      <c r="S519">
        <f>Table1[[#This Row],[Purchase_Amount]]*Table1[[#This Row],[Quantity]]</f>
        <v>4405.2</v>
      </c>
      <c r="T519" t="str">
        <f>IF(Table1[[#This Row],[Age]]&lt;25,"&lt;25",IF(Table1[[#This Row],[Age]]&lt;=35,"25-35",IF(Table1[[#This Row],[Age]]&lt;=50,"36-50","50+")))</f>
        <v>&lt;25</v>
      </c>
    </row>
    <row r="520" spans="1:20" x14ac:dyDescent="0.3">
      <c r="A520" s="2" t="s">
        <v>908</v>
      </c>
      <c r="B520" s="2" t="s">
        <v>26</v>
      </c>
      <c r="C520" s="3">
        <v>21</v>
      </c>
      <c r="D520" s="2" t="s">
        <v>38</v>
      </c>
      <c r="E520" s="2" t="s">
        <v>33</v>
      </c>
      <c r="F520" s="2" t="s">
        <v>19</v>
      </c>
      <c r="G520" t="s">
        <v>39</v>
      </c>
      <c r="H520" t="s">
        <v>263</v>
      </c>
      <c r="I520" s="4">
        <v>812.58</v>
      </c>
      <c r="J520" s="3">
        <v>1</v>
      </c>
      <c r="K520" s="1">
        <v>45457</v>
      </c>
      <c r="L520" s="1" t="str">
        <f>TEXT(Table1[[#This Row],[Purchase_Date]],"YYYY")</f>
        <v>2024</v>
      </c>
      <c r="M520" s="1" t="str">
        <f>TEXT(Table1[[#This Row],[Purchase_Date]],"MMM")</f>
        <v>Jun</v>
      </c>
      <c r="N520" s="1" t="str">
        <f>TEXT(Table1[[#This Row],[Purchase_Date]],"DD")</f>
        <v>14</v>
      </c>
      <c r="O520" s="2" t="s">
        <v>41</v>
      </c>
      <c r="P520" s="3">
        <v>1</v>
      </c>
      <c r="Q520" s="2" t="s">
        <v>23</v>
      </c>
      <c r="R520" s="2" t="s">
        <v>47</v>
      </c>
      <c r="S520">
        <f>Table1[[#This Row],[Purchase_Amount]]*Table1[[#This Row],[Quantity]]</f>
        <v>812.58</v>
      </c>
      <c r="T520" t="str">
        <f>IF(Table1[[#This Row],[Age]]&lt;25,"&lt;25",IF(Table1[[#This Row],[Age]]&lt;=35,"25-35",IF(Table1[[#This Row],[Age]]&lt;=50,"36-50","50+")))</f>
        <v>&lt;25</v>
      </c>
    </row>
    <row r="521" spans="1:20" x14ac:dyDescent="0.3">
      <c r="A521" s="2" t="s">
        <v>220</v>
      </c>
      <c r="B521" s="2" t="s">
        <v>26</v>
      </c>
      <c r="C521" s="3">
        <v>22</v>
      </c>
      <c r="D521" s="2" t="s">
        <v>109</v>
      </c>
      <c r="E521" s="2" t="s">
        <v>49</v>
      </c>
      <c r="F521" s="2" t="s">
        <v>27</v>
      </c>
      <c r="G521" t="s">
        <v>39</v>
      </c>
      <c r="H521" t="s">
        <v>221</v>
      </c>
      <c r="I521" s="4">
        <v>16.91</v>
      </c>
      <c r="J521" s="3">
        <v>3</v>
      </c>
      <c r="K521" s="1">
        <v>45562</v>
      </c>
      <c r="L521" s="1" t="str">
        <f>TEXT(Table1[[#This Row],[Purchase_Date]],"YYYY")</f>
        <v>2024</v>
      </c>
      <c r="M521" s="1" t="str">
        <f>TEXT(Table1[[#This Row],[Purchase_Date]],"MMM")</f>
        <v>Sep</v>
      </c>
      <c r="N521" s="1" t="str">
        <f>TEXT(Table1[[#This Row],[Purchase_Date]],"DD")</f>
        <v>27</v>
      </c>
      <c r="O521" s="2" t="s">
        <v>30</v>
      </c>
      <c r="P521" s="3">
        <v>1</v>
      </c>
      <c r="Q521" s="2" t="s">
        <v>23</v>
      </c>
      <c r="R521" s="2" t="s">
        <v>47</v>
      </c>
      <c r="S521">
        <f>Table1[[#This Row],[Purchase_Amount]]*Table1[[#This Row],[Quantity]]</f>
        <v>50.730000000000004</v>
      </c>
      <c r="T521" t="str">
        <f>IF(Table1[[#This Row],[Age]]&lt;25,"&lt;25",IF(Table1[[#This Row],[Age]]&lt;=35,"25-35",IF(Table1[[#This Row],[Age]]&lt;=50,"36-50","50+")))</f>
        <v>&lt;25</v>
      </c>
    </row>
    <row r="522" spans="1:20" x14ac:dyDescent="0.3">
      <c r="A522" s="2" t="s">
        <v>998</v>
      </c>
      <c r="B522" s="2" t="s">
        <v>26</v>
      </c>
      <c r="C522" s="3">
        <v>22</v>
      </c>
      <c r="D522" s="2" t="s">
        <v>32</v>
      </c>
      <c r="E522" s="2" t="s">
        <v>33</v>
      </c>
      <c r="F522" s="2" t="s">
        <v>44</v>
      </c>
      <c r="G522" t="s">
        <v>39</v>
      </c>
      <c r="H522" t="s">
        <v>74</v>
      </c>
      <c r="I522" s="4">
        <v>684.47</v>
      </c>
      <c r="J522" s="3">
        <v>3</v>
      </c>
      <c r="K522" s="1">
        <v>45476</v>
      </c>
      <c r="L522" s="1" t="str">
        <f>TEXT(Table1[[#This Row],[Purchase_Date]],"YYYY")</f>
        <v>2024</v>
      </c>
      <c r="M522" s="1" t="str">
        <f>TEXT(Table1[[#This Row],[Purchase_Date]],"MMM")</f>
        <v>Jul</v>
      </c>
      <c r="N522" s="1" t="str">
        <f>TEXT(Table1[[#This Row],[Purchase_Date]],"DD")</f>
        <v>03</v>
      </c>
      <c r="O522" s="2" t="s">
        <v>30</v>
      </c>
      <c r="P522" s="3">
        <v>6</v>
      </c>
      <c r="Q522" s="2" t="s">
        <v>23</v>
      </c>
      <c r="R522" s="2" t="s">
        <v>47</v>
      </c>
      <c r="S522">
        <f>Table1[[#This Row],[Purchase_Amount]]*Table1[[#This Row],[Quantity]]</f>
        <v>2053.41</v>
      </c>
      <c r="T522" t="str">
        <f>IF(Table1[[#This Row],[Age]]&lt;25,"&lt;25",IF(Table1[[#This Row],[Age]]&lt;=35,"25-35",IF(Table1[[#This Row],[Age]]&lt;=50,"36-50","50+")))</f>
        <v>&lt;25</v>
      </c>
    </row>
    <row r="523" spans="1:20" x14ac:dyDescent="0.3">
      <c r="A523" s="2" t="s">
        <v>937</v>
      </c>
      <c r="B523" s="2" t="s">
        <v>26</v>
      </c>
      <c r="C523" s="3">
        <v>23</v>
      </c>
      <c r="D523" s="2" t="s">
        <v>43</v>
      </c>
      <c r="E523" s="2" t="s">
        <v>49</v>
      </c>
      <c r="F523" s="2" t="s">
        <v>19</v>
      </c>
      <c r="G523" t="s">
        <v>39</v>
      </c>
      <c r="H523" t="s">
        <v>243</v>
      </c>
      <c r="I523" s="4">
        <v>178.76</v>
      </c>
      <c r="J523" s="3">
        <v>5</v>
      </c>
      <c r="K523" s="1">
        <v>45029</v>
      </c>
      <c r="L523" s="1" t="str">
        <f>TEXT(Table1[[#This Row],[Purchase_Date]],"YYYY")</f>
        <v>2023</v>
      </c>
      <c r="M523" s="1" t="str">
        <f>TEXT(Table1[[#This Row],[Purchase_Date]],"MMM")</f>
        <v>Apr</v>
      </c>
      <c r="N523" s="1" t="str">
        <f>TEXT(Table1[[#This Row],[Purchase_Date]],"DD")</f>
        <v>13</v>
      </c>
      <c r="O523" s="2" t="s">
        <v>41</v>
      </c>
      <c r="P523" s="3">
        <v>2</v>
      </c>
      <c r="Q523" s="2" t="s">
        <v>23</v>
      </c>
      <c r="R523" s="2" t="s">
        <v>24</v>
      </c>
      <c r="S523">
        <f>Table1[[#This Row],[Purchase_Amount]]*Table1[[#This Row],[Quantity]]</f>
        <v>893.8</v>
      </c>
      <c r="T523" t="str">
        <f>IF(Table1[[#This Row],[Age]]&lt;25,"&lt;25",IF(Table1[[#This Row],[Age]]&lt;=35,"25-35",IF(Table1[[#This Row],[Age]]&lt;=50,"36-50","50+")))</f>
        <v>&lt;25</v>
      </c>
    </row>
    <row r="524" spans="1:20" x14ac:dyDescent="0.3">
      <c r="A524" s="2" t="s">
        <v>464</v>
      </c>
      <c r="B524" s="2" t="s">
        <v>26</v>
      </c>
      <c r="C524" s="3">
        <v>23</v>
      </c>
      <c r="D524" s="2" t="s">
        <v>60</v>
      </c>
      <c r="E524" s="2" t="s">
        <v>33</v>
      </c>
      <c r="F524" s="2" t="s">
        <v>19</v>
      </c>
      <c r="G524" t="s">
        <v>39</v>
      </c>
      <c r="H524" t="s">
        <v>465</v>
      </c>
      <c r="I524" s="4">
        <v>796</v>
      </c>
      <c r="J524" s="3">
        <v>1</v>
      </c>
      <c r="K524" s="1">
        <v>45165</v>
      </c>
      <c r="L524" s="1" t="str">
        <f>TEXT(Table1[[#This Row],[Purchase_Date]],"YYYY")</f>
        <v>2023</v>
      </c>
      <c r="M524" s="1" t="str">
        <f>TEXT(Table1[[#This Row],[Purchase_Date]],"MMM")</f>
        <v>Aug</v>
      </c>
      <c r="N524" s="1" t="str">
        <f>TEXT(Table1[[#This Row],[Purchase_Date]],"DD")</f>
        <v>27</v>
      </c>
      <c r="O524" s="2" t="s">
        <v>36</v>
      </c>
      <c r="P524" s="3">
        <v>3</v>
      </c>
      <c r="Q524" s="2" t="s">
        <v>23</v>
      </c>
      <c r="R524" s="2" t="s">
        <v>47</v>
      </c>
      <c r="S524">
        <f>Table1[[#This Row],[Purchase_Amount]]*Table1[[#This Row],[Quantity]]</f>
        <v>796</v>
      </c>
      <c r="T524" t="str">
        <f>IF(Table1[[#This Row],[Age]]&lt;25,"&lt;25",IF(Table1[[#This Row],[Age]]&lt;=35,"25-35",IF(Table1[[#This Row],[Age]]&lt;=50,"36-50","50+")))</f>
        <v>&lt;25</v>
      </c>
    </row>
    <row r="525" spans="1:20" x14ac:dyDescent="0.3">
      <c r="A525" s="2" t="s">
        <v>274</v>
      </c>
      <c r="B525" s="2" t="s">
        <v>26</v>
      </c>
      <c r="C525" s="3">
        <v>23</v>
      </c>
      <c r="D525" s="2" t="s">
        <v>38</v>
      </c>
      <c r="E525" s="2" t="s">
        <v>49</v>
      </c>
      <c r="F525" s="2" t="s">
        <v>27</v>
      </c>
      <c r="G525" t="s">
        <v>39</v>
      </c>
      <c r="H525" t="s">
        <v>185</v>
      </c>
      <c r="I525" s="4">
        <v>823.04</v>
      </c>
      <c r="J525" s="3">
        <v>2</v>
      </c>
      <c r="K525" s="1">
        <v>45245</v>
      </c>
      <c r="L525" s="1" t="str">
        <f>TEXT(Table1[[#This Row],[Purchase_Date]],"YYYY")</f>
        <v>2023</v>
      </c>
      <c r="M525" s="1" t="str">
        <f>TEXT(Table1[[#This Row],[Purchase_Date]],"MMM")</f>
        <v>Nov</v>
      </c>
      <c r="N525" s="1" t="str">
        <f>TEXT(Table1[[#This Row],[Purchase_Date]],"DD")</f>
        <v>15</v>
      </c>
      <c r="O525" s="2" t="s">
        <v>22</v>
      </c>
      <c r="P525" s="3">
        <v>5</v>
      </c>
      <c r="Q525" s="2" t="s">
        <v>46</v>
      </c>
      <c r="R525" s="2" t="s">
        <v>47</v>
      </c>
      <c r="S525">
        <f>Table1[[#This Row],[Purchase_Amount]]*Table1[[#This Row],[Quantity]]</f>
        <v>1646.08</v>
      </c>
      <c r="T525" t="str">
        <f>IF(Table1[[#This Row],[Age]]&lt;25,"&lt;25",IF(Table1[[#This Row],[Age]]&lt;=35,"25-35",IF(Table1[[#This Row],[Age]]&lt;=50,"36-50","50+")))</f>
        <v>&lt;25</v>
      </c>
    </row>
    <row r="526" spans="1:20" x14ac:dyDescent="0.3">
      <c r="A526" s="2" t="s">
        <v>1198</v>
      </c>
      <c r="B526" s="2" t="s">
        <v>26</v>
      </c>
      <c r="C526" s="3">
        <v>24</v>
      </c>
      <c r="D526" s="2" t="s">
        <v>43</v>
      </c>
      <c r="E526" s="2" t="s">
        <v>49</v>
      </c>
      <c r="F526" s="2" t="s">
        <v>27</v>
      </c>
      <c r="G526" t="s">
        <v>39</v>
      </c>
      <c r="H526" t="s">
        <v>414</v>
      </c>
      <c r="I526" s="4">
        <v>58.28</v>
      </c>
      <c r="J526" s="3">
        <v>2</v>
      </c>
      <c r="K526" s="1">
        <v>44969</v>
      </c>
      <c r="L526" s="1" t="str">
        <f>TEXT(Table1[[#This Row],[Purchase_Date]],"YYYY")</f>
        <v>2023</v>
      </c>
      <c r="M526" s="1" t="str">
        <f>TEXT(Table1[[#This Row],[Purchase_Date]],"MMM")</f>
        <v>Feb</v>
      </c>
      <c r="N526" s="1" t="str">
        <f>TEXT(Table1[[#This Row],[Purchase_Date]],"DD")</f>
        <v>12</v>
      </c>
      <c r="O526" s="2" t="s">
        <v>30</v>
      </c>
      <c r="P526" s="3">
        <v>7</v>
      </c>
      <c r="Q526" s="2" t="s">
        <v>46</v>
      </c>
      <c r="R526" s="2" t="s">
        <v>24</v>
      </c>
      <c r="S526">
        <f>Table1[[#This Row],[Purchase_Amount]]*Table1[[#This Row],[Quantity]]</f>
        <v>116.56</v>
      </c>
      <c r="T526" t="str">
        <f>IF(Table1[[#This Row],[Age]]&lt;25,"&lt;25",IF(Table1[[#This Row],[Age]]&lt;=35,"25-35",IF(Table1[[#This Row],[Age]]&lt;=50,"36-50","50+")))</f>
        <v>&lt;25</v>
      </c>
    </row>
    <row r="527" spans="1:20" x14ac:dyDescent="0.3">
      <c r="A527" s="2" t="s">
        <v>480</v>
      </c>
      <c r="B527" s="2" t="s">
        <v>26</v>
      </c>
      <c r="C527" s="3">
        <v>24</v>
      </c>
      <c r="D527" s="2" t="s">
        <v>32</v>
      </c>
      <c r="E527" s="2" t="s">
        <v>33</v>
      </c>
      <c r="F527" s="2" t="s">
        <v>27</v>
      </c>
      <c r="G527" t="s">
        <v>39</v>
      </c>
      <c r="H527" t="s">
        <v>481</v>
      </c>
      <c r="I527" s="4">
        <v>363.41</v>
      </c>
      <c r="J527" s="3">
        <v>2</v>
      </c>
      <c r="K527" s="1">
        <v>45006</v>
      </c>
      <c r="L527" s="1" t="str">
        <f>TEXT(Table1[[#This Row],[Purchase_Date]],"YYYY")</f>
        <v>2023</v>
      </c>
      <c r="M527" s="1" t="str">
        <f>TEXT(Table1[[#This Row],[Purchase_Date]],"MMM")</f>
        <v>Mar</v>
      </c>
      <c r="N527" s="1" t="str">
        <f>TEXT(Table1[[#This Row],[Purchase_Date]],"DD")</f>
        <v>21</v>
      </c>
      <c r="O527" s="2" t="s">
        <v>30</v>
      </c>
      <c r="P527" s="3">
        <v>8</v>
      </c>
      <c r="Q527" s="2" t="s">
        <v>23</v>
      </c>
      <c r="R527" s="2" t="s">
        <v>47</v>
      </c>
      <c r="S527">
        <f>Table1[[#This Row],[Purchase_Amount]]*Table1[[#This Row],[Quantity]]</f>
        <v>726.82</v>
      </c>
      <c r="T527" t="str">
        <f>IF(Table1[[#This Row],[Age]]&lt;25,"&lt;25",IF(Table1[[#This Row],[Age]]&lt;=35,"25-35",IF(Table1[[#This Row],[Age]]&lt;=50,"36-50","50+")))</f>
        <v>&lt;25</v>
      </c>
    </row>
    <row r="528" spans="1:20" x14ac:dyDescent="0.3">
      <c r="A528" s="2" t="s">
        <v>1209</v>
      </c>
      <c r="B528" s="2" t="s">
        <v>26</v>
      </c>
      <c r="C528" s="3">
        <v>25</v>
      </c>
      <c r="D528" s="2" t="s">
        <v>38</v>
      </c>
      <c r="E528" s="2" t="s">
        <v>49</v>
      </c>
      <c r="F528" s="2" t="s">
        <v>19</v>
      </c>
      <c r="G528" t="s">
        <v>39</v>
      </c>
      <c r="H528" t="s">
        <v>298</v>
      </c>
      <c r="I528" s="4">
        <v>66.430000000000007</v>
      </c>
      <c r="J528" s="3">
        <v>1</v>
      </c>
      <c r="K528" s="1">
        <v>45563</v>
      </c>
      <c r="L528" s="1" t="str">
        <f>TEXT(Table1[[#This Row],[Purchase_Date]],"YYYY")</f>
        <v>2024</v>
      </c>
      <c r="M528" s="1" t="str">
        <f>TEXT(Table1[[#This Row],[Purchase_Date]],"MMM")</f>
        <v>Sep</v>
      </c>
      <c r="N528" s="1" t="str">
        <f>TEXT(Table1[[#This Row],[Purchase_Date]],"DD")</f>
        <v>28</v>
      </c>
      <c r="O528" s="2" t="s">
        <v>41</v>
      </c>
      <c r="P528" s="3">
        <v>5</v>
      </c>
      <c r="Q528" s="2" t="s">
        <v>23</v>
      </c>
      <c r="R528" s="2" t="s">
        <v>24</v>
      </c>
      <c r="S528">
        <f>Table1[[#This Row],[Purchase_Amount]]*Table1[[#This Row],[Quantity]]</f>
        <v>66.430000000000007</v>
      </c>
      <c r="T528" t="str">
        <f>IF(Table1[[#This Row],[Age]]&lt;25,"&lt;25",IF(Table1[[#This Row],[Age]]&lt;=35,"25-35",IF(Table1[[#This Row],[Age]]&lt;=50,"36-50","50+")))</f>
        <v>25-35</v>
      </c>
    </row>
    <row r="529" spans="1:20" x14ac:dyDescent="0.3">
      <c r="A529" s="2" t="s">
        <v>540</v>
      </c>
      <c r="B529" s="2" t="s">
        <v>26</v>
      </c>
      <c r="C529" s="3">
        <v>27</v>
      </c>
      <c r="D529" s="2" t="s">
        <v>109</v>
      </c>
      <c r="E529" s="2" t="s">
        <v>49</v>
      </c>
      <c r="F529" s="2" t="s">
        <v>44</v>
      </c>
      <c r="G529" t="s">
        <v>39</v>
      </c>
      <c r="H529" t="s">
        <v>269</v>
      </c>
      <c r="I529" s="4">
        <v>870.95</v>
      </c>
      <c r="J529" s="3">
        <v>4</v>
      </c>
      <c r="K529" s="1">
        <v>45014</v>
      </c>
      <c r="L529" s="1" t="str">
        <f>TEXT(Table1[[#This Row],[Purchase_Date]],"YYYY")</f>
        <v>2023</v>
      </c>
      <c r="M529" s="1" t="str">
        <f>TEXT(Table1[[#This Row],[Purchase_Date]],"MMM")</f>
        <v>Mar</v>
      </c>
      <c r="N529" s="1" t="str">
        <f>TEXT(Table1[[#This Row],[Purchase_Date]],"DD")</f>
        <v>29</v>
      </c>
      <c r="O529" s="2" t="s">
        <v>36</v>
      </c>
      <c r="P529" s="3">
        <v>3</v>
      </c>
      <c r="Q529" s="2" t="s">
        <v>23</v>
      </c>
      <c r="R529" s="2" t="s">
        <v>47</v>
      </c>
      <c r="S529">
        <f>Table1[[#This Row],[Purchase_Amount]]*Table1[[#This Row],[Quantity]]</f>
        <v>3483.8</v>
      </c>
      <c r="T529" t="str">
        <f>IF(Table1[[#This Row],[Age]]&lt;25,"&lt;25",IF(Table1[[#This Row],[Age]]&lt;=35,"25-35",IF(Table1[[#This Row],[Age]]&lt;=50,"36-50","50+")))</f>
        <v>25-35</v>
      </c>
    </row>
    <row r="530" spans="1:20" x14ac:dyDescent="0.3">
      <c r="A530" s="2" t="s">
        <v>709</v>
      </c>
      <c r="B530" s="2" t="s">
        <v>26</v>
      </c>
      <c r="C530" s="3">
        <v>28</v>
      </c>
      <c r="D530" s="2" t="s">
        <v>38</v>
      </c>
      <c r="E530" s="2" t="s">
        <v>18</v>
      </c>
      <c r="F530" s="2" t="s">
        <v>44</v>
      </c>
      <c r="G530" t="s">
        <v>39</v>
      </c>
      <c r="H530" t="s">
        <v>177</v>
      </c>
      <c r="I530" s="4">
        <v>192.2</v>
      </c>
      <c r="J530" s="3">
        <v>2</v>
      </c>
      <c r="K530" s="1">
        <v>45527</v>
      </c>
      <c r="L530" s="1" t="str">
        <f>TEXT(Table1[[#This Row],[Purchase_Date]],"YYYY")</f>
        <v>2024</v>
      </c>
      <c r="M530" s="1" t="str">
        <f>TEXT(Table1[[#This Row],[Purchase_Date]],"MMM")</f>
        <v>Aug</v>
      </c>
      <c r="N530" s="1" t="str">
        <f>TEXT(Table1[[#This Row],[Purchase_Date]],"DD")</f>
        <v>23</v>
      </c>
      <c r="O530" s="2" t="s">
        <v>36</v>
      </c>
      <c r="P530" s="3">
        <v>4</v>
      </c>
      <c r="Q530" s="2" t="s">
        <v>23</v>
      </c>
      <c r="R530" s="2" t="s">
        <v>47</v>
      </c>
      <c r="S530">
        <f>Table1[[#This Row],[Purchase_Amount]]*Table1[[#This Row],[Quantity]]</f>
        <v>384.4</v>
      </c>
      <c r="T530" t="str">
        <f>IF(Table1[[#This Row],[Age]]&lt;25,"&lt;25",IF(Table1[[#This Row],[Age]]&lt;=35,"25-35",IF(Table1[[#This Row],[Age]]&lt;=50,"36-50","50+")))</f>
        <v>25-35</v>
      </c>
    </row>
    <row r="531" spans="1:20" x14ac:dyDescent="0.3">
      <c r="A531" s="2" t="s">
        <v>917</v>
      </c>
      <c r="B531" s="2" t="s">
        <v>26</v>
      </c>
      <c r="C531" s="3">
        <v>28</v>
      </c>
      <c r="D531" s="2" t="s">
        <v>17</v>
      </c>
      <c r="E531" s="2" t="s">
        <v>49</v>
      </c>
      <c r="F531" s="2" t="s">
        <v>27</v>
      </c>
      <c r="G531" t="s">
        <v>39</v>
      </c>
      <c r="H531" t="s">
        <v>83</v>
      </c>
      <c r="I531" s="4">
        <v>695.98</v>
      </c>
      <c r="J531" s="3">
        <v>4</v>
      </c>
      <c r="K531" s="1">
        <v>44997</v>
      </c>
      <c r="L531" s="1" t="str">
        <f>TEXT(Table1[[#This Row],[Purchase_Date]],"YYYY")</f>
        <v>2023</v>
      </c>
      <c r="M531" s="1" t="str">
        <f>TEXT(Table1[[#This Row],[Purchase_Date]],"MMM")</f>
        <v>Mar</v>
      </c>
      <c r="N531" s="1" t="str">
        <f>TEXT(Table1[[#This Row],[Purchase_Date]],"DD")</f>
        <v>12</v>
      </c>
      <c r="O531" s="2" t="s">
        <v>30</v>
      </c>
      <c r="P531" s="3">
        <v>5</v>
      </c>
      <c r="Q531" s="2" t="s">
        <v>23</v>
      </c>
      <c r="R531" s="2" t="s">
        <v>24</v>
      </c>
      <c r="S531">
        <f>Table1[[#This Row],[Purchase_Amount]]*Table1[[#This Row],[Quantity]]</f>
        <v>2783.92</v>
      </c>
      <c r="T531" t="str">
        <f>IF(Table1[[#This Row],[Age]]&lt;25,"&lt;25",IF(Table1[[#This Row],[Age]]&lt;=35,"25-35",IF(Table1[[#This Row],[Age]]&lt;=50,"36-50","50+")))</f>
        <v>25-35</v>
      </c>
    </row>
    <row r="532" spans="1:20" x14ac:dyDescent="0.3">
      <c r="A532" s="2" t="s">
        <v>262</v>
      </c>
      <c r="B532" s="2" t="s">
        <v>26</v>
      </c>
      <c r="C532" s="3">
        <v>31</v>
      </c>
      <c r="D532" s="2" t="s">
        <v>38</v>
      </c>
      <c r="E532" s="2" t="s">
        <v>18</v>
      </c>
      <c r="F532" s="2" t="s">
        <v>44</v>
      </c>
      <c r="G532" t="s">
        <v>39</v>
      </c>
      <c r="H532" t="s">
        <v>263</v>
      </c>
      <c r="I532" s="4">
        <v>785.33</v>
      </c>
      <c r="J532" s="3">
        <v>5</v>
      </c>
      <c r="K532" s="1">
        <v>45053</v>
      </c>
      <c r="L532" s="1" t="str">
        <f>TEXT(Table1[[#This Row],[Purchase_Date]],"YYYY")</f>
        <v>2023</v>
      </c>
      <c r="M532" s="1" t="str">
        <f>TEXT(Table1[[#This Row],[Purchase_Date]],"MMM")</f>
        <v>May</v>
      </c>
      <c r="N532" s="1" t="str">
        <f>TEXT(Table1[[#This Row],[Purchase_Date]],"DD")</f>
        <v>07</v>
      </c>
      <c r="O532" s="2" t="s">
        <v>22</v>
      </c>
      <c r="P532" s="3">
        <v>10</v>
      </c>
      <c r="Q532" s="2" t="s">
        <v>23</v>
      </c>
      <c r="R532" s="2" t="s">
        <v>24</v>
      </c>
      <c r="S532">
        <f>Table1[[#This Row],[Purchase_Amount]]*Table1[[#This Row],[Quantity]]</f>
        <v>3926.65</v>
      </c>
      <c r="T532" t="str">
        <f>IF(Table1[[#This Row],[Age]]&lt;25,"&lt;25",IF(Table1[[#This Row],[Age]]&lt;=35,"25-35",IF(Table1[[#This Row],[Age]]&lt;=50,"36-50","50+")))</f>
        <v>25-35</v>
      </c>
    </row>
    <row r="533" spans="1:20" x14ac:dyDescent="0.3">
      <c r="A533" s="2" t="s">
        <v>986</v>
      </c>
      <c r="B533" s="2" t="s">
        <v>26</v>
      </c>
      <c r="C533" s="3">
        <v>32</v>
      </c>
      <c r="D533" s="2" t="s">
        <v>32</v>
      </c>
      <c r="E533" s="2" t="s">
        <v>33</v>
      </c>
      <c r="F533" s="2" t="s">
        <v>19</v>
      </c>
      <c r="G533" t="s">
        <v>39</v>
      </c>
      <c r="H533" t="s">
        <v>255</v>
      </c>
      <c r="I533" s="4">
        <v>359.94</v>
      </c>
      <c r="J533" s="3">
        <v>1</v>
      </c>
      <c r="K533" s="1">
        <v>45055</v>
      </c>
      <c r="L533" s="1" t="str">
        <f>TEXT(Table1[[#This Row],[Purchase_Date]],"YYYY")</f>
        <v>2023</v>
      </c>
      <c r="M533" s="1" t="str">
        <f>TEXT(Table1[[#This Row],[Purchase_Date]],"MMM")</f>
        <v>May</v>
      </c>
      <c r="N533" s="1" t="str">
        <f>TEXT(Table1[[#This Row],[Purchase_Date]],"DD")</f>
        <v>09</v>
      </c>
      <c r="O533" s="2" t="s">
        <v>41</v>
      </c>
      <c r="P533" s="3">
        <v>6</v>
      </c>
      <c r="Q533" s="2" t="s">
        <v>23</v>
      </c>
      <c r="R533" s="2" t="s">
        <v>24</v>
      </c>
      <c r="S533">
        <f>Table1[[#This Row],[Purchase_Amount]]*Table1[[#This Row],[Quantity]]</f>
        <v>359.94</v>
      </c>
      <c r="T533" t="str">
        <f>IF(Table1[[#This Row],[Age]]&lt;25,"&lt;25",IF(Table1[[#This Row],[Age]]&lt;=35,"25-35",IF(Table1[[#This Row],[Age]]&lt;=50,"36-50","50+")))</f>
        <v>25-35</v>
      </c>
    </row>
    <row r="534" spans="1:20" x14ac:dyDescent="0.3">
      <c r="A534" s="2" t="s">
        <v>741</v>
      </c>
      <c r="B534" s="2" t="s">
        <v>26</v>
      </c>
      <c r="C534" s="3">
        <v>34</v>
      </c>
      <c r="D534" s="2" t="s">
        <v>60</v>
      </c>
      <c r="E534" s="2" t="s">
        <v>49</v>
      </c>
      <c r="F534" s="2" t="s">
        <v>27</v>
      </c>
      <c r="G534" t="s">
        <v>39</v>
      </c>
      <c r="H534" t="s">
        <v>210</v>
      </c>
      <c r="I534" s="4">
        <v>941.92</v>
      </c>
      <c r="J534" s="3">
        <v>5</v>
      </c>
      <c r="K534" s="1">
        <v>45447</v>
      </c>
      <c r="L534" s="1" t="str">
        <f>TEXT(Table1[[#This Row],[Purchase_Date]],"YYYY")</f>
        <v>2024</v>
      </c>
      <c r="M534" s="1" t="str">
        <f>TEXT(Table1[[#This Row],[Purchase_Date]],"MMM")</f>
        <v>Jun</v>
      </c>
      <c r="N534" s="1" t="str">
        <f>TEXT(Table1[[#This Row],[Purchase_Date]],"DD")</f>
        <v>04</v>
      </c>
      <c r="O534" s="2" t="s">
        <v>36</v>
      </c>
      <c r="P534" s="3">
        <v>2</v>
      </c>
      <c r="Q534" s="2" t="s">
        <v>23</v>
      </c>
      <c r="R534" s="2" t="s">
        <v>47</v>
      </c>
      <c r="S534">
        <f>Table1[[#This Row],[Purchase_Amount]]*Table1[[#This Row],[Quantity]]</f>
        <v>4709.5999999999995</v>
      </c>
      <c r="T534" t="str">
        <f>IF(Table1[[#This Row],[Age]]&lt;25,"&lt;25",IF(Table1[[#This Row],[Age]]&lt;=35,"25-35",IF(Table1[[#This Row],[Age]]&lt;=50,"36-50","50+")))</f>
        <v>25-35</v>
      </c>
    </row>
    <row r="535" spans="1:20" x14ac:dyDescent="0.3">
      <c r="A535" s="2" t="s">
        <v>449</v>
      </c>
      <c r="B535" s="2" t="s">
        <v>26</v>
      </c>
      <c r="C535" s="3">
        <v>35</v>
      </c>
      <c r="D535" s="2" t="s">
        <v>64</v>
      </c>
      <c r="E535" s="2" t="s">
        <v>49</v>
      </c>
      <c r="F535" s="2" t="s">
        <v>27</v>
      </c>
      <c r="G535" t="s">
        <v>39</v>
      </c>
      <c r="H535" t="s">
        <v>450</v>
      </c>
      <c r="I535" s="4">
        <v>961.94</v>
      </c>
      <c r="J535" s="3">
        <v>1</v>
      </c>
      <c r="K535" s="1">
        <v>45148</v>
      </c>
      <c r="L535" s="1" t="str">
        <f>TEXT(Table1[[#This Row],[Purchase_Date]],"YYYY")</f>
        <v>2023</v>
      </c>
      <c r="M535" s="1" t="str">
        <f>TEXT(Table1[[#This Row],[Purchase_Date]],"MMM")</f>
        <v>Aug</v>
      </c>
      <c r="N535" s="1" t="str">
        <f>TEXT(Table1[[#This Row],[Purchase_Date]],"DD")</f>
        <v>10</v>
      </c>
      <c r="O535" s="2" t="s">
        <v>41</v>
      </c>
      <c r="P535" s="3">
        <v>4</v>
      </c>
      <c r="Q535" s="2" t="s">
        <v>46</v>
      </c>
      <c r="R535" s="2" t="s">
        <v>24</v>
      </c>
      <c r="S535">
        <f>Table1[[#This Row],[Purchase_Amount]]*Table1[[#This Row],[Quantity]]</f>
        <v>961.94</v>
      </c>
      <c r="T535" t="str">
        <f>IF(Table1[[#This Row],[Age]]&lt;25,"&lt;25",IF(Table1[[#This Row],[Age]]&lt;=35,"25-35",IF(Table1[[#This Row],[Age]]&lt;=50,"36-50","50+")))</f>
        <v>25-35</v>
      </c>
    </row>
    <row r="536" spans="1:20" x14ac:dyDescent="0.3">
      <c r="A536" s="2" t="s">
        <v>547</v>
      </c>
      <c r="B536" s="2" t="s">
        <v>26</v>
      </c>
      <c r="C536" s="3">
        <v>40</v>
      </c>
      <c r="D536" s="2" t="s">
        <v>32</v>
      </c>
      <c r="E536" s="2" t="s">
        <v>33</v>
      </c>
      <c r="F536" s="2" t="s">
        <v>44</v>
      </c>
      <c r="G536" t="s">
        <v>39</v>
      </c>
      <c r="H536" t="s">
        <v>371</v>
      </c>
      <c r="I536" s="4">
        <v>173.84</v>
      </c>
      <c r="J536" s="3">
        <v>4</v>
      </c>
      <c r="K536" s="1">
        <v>45351</v>
      </c>
      <c r="L536" s="1" t="str">
        <f>TEXT(Table1[[#This Row],[Purchase_Date]],"YYYY")</f>
        <v>2024</v>
      </c>
      <c r="M536" s="1" t="str">
        <f>TEXT(Table1[[#This Row],[Purchase_Date]],"MMM")</f>
        <v>Feb</v>
      </c>
      <c r="N536" s="1" t="str">
        <f>TEXT(Table1[[#This Row],[Purchase_Date]],"DD")</f>
        <v>29</v>
      </c>
      <c r="O536" s="2" t="s">
        <v>30</v>
      </c>
      <c r="P536" s="3">
        <v>8</v>
      </c>
      <c r="Q536" s="2" t="s">
        <v>23</v>
      </c>
      <c r="R536" s="2" t="s">
        <v>24</v>
      </c>
      <c r="S536">
        <f>Table1[[#This Row],[Purchase_Amount]]*Table1[[#This Row],[Quantity]]</f>
        <v>695.36</v>
      </c>
      <c r="T536" t="str">
        <f>IF(Table1[[#This Row],[Age]]&lt;25,"&lt;25",IF(Table1[[#This Row],[Age]]&lt;=35,"25-35",IF(Table1[[#This Row],[Age]]&lt;=50,"36-50","50+")))</f>
        <v>36-50</v>
      </c>
    </row>
    <row r="537" spans="1:20" x14ac:dyDescent="0.3">
      <c r="A537" s="2" t="s">
        <v>415</v>
      </c>
      <c r="B537" s="2" t="s">
        <v>26</v>
      </c>
      <c r="C537" s="3">
        <v>40</v>
      </c>
      <c r="D537" s="2" t="s">
        <v>109</v>
      </c>
      <c r="E537" s="2" t="s">
        <v>18</v>
      </c>
      <c r="F537" s="2" t="s">
        <v>44</v>
      </c>
      <c r="G537" t="s">
        <v>39</v>
      </c>
      <c r="H537" t="s">
        <v>215</v>
      </c>
      <c r="I537" s="4">
        <v>314.60000000000002</v>
      </c>
      <c r="J537" s="3">
        <v>5</v>
      </c>
      <c r="K537" s="1">
        <v>45188</v>
      </c>
      <c r="L537" s="1" t="str">
        <f>TEXT(Table1[[#This Row],[Purchase_Date]],"YYYY")</f>
        <v>2023</v>
      </c>
      <c r="M537" s="1" t="str">
        <f>TEXT(Table1[[#This Row],[Purchase_Date]],"MMM")</f>
        <v>Sep</v>
      </c>
      <c r="N537" s="1" t="str">
        <f>TEXT(Table1[[#This Row],[Purchase_Date]],"DD")</f>
        <v>19</v>
      </c>
      <c r="O537" s="2" t="s">
        <v>41</v>
      </c>
      <c r="P537" s="3">
        <v>6</v>
      </c>
      <c r="Q537" s="2" t="s">
        <v>46</v>
      </c>
      <c r="R537" s="2" t="s">
        <v>47</v>
      </c>
      <c r="S537">
        <f>Table1[[#This Row],[Purchase_Amount]]*Table1[[#This Row],[Quantity]]</f>
        <v>1573</v>
      </c>
      <c r="T537" t="str">
        <f>IF(Table1[[#This Row],[Age]]&lt;25,"&lt;25",IF(Table1[[#This Row],[Age]]&lt;=35,"25-35",IF(Table1[[#This Row],[Age]]&lt;=50,"36-50","50+")))</f>
        <v>36-50</v>
      </c>
    </row>
    <row r="538" spans="1:20" x14ac:dyDescent="0.3">
      <c r="A538" s="2" t="s">
        <v>628</v>
      </c>
      <c r="B538" s="2" t="s">
        <v>26</v>
      </c>
      <c r="C538" s="3">
        <v>41</v>
      </c>
      <c r="D538" s="2" t="s">
        <v>109</v>
      </c>
      <c r="E538" s="2" t="s">
        <v>33</v>
      </c>
      <c r="F538" s="2" t="s">
        <v>19</v>
      </c>
      <c r="G538" t="s">
        <v>39</v>
      </c>
      <c r="H538" t="s">
        <v>52</v>
      </c>
      <c r="I538" s="4">
        <v>839.1</v>
      </c>
      <c r="J538" s="3">
        <v>4</v>
      </c>
      <c r="K538" s="1">
        <v>45597</v>
      </c>
      <c r="L538" s="1" t="str">
        <f>TEXT(Table1[[#This Row],[Purchase_Date]],"YYYY")</f>
        <v>2024</v>
      </c>
      <c r="M538" s="1" t="str">
        <f>TEXT(Table1[[#This Row],[Purchase_Date]],"MMM")</f>
        <v>Nov</v>
      </c>
      <c r="N538" s="1" t="str">
        <f>TEXT(Table1[[#This Row],[Purchase_Date]],"DD")</f>
        <v>01</v>
      </c>
      <c r="O538" s="2" t="s">
        <v>30</v>
      </c>
      <c r="P538" s="3">
        <v>2</v>
      </c>
      <c r="Q538" s="2" t="s">
        <v>23</v>
      </c>
      <c r="R538" s="2" t="s">
        <v>24</v>
      </c>
      <c r="S538">
        <f>Table1[[#This Row],[Purchase_Amount]]*Table1[[#This Row],[Quantity]]</f>
        <v>3356.4</v>
      </c>
      <c r="T538" t="str">
        <f>IF(Table1[[#This Row],[Age]]&lt;25,"&lt;25",IF(Table1[[#This Row],[Age]]&lt;=35,"25-35",IF(Table1[[#This Row],[Age]]&lt;=50,"36-50","50+")))</f>
        <v>36-50</v>
      </c>
    </row>
    <row r="539" spans="1:20" x14ac:dyDescent="0.3">
      <c r="A539" s="2" t="s">
        <v>254</v>
      </c>
      <c r="B539" s="2" t="s">
        <v>26</v>
      </c>
      <c r="C539" s="3">
        <v>42</v>
      </c>
      <c r="D539" s="2" t="s">
        <v>60</v>
      </c>
      <c r="E539" s="2" t="s">
        <v>49</v>
      </c>
      <c r="F539" s="2" t="s">
        <v>19</v>
      </c>
      <c r="G539" t="s">
        <v>39</v>
      </c>
      <c r="H539" t="s">
        <v>255</v>
      </c>
      <c r="I539" s="4">
        <v>69.62</v>
      </c>
      <c r="J539" s="3">
        <v>2</v>
      </c>
      <c r="K539" s="1">
        <v>45497</v>
      </c>
      <c r="L539" s="1" t="str">
        <f>TEXT(Table1[[#This Row],[Purchase_Date]],"YYYY")</f>
        <v>2024</v>
      </c>
      <c r="M539" s="1" t="str">
        <f>TEXT(Table1[[#This Row],[Purchase_Date]],"MMM")</f>
        <v>Jul</v>
      </c>
      <c r="N539" s="1" t="str">
        <f>TEXT(Table1[[#This Row],[Purchase_Date]],"DD")</f>
        <v>24</v>
      </c>
      <c r="O539" s="2" t="s">
        <v>30</v>
      </c>
      <c r="P539" s="3">
        <v>7</v>
      </c>
      <c r="Q539" s="2" t="s">
        <v>23</v>
      </c>
      <c r="R539" s="2" t="s">
        <v>24</v>
      </c>
      <c r="S539">
        <f>Table1[[#This Row],[Purchase_Amount]]*Table1[[#This Row],[Quantity]]</f>
        <v>139.24</v>
      </c>
      <c r="T539" t="str">
        <f>IF(Table1[[#This Row],[Age]]&lt;25,"&lt;25",IF(Table1[[#This Row],[Age]]&lt;=35,"25-35",IF(Table1[[#This Row],[Age]]&lt;=50,"36-50","50+")))</f>
        <v>36-50</v>
      </c>
    </row>
    <row r="540" spans="1:20" x14ac:dyDescent="0.3">
      <c r="A540" s="2" t="s">
        <v>233</v>
      </c>
      <c r="B540" s="2" t="s">
        <v>26</v>
      </c>
      <c r="C540" s="3">
        <v>42</v>
      </c>
      <c r="D540" s="2" t="s">
        <v>38</v>
      </c>
      <c r="E540" s="2" t="s">
        <v>33</v>
      </c>
      <c r="F540" s="2" t="s">
        <v>44</v>
      </c>
      <c r="G540" t="s">
        <v>39</v>
      </c>
      <c r="H540" t="s">
        <v>234</v>
      </c>
      <c r="I540" s="4">
        <v>248.75</v>
      </c>
      <c r="J540" s="3">
        <v>3</v>
      </c>
      <c r="K540" s="1">
        <v>44960</v>
      </c>
      <c r="L540" s="1" t="str">
        <f>TEXT(Table1[[#This Row],[Purchase_Date]],"YYYY")</f>
        <v>2023</v>
      </c>
      <c r="M540" s="1" t="str">
        <f>TEXT(Table1[[#This Row],[Purchase_Date]],"MMM")</f>
        <v>Feb</v>
      </c>
      <c r="N540" s="1" t="str">
        <f>TEXT(Table1[[#This Row],[Purchase_Date]],"DD")</f>
        <v>03</v>
      </c>
      <c r="O540" s="2" t="s">
        <v>41</v>
      </c>
      <c r="P540" s="3">
        <v>3</v>
      </c>
      <c r="Q540" s="2" t="s">
        <v>23</v>
      </c>
      <c r="R540" s="2" t="s">
        <v>24</v>
      </c>
      <c r="S540">
        <f>Table1[[#This Row],[Purchase_Amount]]*Table1[[#This Row],[Quantity]]</f>
        <v>746.25</v>
      </c>
      <c r="T540" t="str">
        <f>IF(Table1[[#This Row],[Age]]&lt;25,"&lt;25",IF(Table1[[#This Row],[Age]]&lt;=35,"25-35",IF(Table1[[#This Row],[Age]]&lt;=50,"36-50","50+")))</f>
        <v>36-50</v>
      </c>
    </row>
    <row r="541" spans="1:20" x14ac:dyDescent="0.3">
      <c r="A541" s="2" t="s">
        <v>473</v>
      </c>
      <c r="B541" s="2" t="s">
        <v>26</v>
      </c>
      <c r="C541" s="3">
        <v>43</v>
      </c>
      <c r="D541" s="2" t="s">
        <v>64</v>
      </c>
      <c r="E541" s="2" t="s">
        <v>18</v>
      </c>
      <c r="F541" s="2" t="s">
        <v>27</v>
      </c>
      <c r="G541" t="s">
        <v>39</v>
      </c>
      <c r="H541" t="s">
        <v>333</v>
      </c>
      <c r="I541" s="4">
        <v>60.75</v>
      </c>
      <c r="J541" s="3">
        <v>1</v>
      </c>
      <c r="K541" s="1">
        <v>45099</v>
      </c>
      <c r="L541" s="1" t="str">
        <f>TEXT(Table1[[#This Row],[Purchase_Date]],"YYYY")</f>
        <v>2023</v>
      </c>
      <c r="M541" s="1" t="str">
        <f>TEXT(Table1[[#This Row],[Purchase_Date]],"MMM")</f>
        <v>Jun</v>
      </c>
      <c r="N541" s="1" t="str">
        <f>TEXT(Table1[[#This Row],[Purchase_Date]],"DD")</f>
        <v>22</v>
      </c>
      <c r="O541" s="2" t="s">
        <v>22</v>
      </c>
      <c r="P541" s="3">
        <v>7</v>
      </c>
      <c r="Q541" s="2" t="s">
        <v>23</v>
      </c>
      <c r="R541" s="2" t="s">
        <v>47</v>
      </c>
      <c r="S541">
        <f>Table1[[#This Row],[Purchase_Amount]]*Table1[[#This Row],[Quantity]]</f>
        <v>60.75</v>
      </c>
      <c r="T541" t="str">
        <f>IF(Table1[[#This Row],[Age]]&lt;25,"&lt;25",IF(Table1[[#This Row],[Age]]&lt;=35,"25-35",IF(Table1[[#This Row],[Age]]&lt;=50,"36-50","50+")))</f>
        <v>36-50</v>
      </c>
    </row>
    <row r="542" spans="1:20" x14ac:dyDescent="0.3">
      <c r="A542" s="2" t="s">
        <v>356</v>
      </c>
      <c r="B542" s="2" t="s">
        <v>26</v>
      </c>
      <c r="C542" s="3">
        <v>43</v>
      </c>
      <c r="D542" s="2" t="s">
        <v>38</v>
      </c>
      <c r="E542" s="2" t="s">
        <v>18</v>
      </c>
      <c r="F542" s="2" t="s">
        <v>19</v>
      </c>
      <c r="G542" t="s">
        <v>39</v>
      </c>
      <c r="H542" t="s">
        <v>138</v>
      </c>
      <c r="I542" s="4">
        <v>938.68</v>
      </c>
      <c r="J542" s="3">
        <v>2</v>
      </c>
      <c r="K542" s="1">
        <v>45439</v>
      </c>
      <c r="L542" s="1" t="str">
        <f>TEXT(Table1[[#This Row],[Purchase_Date]],"YYYY")</f>
        <v>2024</v>
      </c>
      <c r="M542" s="1" t="str">
        <f>TEXT(Table1[[#This Row],[Purchase_Date]],"MMM")</f>
        <v>May</v>
      </c>
      <c r="N542" s="1" t="str">
        <f>TEXT(Table1[[#This Row],[Purchase_Date]],"DD")</f>
        <v>27</v>
      </c>
      <c r="O542" s="2" t="s">
        <v>36</v>
      </c>
      <c r="P542" s="3">
        <v>7</v>
      </c>
      <c r="Q542" s="2" t="s">
        <v>46</v>
      </c>
      <c r="R542" s="2" t="s">
        <v>24</v>
      </c>
      <c r="S542">
        <f>Table1[[#This Row],[Purchase_Amount]]*Table1[[#This Row],[Quantity]]</f>
        <v>1877.36</v>
      </c>
      <c r="T542" t="str">
        <f>IF(Table1[[#This Row],[Age]]&lt;25,"&lt;25",IF(Table1[[#This Row],[Age]]&lt;=35,"25-35",IF(Table1[[#This Row],[Age]]&lt;=50,"36-50","50+")))</f>
        <v>36-50</v>
      </c>
    </row>
    <row r="543" spans="1:20" x14ac:dyDescent="0.3">
      <c r="A543" s="2" t="s">
        <v>506</v>
      </c>
      <c r="B543" s="2" t="s">
        <v>26</v>
      </c>
      <c r="C543" s="3">
        <v>46</v>
      </c>
      <c r="D543" s="2" t="s">
        <v>78</v>
      </c>
      <c r="E543" s="2" t="s">
        <v>49</v>
      </c>
      <c r="F543" s="2" t="s">
        <v>19</v>
      </c>
      <c r="G543" t="s">
        <v>39</v>
      </c>
      <c r="H543" t="s">
        <v>431</v>
      </c>
      <c r="I543" s="4">
        <v>132.22</v>
      </c>
      <c r="J543" s="3">
        <v>3</v>
      </c>
      <c r="K543" s="1">
        <v>45479</v>
      </c>
      <c r="L543" s="1" t="str">
        <f>TEXT(Table1[[#This Row],[Purchase_Date]],"YYYY")</f>
        <v>2024</v>
      </c>
      <c r="M543" s="1" t="str">
        <f>TEXT(Table1[[#This Row],[Purchase_Date]],"MMM")</f>
        <v>Jul</v>
      </c>
      <c r="N543" s="1" t="str">
        <f>TEXT(Table1[[#This Row],[Purchase_Date]],"DD")</f>
        <v>06</v>
      </c>
      <c r="O543" s="2" t="s">
        <v>41</v>
      </c>
      <c r="P543" s="3">
        <v>2</v>
      </c>
      <c r="Q543" s="2" t="s">
        <v>46</v>
      </c>
      <c r="R543" s="2" t="s">
        <v>47</v>
      </c>
      <c r="S543">
        <f>Table1[[#This Row],[Purchase_Amount]]*Table1[[#This Row],[Quantity]]</f>
        <v>396.65999999999997</v>
      </c>
      <c r="T543" t="str">
        <f>IF(Table1[[#This Row],[Age]]&lt;25,"&lt;25",IF(Table1[[#This Row],[Age]]&lt;=35,"25-35",IF(Table1[[#This Row],[Age]]&lt;=50,"36-50","50+")))</f>
        <v>36-50</v>
      </c>
    </row>
    <row r="544" spans="1:20" x14ac:dyDescent="0.3">
      <c r="A544" s="2" t="s">
        <v>873</v>
      </c>
      <c r="B544" s="2" t="s">
        <v>26</v>
      </c>
      <c r="C544" s="3">
        <v>46</v>
      </c>
      <c r="D544" s="2" t="s">
        <v>109</v>
      </c>
      <c r="E544" s="2" t="s">
        <v>49</v>
      </c>
      <c r="F544" s="2" t="s">
        <v>19</v>
      </c>
      <c r="G544" t="s">
        <v>39</v>
      </c>
      <c r="H544" t="s">
        <v>383</v>
      </c>
      <c r="I544" s="4">
        <v>395.32</v>
      </c>
      <c r="J544" s="3">
        <v>4</v>
      </c>
      <c r="K544" s="1">
        <v>45403</v>
      </c>
      <c r="L544" s="1" t="str">
        <f>TEXT(Table1[[#This Row],[Purchase_Date]],"YYYY")</f>
        <v>2024</v>
      </c>
      <c r="M544" s="1" t="str">
        <f>TEXT(Table1[[#This Row],[Purchase_Date]],"MMM")</f>
        <v>Apr</v>
      </c>
      <c r="N544" s="1" t="str">
        <f>TEXT(Table1[[#This Row],[Purchase_Date]],"DD")</f>
        <v>21</v>
      </c>
      <c r="O544" s="2" t="s">
        <v>22</v>
      </c>
      <c r="P544" s="3">
        <v>1</v>
      </c>
      <c r="Q544" s="2" t="s">
        <v>46</v>
      </c>
      <c r="R544" s="2" t="s">
        <v>24</v>
      </c>
      <c r="S544">
        <f>Table1[[#This Row],[Purchase_Amount]]*Table1[[#This Row],[Quantity]]</f>
        <v>1581.28</v>
      </c>
      <c r="T544" t="str">
        <f>IF(Table1[[#This Row],[Age]]&lt;25,"&lt;25",IF(Table1[[#This Row],[Age]]&lt;=35,"25-35",IF(Table1[[#This Row],[Age]]&lt;=50,"36-50","50+")))</f>
        <v>36-50</v>
      </c>
    </row>
    <row r="545" spans="1:20" x14ac:dyDescent="0.3">
      <c r="A545" s="2" t="s">
        <v>293</v>
      </c>
      <c r="B545" s="2" t="s">
        <v>26</v>
      </c>
      <c r="C545" s="3">
        <v>47</v>
      </c>
      <c r="D545" s="2" t="s">
        <v>38</v>
      </c>
      <c r="E545" s="2" t="s">
        <v>49</v>
      </c>
      <c r="F545" s="2" t="s">
        <v>27</v>
      </c>
      <c r="G545" t="s">
        <v>39</v>
      </c>
      <c r="H545" t="s">
        <v>294</v>
      </c>
      <c r="I545" s="4">
        <v>910.11</v>
      </c>
      <c r="J545" s="3">
        <v>2</v>
      </c>
      <c r="K545" s="1">
        <v>45493</v>
      </c>
      <c r="L545" s="1" t="str">
        <f>TEXT(Table1[[#This Row],[Purchase_Date]],"YYYY")</f>
        <v>2024</v>
      </c>
      <c r="M545" s="1" t="str">
        <f>TEXT(Table1[[#This Row],[Purchase_Date]],"MMM")</f>
        <v>Jul</v>
      </c>
      <c r="N545" s="1" t="str">
        <f>TEXT(Table1[[#This Row],[Purchase_Date]],"DD")</f>
        <v>20</v>
      </c>
      <c r="O545" s="2" t="s">
        <v>41</v>
      </c>
      <c r="P545" s="3">
        <v>3</v>
      </c>
      <c r="Q545" s="2" t="s">
        <v>23</v>
      </c>
      <c r="R545" s="2" t="s">
        <v>24</v>
      </c>
      <c r="S545">
        <f>Table1[[#This Row],[Purchase_Amount]]*Table1[[#This Row],[Quantity]]</f>
        <v>1820.22</v>
      </c>
      <c r="T545" t="str">
        <f>IF(Table1[[#This Row],[Age]]&lt;25,"&lt;25",IF(Table1[[#This Row],[Age]]&lt;=35,"25-35",IF(Table1[[#This Row],[Age]]&lt;=50,"36-50","50+")))</f>
        <v>36-50</v>
      </c>
    </row>
    <row r="546" spans="1:20" x14ac:dyDescent="0.3">
      <c r="A546" s="2" t="s">
        <v>192</v>
      </c>
      <c r="B546" s="2" t="s">
        <v>26</v>
      </c>
      <c r="C546" s="3">
        <v>51</v>
      </c>
      <c r="D546" s="2" t="s">
        <v>32</v>
      </c>
      <c r="E546" s="2" t="s">
        <v>33</v>
      </c>
      <c r="F546" s="2" t="s">
        <v>19</v>
      </c>
      <c r="G546" t="s">
        <v>39</v>
      </c>
      <c r="H546" t="s">
        <v>193</v>
      </c>
      <c r="I546" s="4">
        <v>513.80999999999995</v>
      </c>
      <c r="J546" s="3">
        <v>1</v>
      </c>
      <c r="K546" s="1">
        <v>45006</v>
      </c>
      <c r="L546" s="1" t="str">
        <f>TEXT(Table1[[#This Row],[Purchase_Date]],"YYYY")</f>
        <v>2023</v>
      </c>
      <c r="M546" s="1" t="str">
        <f>TEXT(Table1[[#This Row],[Purchase_Date]],"MMM")</f>
        <v>Mar</v>
      </c>
      <c r="N546" s="1" t="str">
        <f>TEXT(Table1[[#This Row],[Purchase_Date]],"DD")</f>
        <v>21</v>
      </c>
      <c r="O546" s="2" t="s">
        <v>30</v>
      </c>
      <c r="P546" s="3">
        <v>3</v>
      </c>
      <c r="Q546" s="2" t="s">
        <v>23</v>
      </c>
      <c r="R546" s="2" t="s">
        <v>24</v>
      </c>
      <c r="S546">
        <f>Table1[[#This Row],[Purchase_Amount]]*Table1[[#This Row],[Quantity]]</f>
        <v>513.80999999999995</v>
      </c>
      <c r="T546" t="str">
        <f>IF(Table1[[#This Row],[Age]]&lt;25,"&lt;25",IF(Table1[[#This Row],[Age]]&lt;=35,"25-35",IF(Table1[[#This Row],[Age]]&lt;=50,"36-50","50+")))</f>
        <v>50+</v>
      </c>
    </row>
    <row r="547" spans="1:20" x14ac:dyDescent="0.3">
      <c r="A547" s="2" t="s">
        <v>734</v>
      </c>
      <c r="B547" s="2" t="s">
        <v>26</v>
      </c>
      <c r="C547" s="3">
        <v>51</v>
      </c>
      <c r="D547" s="2" t="s">
        <v>64</v>
      </c>
      <c r="E547" s="2" t="s">
        <v>49</v>
      </c>
      <c r="F547" s="2" t="s">
        <v>27</v>
      </c>
      <c r="G547" t="s">
        <v>39</v>
      </c>
      <c r="H547" t="s">
        <v>189</v>
      </c>
      <c r="I547" s="4">
        <v>542.98</v>
      </c>
      <c r="J547" s="3">
        <v>5</v>
      </c>
      <c r="K547" s="1">
        <v>45002</v>
      </c>
      <c r="L547" s="1" t="str">
        <f>TEXT(Table1[[#This Row],[Purchase_Date]],"YYYY")</f>
        <v>2023</v>
      </c>
      <c r="M547" s="1" t="str">
        <f>TEXT(Table1[[#This Row],[Purchase_Date]],"MMM")</f>
        <v>Mar</v>
      </c>
      <c r="N547" s="1" t="str">
        <f>TEXT(Table1[[#This Row],[Purchase_Date]],"DD")</f>
        <v>17</v>
      </c>
      <c r="O547" s="2" t="s">
        <v>30</v>
      </c>
      <c r="P547" s="3">
        <v>6</v>
      </c>
      <c r="Q547" s="2" t="s">
        <v>23</v>
      </c>
      <c r="R547" s="2" t="s">
        <v>47</v>
      </c>
      <c r="S547">
        <f>Table1[[#This Row],[Purchase_Amount]]*Table1[[#This Row],[Quantity]]</f>
        <v>2714.9</v>
      </c>
      <c r="T547" t="str">
        <f>IF(Table1[[#This Row],[Age]]&lt;25,"&lt;25",IF(Table1[[#This Row],[Age]]&lt;=35,"25-35",IF(Table1[[#This Row],[Age]]&lt;=50,"36-50","50+")))</f>
        <v>50+</v>
      </c>
    </row>
    <row r="548" spans="1:20" x14ac:dyDescent="0.3">
      <c r="A548" s="2" t="s">
        <v>1009</v>
      </c>
      <c r="B548" s="2" t="s">
        <v>26</v>
      </c>
      <c r="C548" s="3">
        <v>51</v>
      </c>
      <c r="D548" s="2" t="s">
        <v>32</v>
      </c>
      <c r="E548" s="2" t="s">
        <v>18</v>
      </c>
      <c r="F548" s="2" t="s">
        <v>44</v>
      </c>
      <c r="G548" t="s">
        <v>39</v>
      </c>
      <c r="H548" t="s">
        <v>294</v>
      </c>
      <c r="I548" s="4">
        <v>845.37</v>
      </c>
      <c r="J548" s="3">
        <v>5</v>
      </c>
      <c r="K548" s="1">
        <v>45090</v>
      </c>
      <c r="L548" s="1" t="str">
        <f>TEXT(Table1[[#This Row],[Purchase_Date]],"YYYY")</f>
        <v>2023</v>
      </c>
      <c r="M548" s="1" t="str">
        <f>TEXT(Table1[[#This Row],[Purchase_Date]],"MMM")</f>
        <v>Jun</v>
      </c>
      <c r="N548" s="1" t="str">
        <f>TEXT(Table1[[#This Row],[Purchase_Date]],"DD")</f>
        <v>13</v>
      </c>
      <c r="O548" s="2" t="s">
        <v>41</v>
      </c>
      <c r="P548" s="3">
        <v>3</v>
      </c>
      <c r="Q548" s="2" t="s">
        <v>23</v>
      </c>
      <c r="R548" s="2" t="s">
        <v>24</v>
      </c>
      <c r="S548">
        <f>Table1[[#This Row],[Purchase_Amount]]*Table1[[#This Row],[Quantity]]</f>
        <v>4226.8500000000004</v>
      </c>
      <c r="T548" t="str">
        <f>IF(Table1[[#This Row],[Age]]&lt;25,"&lt;25",IF(Table1[[#This Row],[Age]]&lt;=35,"25-35",IF(Table1[[#This Row],[Age]]&lt;=50,"36-50","50+")))</f>
        <v>50+</v>
      </c>
    </row>
    <row r="549" spans="1:20" x14ac:dyDescent="0.3">
      <c r="A549" s="2" t="s">
        <v>686</v>
      </c>
      <c r="B549" s="2" t="s">
        <v>26</v>
      </c>
      <c r="C549" s="3">
        <v>51</v>
      </c>
      <c r="D549" s="2" t="s">
        <v>60</v>
      </c>
      <c r="E549" s="2" t="s">
        <v>33</v>
      </c>
      <c r="F549" s="2" t="s">
        <v>44</v>
      </c>
      <c r="G549" t="s">
        <v>39</v>
      </c>
      <c r="H549" t="s">
        <v>513</v>
      </c>
      <c r="I549" s="4">
        <v>964.05</v>
      </c>
      <c r="J549" s="3">
        <v>2</v>
      </c>
      <c r="K549" s="1">
        <v>45460</v>
      </c>
      <c r="L549" s="1" t="str">
        <f>TEXT(Table1[[#This Row],[Purchase_Date]],"YYYY")</f>
        <v>2024</v>
      </c>
      <c r="M549" s="1" t="str">
        <f>TEXT(Table1[[#This Row],[Purchase_Date]],"MMM")</f>
        <v>Jun</v>
      </c>
      <c r="N549" s="1" t="str">
        <f>TEXT(Table1[[#This Row],[Purchase_Date]],"DD")</f>
        <v>17</v>
      </c>
      <c r="O549" s="2" t="s">
        <v>22</v>
      </c>
      <c r="P549" s="3">
        <v>9</v>
      </c>
      <c r="Q549" s="2" t="s">
        <v>23</v>
      </c>
      <c r="R549" s="2" t="s">
        <v>24</v>
      </c>
      <c r="S549">
        <f>Table1[[#This Row],[Purchase_Amount]]*Table1[[#This Row],[Quantity]]</f>
        <v>1928.1</v>
      </c>
      <c r="T549" t="str">
        <f>IF(Table1[[#This Row],[Age]]&lt;25,"&lt;25",IF(Table1[[#This Row],[Age]]&lt;=35,"25-35",IF(Table1[[#This Row],[Age]]&lt;=50,"36-50","50+")))</f>
        <v>50+</v>
      </c>
    </row>
    <row r="550" spans="1:20" x14ac:dyDescent="0.3">
      <c r="A550" s="2" t="s">
        <v>128</v>
      </c>
      <c r="B550" s="2" t="s">
        <v>26</v>
      </c>
      <c r="C550" s="3">
        <v>54</v>
      </c>
      <c r="D550" s="2" t="s">
        <v>32</v>
      </c>
      <c r="E550" s="2" t="s">
        <v>18</v>
      </c>
      <c r="F550" s="2" t="s">
        <v>44</v>
      </c>
      <c r="G550" t="s">
        <v>39</v>
      </c>
      <c r="H550" t="s">
        <v>129</v>
      </c>
      <c r="I550" s="4">
        <v>327.64999999999998</v>
      </c>
      <c r="J550" s="3">
        <v>4</v>
      </c>
      <c r="K550" s="1">
        <v>45026</v>
      </c>
      <c r="L550" s="1" t="str">
        <f>TEXT(Table1[[#This Row],[Purchase_Date]],"YYYY")</f>
        <v>2023</v>
      </c>
      <c r="M550" s="1" t="str">
        <f>TEXT(Table1[[#This Row],[Purchase_Date]],"MMM")</f>
        <v>Apr</v>
      </c>
      <c r="N550" s="1" t="str">
        <f>TEXT(Table1[[#This Row],[Purchase_Date]],"DD")</f>
        <v>10</v>
      </c>
      <c r="O550" s="2" t="s">
        <v>36</v>
      </c>
      <c r="P550" s="3">
        <v>9</v>
      </c>
      <c r="Q550" s="2" t="s">
        <v>23</v>
      </c>
      <c r="R550" s="2" t="s">
        <v>24</v>
      </c>
      <c r="S550">
        <f>Table1[[#This Row],[Purchase_Amount]]*Table1[[#This Row],[Quantity]]</f>
        <v>1310.5999999999999</v>
      </c>
      <c r="T550" t="str">
        <f>IF(Table1[[#This Row],[Age]]&lt;25,"&lt;25",IF(Table1[[#This Row],[Age]]&lt;=35,"25-35",IF(Table1[[#This Row],[Age]]&lt;=50,"36-50","50+")))</f>
        <v>50+</v>
      </c>
    </row>
    <row r="551" spans="1:20" x14ac:dyDescent="0.3">
      <c r="A551" s="2" t="s">
        <v>752</v>
      </c>
      <c r="B551" s="2" t="s">
        <v>26</v>
      </c>
      <c r="C551" s="3">
        <v>54</v>
      </c>
      <c r="D551" s="2" t="s">
        <v>38</v>
      </c>
      <c r="E551" s="2" t="s">
        <v>49</v>
      </c>
      <c r="F551" s="2" t="s">
        <v>19</v>
      </c>
      <c r="G551" t="s">
        <v>39</v>
      </c>
      <c r="H551" t="s">
        <v>232</v>
      </c>
      <c r="I551" s="4">
        <v>741.16</v>
      </c>
      <c r="J551" s="3">
        <v>2</v>
      </c>
      <c r="K551" s="1">
        <v>45486</v>
      </c>
      <c r="L551" s="1" t="str">
        <f>TEXT(Table1[[#This Row],[Purchase_Date]],"YYYY")</f>
        <v>2024</v>
      </c>
      <c r="M551" s="1" t="str">
        <f>TEXT(Table1[[#This Row],[Purchase_Date]],"MMM")</f>
        <v>Jul</v>
      </c>
      <c r="N551" s="1" t="str">
        <f>TEXT(Table1[[#This Row],[Purchase_Date]],"DD")</f>
        <v>13</v>
      </c>
      <c r="O551" s="2" t="s">
        <v>30</v>
      </c>
      <c r="P551" s="3">
        <v>2</v>
      </c>
      <c r="Q551" s="2" t="s">
        <v>23</v>
      </c>
      <c r="R551" s="2" t="s">
        <v>47</v>
      </c>
      <c r="S551">
        <f>Table1[[#This Row],[Purchase_Amount]]*Table1[[#This Row],[Quantity]]</f>
        <v>1482.32</v>
      </c>
      <c r="T551" t="str">
        <f>IF(Table1[[#This Row],[Age]]&lt;25,"&lt;25",IF(Table1[[#This Row],[Age]]&lt;=35,"25-35",IF(Table1[[#This Row],[Age]]&lt;=50,"36-50","50+")))</f>
        <v>50+</v>
      </c>
    </row>
    <row r="552" spans="1:20" x14ac:dyDescent="0.3">
      <c r="A552" s="2" t="s">
        <v>368</v>
      </c>
      <c r="B552" s="2" t="s">
        <v>26</v>
      </c>
      <c r="C552" s="3">
        <v>55</v>
      </c>
      <c r="D552" s="2" t="s">
        <v>32</v>
      </c>
      <c r="E552" s="2" t="s">
        <v>33</v>
      </c>
      <c r="F552" s="2" t="s">
        <v>27</v>
      </c>
      <c r="G552" t="s">
        <v>39</v>
      </c>
      <c r="H552" t="s">
        <v>369</v>
      </c>
      <c r="I552" s="4">
        <v>639.29</v>
      </c>
      <c r="J552" s="3">
        <v>3</v>
      </c>
      <c r="K552" s="1">
        <v>45059</v>
      </c>
      <c r="L552" s="1" t="str">
        <f>TEXT(Table1[[#This Row],[Purchase_Date]],"YYYY")</f>
        <v>2023</v>
      </c>
      <c r="M552" s="1" t="str">
        <f>TEXT(Table1[[#This Row],[Purchase_Date]],"MMM")</f>
        <v>May</v>
      </c>
      <c r="N552" s="1" t="str">
        <f>TEXT(Table1[[#This Row],[Purchase_Date]],"DD")</f>
        <v>13</v>
      </c>
      <c r="O552" s="2" t="s">
        <v>36</v>
      </c>
      <c r="P552" s="3">
        <v>6</v>
      </c>
      <c r="Q552" s="2" t="s">
        <v>46</v>
      </c>
      <c r="R552" s="2" t="s">
        <v>24</v>
      </c>
      <c r="S552">
        <f>Table1[[#This Row],[Purchase_Amount]]*Table1[[#This Row],[Quantity]]</f>
        <v>1917.87</v>
      </c>
      <c r="T552" t="str">
        <f>IF(Table1[[#This Row],[Age]]&lt;25,"&lt;25",IF(Table1[[#This Row],[Age]]&lt;=35,"25-35",IF(Table1[[#This Row],[Age]]&lt;=50,"36-50","50+")))</f>
        <v>50+</v>
      </c>
    </row>
    <row r="553" spans="1:20" x14ac:dyDescent="0.3">
      <c r="A553" s="2" t="s">
        <v>914</v>
      </c>
      <c r="B553" s="2" t="s">
        <v>26</v>
      </c>
      <c r="C553" s="3">
        <v>56</v>
      </c>
      <c r="D553" s="2" t="s">
        <v>78</v>
      </c>
      <c r="E553" s="2" t="s">
        <v>18</v>
      </c>
      <c r="F553" s="2" t="s">
        <v>27</v>
      </c>
      <c r="G553" t="s">
        <v>39</v>
      </c>
      <c r="H553" t="s">
        <v>65</v>
      </c>
      <c r="I553" s="4">
        <v>24.05</v>
      </c>
      <c r="J553" s="3">
        <v>3</v>
      </c>
      <c r="K553" s="1">
        <v>45193</v>
      </c>
      <c r="L553" s="1" t="str">
        <f>TEXT(Table1[[#This Row],[Purchase_Date]],"YYYY")</f>
        <v>2023</v>
      </c>
      <c r="M553" s="1" t="str">
        <f>TEXT(Table1[[#This Row],[Purchase_Date]],"MMM")</f>
        <v>Sep</v>
      </c>
      <c r="N553" s="1" t="str">
        <f>TEXT(Table1[[#This Row],[Purchase_Date]],"DD")</f>
        <v>24</v>
      </c>
      <c r="O553" s="2" t="s">
        <v>41</v>
      </c>
      <c r="P553" s="3">
        <v>1</v>
      </c>
      <c r="Q553" s="2" t="s">
        <v>46</v>
      </c>
      <c r="R553" s="2" t="s">
        <v>24</v>
      </c>
      <c r="S553">
        <f>Table1[[#This Row],[Purchase_Amount]]*Table1[[#This Row],[Quantity]]</f>
        <v>72.150000000000006</v>
      </c>
      <c r="T553" t="str">
        <f>IF(Table1[[#This Row],[Age]]&lt;25,"&lt;25",IF(Table1[[#This Row],[Age]]&lt;=35,"25-35",IF(Table1[[#This Row],[Age]]&lt;=50,"36-50","50+")))</f>
        <v>50+</v>
      </c>
    </row>
    <row r="554" spans="1:20" x14ac:dyDescent="0.3">
      <c r="A554" s="2" t="s">
        <v>1019</v>
      </c>
      <c r="B554" s="2" t="s">
        <v>26</v>
      </c>
      <c r="C554" s="3">
        <v>57</v>
      </c>
      <c r="D554" s="2" t="s">
        <v>17</v>
      </c>
      <c r="E554" s="2" t="s">
        <v>33</v>
      </c>
      <c r="F554" s="2" t="s">
        <v>27</v>
      </c>
      <c r="G554" t="s">
        <v>39</v>
      </c>
      <c r="H554" t="s">
        <v>307</v>
      </c>
      <c r="I554" s="4">
        <v>134.38999999999999</v>
      </c>
      <c r="J554" s="3">
        <v>5</v>
      </c>
      <c r="K554" s="1">
        <v>45139</v>
      </c>
      <c r="L554" s="1" t="str">
        <f>TEXT(Table1[[#This Row],[Purchase_Date]],"YYYY")</f>
        <v>2023</v>
      </c>
      <c r="M554" s="1" t="str">
        <f>TEXT(Table1[[#This Row],[Purchase_Date]],"MMM")</f>
        <v>Aug</v>
      </c>
      <c r="N554" s="1" t="str">
        <f>TEXT(Table1[[#This Row],[Purchase_Date]],"DD")</f>
        <v>01</v>
      </c>
      <c r="O554" s="2" t="s">
        <v>30</v>
      </c>
      <c r="P554" s="3">
        <v>1</v>
      </c>
      <c r="Q554" s="2" t="s">
        <v>23</v>
      </c>
      <c r="R554" s="2" t="s">
        <v>47</v>
      </c>
      <c r="S554">
        <f>Table1[[#This Row],[Purchase_Amount]]*Table1[[#This Row],[Quantity]]</f>
        <v>671.94999999999993</v>
      </c>
      <c r="T554" t="str">
        <f>IF(Table1[[#This Row],[Age]]&lt;25,"&lt;25",IF(Table1[[#This Row],[Age]]&lt;=35,"25-35",IF(Table1[[#This Row],[Age]]&lt;=50,"36-50","50+")))</f>
        <v>50+</v>
      </c>
    </row>
    <row r="555" spans="1:20" x14ac:dyDescent="0.3">
      <c r="A555" s="2" t="s">
        <v>642</v>
      </c>
      <c r="B555" s="2" t="s">
        <v>26</v>
      </c>
      <c r="C555" s="3">
        <v>57</v>
      </c>
      <c r="D555" s="2" t="s">
        <v>109</v>
      </c>
      <c r="E555" s="2" t="s">
        <v>18</v>
      </c>
      <c r="F555" s="2" t="s">
        <v>44</v>
      </c>
      <c r="G555" t="s">
        <v>39</v>
      </c>
      <c r="H555" t="s">
        <v>267</v>
      </c>
      <c r="I555" s="4">
        <v>443.52</v>
      </c>
      <c r="J555" s="3">
        <v>5</v>
      </c>
      <c r="K555" s="1">
        <v>45577</v>
      </c>
      <c r="L555" s="1" t="str">
        <f>TEXT(Table1[[#This Row],[Purchase_Date]],"YYYY")</f>
        <v>2024</v>
      </c>
      <c r="M555" s="1" t="str">
        <f>TEXT(Table1[[#This Row],[Purchase_Date]],"MMM")</f>
        <v>Oct</v>
      </c>
      <c r="N555" s="1" t="str">
        <f>TEXT(Table1[[#This Row],[Purchase_Date]],"DD")</f>
        <v>12</v>
      </c>
      <c r="O555" s="2" t="s">
        <v>41</v>
      </c>
      <c r="P555" s="3">
        <v>1</v>
      </c>
      <c r="Q555" s="2" t="s">
        <v>46</v>
      </c>
      <c r="R555" s="2" t="s">
        <v>47</v>
      </c>
      <c r="S555">
        <f>Table1[[#This Row],[Purchase_Amount]]*Table1[[#This Row],[Quantity]]</f>
        <v>2217.6</v>
      </c>
      <c r="T555" t="str">
        <f>IF(Table1[[#This Row],[Age]]&lt;25,"&lt;25",IF(Table1[[#This Row],[Age]]&lt;=35,"25-35",IF(Table1[[#This Row],[Age]]&lt;=50,"36-50","50+")))</f>
        <v>50+</v>
      </c>
    </row>
    <row r="556" spans="1:20" x14ac:dyDescent="0.3">
      <c r="A556" s="2" t="s">
        <v>792</v>
      </c>
      <c r="B556" s="2" t="s">
        <v>26</v>
      </c>
      <c r="C556" s="3">
        <v>58</v>
      </c>
      <c r="D556" s="2" t="s">
        <v>60</v>
      </c>
      <c r="E556" s="2" t="s">
        <v>18</v>
      </c>
      <c r="F556" s="2" t="s">
        <v>44</v>
      </c>
      <c r="G556" t="s">
        <v>39</v>
      </c>
      <c r="H556" t="s">
        <v>221</v>
      </c>
      <c r="I556" s="4">
        <v>425.14</v>
      </c>
      <c r="J556" s="3">
        <v>2</v>
      </c>
      <c r="K556" s="1">
        <v>45467</v>
      </c>
      <c r="L556" s="1" t="str">
        <f>TEXT(Table1[[#This Row],[Purchase_Date]],"YYYY")</f>
        <v>2024</v>
      </c>
      <c r="M556" s="1" t="str">
        <f>TEXT(Table1[[#This Row],[Purchase_Date]],"MMM")</f>
        <v>Jun</v>
      </c>
      <c r="N556" s="1" t="str">
        <f>TEXT(Table1[[#This Row],[Purchase_Date]],"DD")</f>
        <v>24</v>
      </c>
      <c r="O556" s="2" t="s">
        <v>41</v>
      </c>
      <c r="P556" s="3">
        <v>5</v>
      </c>
      <c r="Q556" s="2" t="s">
        <v>46</v>
      </c>
      <c r="R556" s="2" t="s">
        <v>24</v>
      </c>
      <c r="S556">
        <f>Table1[[#This Row],[Purchase_Amount]]*Table1[[#This Row],[Quantity]]</f>
        <v>850.28</v>
      </c>
      <c r="T556" t="str">
        <f>IF(Table1[[#This Row],[Age]]&lt;25,"&lt;25",IF(Table1[[#This Row],[Age]]&lt;=35,"25-35",IF(Table1[[#This Row],[Age]]&lt;=50,"36-50","50+")))</f>
        <v>50+</v>
      </c>
    </row>
    <row r="557" spans="1:20" x14ac:dyDescent="0.3">
      <c r="A557" s="2" t="s">
        <v>663</v>
      </c>
      <c r="B557" s="2" t="s">
        <v>26</v>
      </c>
      <c r="C557" s="3">
        <v>59</v>
      </c>
      <c r="D557" s="2" t="s">
        <v>38</v>
      </c>
      <c r="E557" s="2" t="s">
        <v>49</v>
      </c>
      <c r="F557" s="2" t="s">
        <v>27</v>
      </c>
      <c r="G557" t="s">
        <v>39</v>
      </c>
      <c r="H557" t="s">
        <v>237</v>
      </c>
      <c r="I557" s="4">
        <v>634.46</v>
      </c>
      <c r="J557" s="3">
        <v>4</v>
      </c>
      <c r="K557" s="1">
        <v>45141</v>
      </c>
      <c r="L557" s="1" t="str">
        <f>TEXT(Table1[[#This Row],[Purchase_Date]],"YYYY")</f>
        <v>2023</v>
      </c>
      <c r="M557" s="1" t="str">
        <f>TEXT(Table1[[#This Row],[Purchase_Date]],"MMM")</f>
        <v>Aug</v>
      </c>
      <c r="N557" s="1" t="str">
        <f>TEXT(Table1[[#This Row],[Purchase_Date]],"DD")</f>
        <v>03</v>
      </c>
      <c r="O557" s="2" t="s">
        <v>41</v>
      </c>
      <c r="P557" s="3">
        <v>10</v>
      </c>
      <c r="Q557" s="2" t="s">
        <v>23</v>
      </c>
      <c r="R557" s="2" t="s">
        <v>24</v>
      </c>
      <c r="S557">
        <f>Table1[[#This Row],[Purchase_Amount]]*Table1[[#This Row],[Quantity]]</f>
        <v>2537.84</v>
      </c>
      <c r="T557" t="str">
        <f>IF(Table1[[#This Row],[Age]]&lt;25,"&lt;25",IF(Table1[[#This Row],[Age]]&lt;=35,"25-35",IF(Table1[[#This Row],[Age]]&lt;=50,"36-50","50+")))</f>
        <v>50+</v>
      </c>
    </row>
    <row r="558" spans="1:20" x14ac:dyDescent="0.3">
      <c r="A558" s="2" t="s">
        <v>1029</v>
      </c>
      <c r="B558" s="2" t="s">
        <v>26</v>
      </c>
      <c r="C558" s="3">
        <v>59</v>
      </c>
      <c r="D558" s="2" t="s">
        <v>64</v>
      </c>
      <c r="E558" s="2" t="s">
        <v>49</v>
      </c>
      <c r="F558" s="2" t="s">
        <v>27</v>
      </c>
      <c r="G558" t="s">
        <v>39</v>
      </c>
      <c r="H558" t="s">
        <v>536</v>
      </c>
      <c r="I558" s="4">
        <v>976.69</v>
      </c>
      <c r="J558" s="3">
        <v>4</v>
      </c>
      <c r="K558" s="1">
        <v>45046</v>
      </c>
      <c r="L558" s="1" t="str">
        <f>TEXT(Table1[[#This Row],[Purchase_Date]],"YYYY")</f>
        <v>2023</v>
      </c>
      <c r="M558" s="1" t="str">
        <f>TEXT(Table1[[#This Row],[Purchase_Date]],"MMM")</f>
        <v>Apr</v>
      </c>
      <c r="N558" s="1" t="str">
        <f>TEXT(Table1[[#This Row],[Purchase_Date]],"DD")</f>
        <v>30</v>
      </c>
      <c r="O558" s="2" t="s">
        <v>41</v>
      </c>
      <c r="P558" s="3">
        <v>1</v>
      </c>
      <c r="Q558" s="2" t="s">
        <v>46</v>
      </c>
      <c r="R558" s="2" t="s">
        <v>24</v>
      </c>
      <c r="S558">
        <f>Table1[[#This Row],[Purchase_Amount]]*Table1[[#This Row],[Quantity]]</f>
        <v>3906.76</v>
      </c>
      <c r="T558" t="str">
        <f>IF(Table1[[#This Row],[Age]]&lt;25,"&lt;25",IF(Table1[[#This Row],[Age]]&lt;=35,"25-35",IF(Table1[[#This Row],[Age]]&lt;=50,"36-50","50+")))</f>
        <v>50+</v>
      </c>
    </row>
    <row r="559" spans="1:20" x14ac:dyDescent="0.3">
      <c r="A559" s="2" t="s">
        <v>1205</v>
      </c>
      <c r="B559" s="2" t="s">
        <v>26</v>
      </c>
      <c r="C559" s="3">
        <v>65</v>
      </c>
      <c r="D559" s="2" t="s">
        <v>78</v>
      </c>
      <c r="E559" s="2" t="s">
        <v>49</v>
      </c>
      <c r="F559" s="2" t="s">
        <v>27</v>
      </c>
      <c r="G559" t="s">
        <v>39</v>
      </c>
      <c r="H559" t="s">
        <v>1046</v>
      </c>
      <c r="I559" s="4">
        <v>586.61</v>
      </c>
      <c r="J559" s="3">
        <v>4</v>
      </c>
      <c r="K559" s="1">
        <v>45311</v>
      </c>
      <c r="L559" s="1" t="str">
        <f>TEXT(Table1[[#This Row],[Purchase_Date]],"YYYY")</f>
        <v>2024</v>
      </c>
      <c r="M559" s="1" t="str">
        <f>TEXT(Table1[[#This Row],[Purchase_Date]],"MMM")</f>
        <v>Jan</v>
      </c>
      <c r="N559" s="1" t="str">
        <f>TEXT(Table1[[#This Row],[Purchase_Date]],"DD")</f>
        <v>20</v>
      </c>
      <c r="O559" s="2" t="s">
        <v>36</v>
      </c>
      <c r="P559" s="3">
        <v>10</v>
      </c>
      <c r="Q559" s="2" t="s">
        <v>23</v>
      </c>
      <c r="R559" s="2" t="s">
        <v>24</v>
      </c>
      <c r="S559">
        <f>Table1[[#This Row],[Purchase_Amount]]*Table1[[#This Row],[Quantity]]</f>
        <v>2346.44</v>
      </c>
      <c r="T559" t="str">
        <f>IF(Table1[[#This Row],[Age]]&lt;25,"&lt;25",IF(Table1[[#This Row],[Age]]&lt;=35,"25-35",IF(Table1[[#This Row],[Age]]&lt;=50,"36-50","50+")))</f>
        <v>50+</v>
      </c>
    </row>
    <row r="560" spans="1:20" x14ac:dyDescent="0.3">
      <c r="A560" s="2" t="s">
        <v>943</v>
      </c>
      <c r="B560" s="2" t="s">
        <v>26</v>
      </c>
      <c r="C560" s="3">
        <v>66</v>
      </c>
      <c r="D560" s="2" t="s">
        <v>109</v>
      </c>
      <c r="E560" s="2" t="s">
        <v>18</v>
      </c>
      <c r="F560" s="2" t="s">
        <v>27</v>
      </c>
      <c r="G560" t="s">
        <v>39</v>
      </c>
      <c r="H560" t="s">
        <v>74</v>
      </c>
      <c r="I560" s="4">
        <v>489.33</v>
      </c>
      <c r="J560" s="3">
        <v>5</v>
      </c>
      <c r="K560" s="1">
        <v>45588</v>
      </c>
      <c r="L560" s="1" t="str">
        <f>TEXT(Table1[[#This Row],[Purchase_Date]],"YYYY")</f>
        <v>2024</v>
      </c>
      <c r="M560" s="1" t="str">
        <f>TEXT(Table1[[#This Row],[Purchase_Date]],"MMM")</f>
        <v>Oct</v>
      </c>
      <c r="N560" s="1" t="str">
        <f>TEXT(Table1[[#This Row],[Purchase_Date]],"DD")</f>
        <v>23</v>
      </c>
      <c r="O560" s="2" t="s">
        <v>30</v>
      </c>
      <c r="P560" s="3">
        <v>2</v>
      </c>
      <c r="Q560" s="2" t="s">
        <v>23</v>
      </c>
      <c r="R560" s="2" t="s">
        <v>24</v>
      </c>
      <c r="S560">
        <f>Table1[[#This Row],[Purchase_Amount]]*Table1[[#This Row],[Quantity]]</f>
        <v>2446.65</v>
      </c>
      <c r="T560" t="str">
        <f>IF(Table1[[#This Row],[Age]]&lt;25,"&lt;25",IF(Table1[[#This Row],[Age]]&lt;=35,"25-35",IF(Table1[[#This Row],[Age]]&lt;=50,"36-50","50+")))</f>
        <v>50+</v>
      </c>
    </row>
    <row r="561" spans="1:20" x14ac:dyDescent="0.3">
      <c r="A561" s="2" t="s">
        <v>142</v>
      </c>
      <c r="B561" s="2" t="s">
        <v>26</v>
      </c>
      <c r="C561" s="3">
        <v>67</v>
      </c>
      <c r="D561" s="2" t="s">
        <v>64</v>
      </c>
      <c r="E561" s="2" t="s">
        <v>18</v>
      </c>
      <c r="F561" s="2" t="s">
        <v>27</v>
      </c>
      <c r="G561" t="s">
        <v>39</v>
      </c>
      <c r="H561" t="s">
        <v>58</v>
      </c>
      <c r="I561" s="4">
        <v>424.51</v>
      </c>
      <c r="J561" s="3">
        <v>4</v>
      </c>
      <c r="K561" s="1">
        <v>44994</v>
      </c>
      <c r="L561" s="1" t="str">
        <f>TEXT(Table1[[#This Row],[Purchase_Date]],"YYYY")</f>
        <v>2023</v>
      </c>
      <c r="M561" s="1" t="str">
        <f>TEXT(Table1[[#This Row],[Purchase_Date]],"MMM")</f>
        <v>Mar</v>
      </c>
      <c r="N561" s="1" t="str">
        <f>TEXT(Table1[[#This Row],[Purchase_Date]],"DD")</f>
        <v>09</v>
      </c>
      <c r="O561" s="2" t="s">
        <v>36</v>
      </c>
      <c r="P561" s="3">
        <v>5</v>
      </c>
      <c r="Q561" s="2" t="s">
        <v>23</v>
      </c>
      <c r="R561" s="2" t="s">
        <v>47</v>
      </c>
      <c r="S561">
        <f>Table1[[#This Row],[Purchase_Amount]]*Table1[[#This Row],[Quantity]]</f>
        <v>1698.04</v>
      </c>
      <c r="T561" t="str">
        <f>IF(Table1[[#This Row],[Age]]&lt;25,"&lt;25",IF(Table1[[#This Row],[Age]]&lt;=35,"25-35",IF(Table1[[#This Row],[Age]]&lt;=50,"36-50","50+")))</f>
        <v>50+</v>
      </c>
    </row>
    <row r="562" spans="1:20" x14ac:dyDescent="0.3">
      <c r="A562" s="2" t="s">
        <v>96</v>
      </c>
      <c r="B562" s="2" t="s">
        <v>26</v>
      </c>
      <c r="C562" s="3">
        <v>68</v>
      </c>
      <c r="D562" s="2" t="s">
        <v>32</v>
      </c>
      <c r="E562" s="2" t="s">
        <v>49</v>
      </c>
      <c r="F562" s="2" t="s">
        <v>27</v>
      </c>
      <c r="G562" t="s">
        <v>39</v>
      </c>
      <c r="H562" t="s">
        <v>97</v>
      </c>
      <c r="I562" s="4">
        <v>512.67999999999995</v>
      </c>
      <c r="J562" s="3">
        <v>3</v>
      </c>
      <c r="K562" s="1">
        <v>45017</v>
      </c>
      <c r="L562" s="1" t="str">
        <f>TEXT(Table1[[#This Row],[Purchase_Date]],"YYYY")</f>
        <v>2023</v>
      </c>
      <c r="M562" s="1" t="str">
        <f>TEXT(Table1[[#This Row],[Purchase_Date]],"MMM")</f>
        <v>Apr</v>
      </c>
      <c r="N562" s="1" t="str">
        <f>TEXT(Table1[[#This Row],[Purchase_Date]],"DD")</f>
        <v>01</v>
      </c>
      <c r="O562" s="2" t="s">
        <v>30</v>
      </c>
      <c r="P562" s="3">
        <v>9</v>
      </c>
      <c r="Q562" s="2" t="s">
        <v>46</v>
      </c>
      <c r="R562" s="2" t="s">
        <v>47</v>
      </c>
      <c r="S562">
        <f>Table1[[#This Row],[Purchase_Amount]]*Table1[[#This Row],[Quantity]]</f>
        <v>1538.04</v>
      </c>
      <c r="T562" t="str">
        <f>IF(Table1[[#This Row],[Age]]&lt;25,"&lt;25",IF(Table1[[#This Row],[Age]]&lt;=35,"25-35",IF(Table1[[#This Row],[Age]]&lt;=50,"36-50","50+")))</f>
        <v>50+</v>
      </c>
    </row>
    <row r="563" spans="1:20" x14ac:dyDescent="0.3">
      <c r="A563" s="2" t="s">
        <v>565</v>
      </c>
      <c r="B563" s="2" t="s">
        <v>26</v>
      </c>
      <c r="C563" s="3">
        <v>68</v>
      </c>
      <c r="D563" s="2" t="s">
        <v>17</v>
      </c>
      <c r="E563" s="2" t="s">
        <v>33</v>
      </c>
      <c r="F563" s="2" t="s">
        <v>27</v>
      </c>
      <c r="G563" t="s">
        <v>39</v>
      </c>
      <c r="H563" t="s">
        <v>343</v>
      </c>
      <c r="I563" s="4">
        <v>532.30999999999995</v>
      </c>
      <c r="J563" s="3">
        <v>3</v>
      </c>
      <c r="K563" s="1">
        <v>45268</v>
      </c>
      <c r="L563" s="1" t="str">
        <f>TEXT(Table1[[#This Row],[Purchase_Date]],"YYYY")</f>
        <v>2023</v>
      </c>
      <c r="M563" s="1" t="str">
        <f>TEXT(Table1[[#This Row],[Purchase_Date]],"MMM")</f>
        <v>Dec</v>
      </c>
      <c r="N563" s="1" t="str">
        <f>TEXT(Table1[[#This Row],[Purchase_Date]],"DD")</f>
        <v>08</v>
      </c>
      <c r="O563" s="2" t="s">
        <v>30</v>
      </c>
      <c r="P563" s="3">
        <v>6</v>
      </c>
      <c r="Q563" s="2" t="s">
        <v>23</v>
      </c>
      <c r="R563" s="2" t="s">
        <v>24</v>
      </c>
      <c r="S563">
        <f>Table1[[#This Row],[Purchase_Amount]]*Table1[[#This Row],[Quantity]]</f>
        <v>1596.9299999999998</v>
      </c>
      <c r="T563" t="str">
        <f>IF(Table1[[#This Row],[Age]]&lt;25,"&lt;25",IF(Table1[[#This Row],[Age]]&lt;=35,"25-35",IF(Table1[[#This Row],[Age]]&lt;=50,"36-50","50+")))</f>
        <v>50+</v>
      </c>
    </row>
    <row r="564" spans="1:20" x14ac:dyDescent="0.3">
      <c r="A564" s="2" t="s">
        <v>701</v>
      </c>
      <c r="B564" s="2" t="s">
        <v>26</v>
      </c>
      <c r="C564" s="3">
        <v>68</v>
      </c>
      <c r="D564" s="2" t="s">
        <v>38</v>
      </c>
      <c r="E564" s="2" t="s">
        <v>18</v>
      </c>
      <c r="F564" s="2" t="s">
        <v>27</v>
      </c>
      <c r="G564" t="s">
        <v>39</v>
      </c>
      <c r="H564" t="s">
        <v>536</v>
      </c>
      <c r="I564" s="4">
        <v>627.27</v>
      </c>
      <c r="J564" s="3">
        <v>2</v>
      </c>
      <c r="K564" s="1">
        <v>45059</v>
      </c>
      <c r="L564" s="1" t="str">
        <f>TEXT(Table1[[#This Row],[Purchase_Date]],"YYYY")</f>
        <v>2023</v>
      </c>
      <c r="M564" s="1" t="str">
        <f>TEXT(Table1[[#This Row],[Purchase_Date]],"MMM")</f>
        <v>May</v>
      </c>
      <c r="N564" s="1" t="str">
        <f>TEXT(Table1[[#This Row],[Purchase_Date]],"DD")</f>
        <v>13</v>
      </c>
      <c r="O564" s="2" t="s">
        <v>36</v>
      </c>
      <c r="P564" s="3">
        <v>10</v>
      </c>
      <c r="Q564" s="2" t="s">
        <v>23</v>
      </c>
      <c r="R564" s="2" t="s">
        <v>47</v>
      </c>
      <c r="S564">
        <f>Table1[[#This Row],[Purchase_Amount]]*Table1[[#This Row],[Quantity]]</f>
        <v>1254.54</v>
      </c>
      <c r="T564" t="str">
        <f>IF(Table1[[#This Row],[Age]]&lt;25,"&lt;25",IF(Table1[[#This Row],[Age]]&lt;=35,"25-35",IF(Table1[[#This Row],[Age]]&lt;=50,"36-50","50+")))</f>
        <v>50+</v>
      </c>
    </row>
    <row r="565" spans="1:20" x14ac:dyDescent="0.3">
      <c r="A565" s="2" t="s">
        <v>245</v>
      </c>
      <c r="B565" s="2" t="s">
        <v>26</v>
      </c>
      <c r="C565" s="3">
        <v>68</v>
      </c>
      <c r="D565" s="2" t="s">
        <v>78</v>
      </c>
      <c r="E565" s="2" t="s">
        <v>49</v>
      </c>
      <c r="F565" s="2" t="s">
        <v>27</v>
      </c>
      <c r="G565" t="s">
        <v>39</v>
      </c>
      <c r="H565" t="s">
        <v>246</v>
      </c>
      <c r="I565" s="4">
        <v>877.15</v>
      </c>
      <c r="J565" s="3">
        <v>5</v>
      </c>
      <c r="K565" s="1">
        <v>45434</v>
      </c>
      <c r="L565" s="1" t="str">
        <f>TEXT(Table1[[#This Row],[Purchase_Date]],"YYYY")</f>
        <v>2024</v>
      </c>
      <c r="M565" s="1" t="str">
        <f>TEXT(Table1[[#This Row],[Purchase_Date]],"MMM")</f>
        <v>May</v>
      </c>
      <c r="N565" s="1" t="str">
        <f>TEXT(Table1[[#This Row],[Purchase_Date]],"DD")</f>
        <v>22</v>
      </c>
      <c r="O565" s="2" t="s">
        <v>36</v>
      </c>
      <c r="P565" s="3">
        <v>1</v>
      </c>
      <c r="Q565" s="2" t="s">
        <v>23</v>
      </c>
      <c r="R565" s="2" t="s">
        <v>47</v>
      </c>
      <c r="S565">
        <f>Table1[[#This Row],[Purchase_Amount]]*Table1[[#This Row],[Quantity]]</f>
        <v>4385.75</v>
      </c>
      <c r="T565" t="str">
        <f>IF(Table1[[#This Row],[Age]]&lt;25,"&lt;25",IF(Table1[[#This Row],[Age]]&lt;=35,"25-35",IF(Table1[[#This Row],[Age]]&lt;=50,"36-50","50+")))</f>
        <v>50+</v>
      </c>
    </row>
    <row r="566" spans="1:20" x14ac:dyDescent="0.3">
      <c r="A566" s="2" t="s">
        <v>1232</v>
      </c>
      <c r="B566" s="2" t="s">
        <v>26</v>
      </c>
      <c r="C566" s="3">
        <v>68</v>
      </c>
      <c r="D566" s="2" t="s">
        <v>43</v>
      </c>
      <c r="E566" s="2" t="s">
        <v>18</v>
      </c>
      <c r="F566" s="2" t="s">
        <v>27</v>
      </c>
      <c r="G566" t="s">
        <v>39</v>
      </c>
      <c r="H566" t="s">
        <v>691</v>
      </c>
      <c r="I566" s="4">
        <v>963.11</v>
      </c>
      <c r="J566" s="3">
        <v>2</v>
      </c>
      <c r="K566" s="1">
        <v>45255</v>
      </c>
      <c r="L566" s="1" t="str">
        <f>TEXT(Table1[[#This Row],[Purchase_Date]],"YYYY")</f>
        <v>2023</v>
      </c>
      <c r="M566" s="1" t="str">
        <f>TEXT(Table1[[#This Row],[Purchase_Date]],"MMM")</f>
        <v>Nov</v>
      </c>
      <c r="N566" s="1" t="str">
        <f>TEXT(Table1[[#This Row],[Purchase_Date]],"DD")</f>
        <v>25</v>
      </c>
      <c r="O566" s="2" t="s">
        <v>22</v>
      </c>
      <c r="P566" s="3">
        <v>6</v>
      </c>
      <c r="Q566" s="2" t="s">
        <v>46</v>
      </c>
      <c r="R566" s="2" t="s">
        <v>24</v>
      </c>
      <c r="S566">
        <f>Table1[[#This Row],[Purchase_Amount]]*Table1[[#This Row],[Quantity]]</f>
        <v>1926.22</v>
      </c>
      <c r="T566" t="str">
        <f>IF(Table1[[#This Row],[Age]]&lt;25,"&lt;25",IF(Table1[[#This Row],[Age]]&lt;=35,"25-35",IF(Table1[[#This Row],[Age]]&lt;=50,"36-50","50+")))</f>
        <v>50+</v>
      </c>
    </row>
    <row r="567" spans="1:20" x14ac:dyDescent="0.3">
      <c r="A567" s="2" t="s">
        <v>700</v>
      </c>
      <c r="B567" s="2" t="s">
        <v>26</v>
      </c>
      <c r="C567" s="3">
        <v>18</v>
      </c>
      <c r="D567" s="2" t="s">
        <v>78</v>
      </c>
      <c r="E567" s="2" t="s">
        <v>49</v>
      </c>
      <c r="F567" s="2" t="s">
        <v>27</v>
      </c>
      <c r="G567" t="s">
        <v>69</v>
      </c>
      <c r="H567" t="s">
        <v>97</v>
      </c>
      <c r="I567" s="4">
        <v>900.26</v>
      </c>
      <c r="J567" s="3">
        <v>3</v>
      </c>
      <c r="K567" s="1">
        <v>45247</v>
      </c>
      <c r="L567" s="1" t="str">
        <f>TEXT(Table1[[#This Row],[Purchase_Date]],"YYYY")</f>
        <v>2023</v>
      </c>
      <c r="M567" s="1" t="str">
        <f>TEXT(Table1[[#This Row],[Purchase_Date]],"MMM")</f>
        <v>Nov</v>
      </c>
      <c r="N567" s="1" t="str">
        <f>TEXT(Table1[[#This Row],[Purchase_Date]],"DD")</f>
        <v>17</v>
      </c>
      <c r="O567" s="2" t="s">
        <v>36</v>
      </c>
      <c r="P567" s="3">
        <v>3</v>
      </c>
      <c r="Q567" s="2" t="s">
        <v>46</v>
      </c>
      <c r="R567" s="2" t="s">
        <v>24</v>
      </c>
      <c r="S567">
        <f>Table1[[#This Row],[Purchase_Amount]]*Table1[[#This Row],[Quantity]]</f>
        <v>2700.7799999999997</v>
      </c>
      <c r="T567" t="str">
        <f>IF(Table1[[#This Row],[Age]]&lt;25,"&lt;25",IF(Table1[[#This Row],[Age]]&lt;=35,"25-35",IF(Table1[[#This Row],[Age]]&lt;=50,"36-50","50+")))</f>
        <v>&lt;25</v>
      </c>
    </row>
    <row r="568" spans="1:20" x14ac:dyDescent="0.3">
      <c r="A568" s="2" t="s">
        <v>1127</v>
      </c>
      <c r="B568" s="2" t="s">
        <v>26</v>
      </c>
      <c r="C568" s="3">
        <v>21</v>
      </c>
      <c r="D568" s="2" t="s">
        <v>78</v>
      </c>
      <c r="E568" s="2" t="s">
        <v>18</v>
      </c>
      <c r="F568" s="2" t="s">
        <v>44</v>
      </c>
      <c r="G568" t="s">
        <v>69</v>
      </c>
      <c r="H568" t="s">
        <v>377</v>
      </c>
      <c r="I568" s="4">
        <v>836.62</v>
      </c>
      <c r="J568" s="3">
        <v>4</v>
      </c>
      <c r="K568" s="1">
        <v>45147</v>
      </c>
      <c r="L568" s="1" t="str">
        <f>TEXT(Table1[[#This Row],[Purchase_Date]],"YYYY")</f>
        <v>2023</v>
      </c>
      <c r="M568" s="1" t="str">
        <f>TEXT(Table1[[#This Row],[Purchase_Date]],"MMM")</f>
        <v>Aug</v>
      </c>
      <c r="N568" s="1" t="str">
        <f>TEXT(Table1[[#This Row],[Purchase_Date]],"DD")</f>
        <v>09</v>
      </c>
      <c r="O568" s="2" t="s">
        <v>36</v>
      </c>
      <c r="P568" s="3">
        <v>5</v>
      </c>
      <c r="Q568" s="2" t="s">
        <v>23</v>
      </c>
      <c r="R568" s="2" t="s">
        <v>47</v>
      </c>
      <c r="S568">
        <f>Table1[[#This Row],[Purchase_Amount]]*Table1[[#This Row],[Quantity]]</f>
        <v>3346.48</v>
      </c>
      <c r="T568" t="str">
        <f>IF(Table1[[#This Row],[Age]]&lt;25,"&lt;25",IF(Table1[[#This Row],[Age]]&lt;=35,"25-35",IF(Table1[[#This Row],[Age]]&lt;=50,"36-50","50+")))</f>
        <v>&lt;25</v>
      </c>
    </row>
    <row r="569" spans="1:20" x14ac:dyDescent="0.3">
      <c r="A569" s="2" t="s">
        <v>784</v>
      </c>
      <c r="B569" s="2" t="s">
        <v>26</v>
      </c>
      <c r="C569" s="3">
        <v>23</v>
      </c>
      <c r="D569" s="2" t="s">
        <v>60</v>
      </c>
      <c r="E569" s="2" t="s">
        <v>18</v>
      </c>
      <c r="F569" s="2" t="s">
        <v>27</v>
      </c>
      <c r="G569" t="s">
        <v>69</v>
      </c>
      <c r="H569" t="s">
        <v>229</v>
      </c>
      <c r="I569" s="4">
        <v>361.25</v>
      </c>
      <c r="J569" s="3">
        <v>3</v>
      </c>
      <c r="K569" s="1">
        <v>45512</v>
      </c>
      <c r="L569" s="1" t="str">
        <f>TEXT(Table1[[#This Row],[Purchase_Date]],"YYYY")</f>
        <v>2024</v>
      </c>
      <c r="M569" s="1" t="str">
        <f>TEXT(Table1[[#This Row],[Purchase_Date]],"MMM")</f>
        <v>Aug</v>
      </c>
      <c r="N569" s="1" t="str">
        <f>TEXT(Table1[[#This Row],[Purchase_Date]],"DD")</f>
        <v>08</v>
      </c>
      <c r="O569" s="2" t="s">
        <v>36</v>
      </c>
      <c r="P569" s="3">
        <v>10</v>
      </c>
      <c r="Q569" s="2" t="s">
        <v>46</v>
      </c>
      <c r="R569" s="2" t="s">
        <v>47</v>
      </c>
      <c r="S569">
        <f>Table1[[#This Row],[Purchase_Amount]]*Table1[[#This Row],[Quantity]]</f>
        <v>1083.75</v>
      </c>
      <c r="T569" t="str">
        <f>IF(Table1[[#This Row],[Age]]&lt;25,"&lt;25",IF(Table1[[#This Row],[Age]]&lt;=35,"25-35",IF(Table1[[#This Row],[Age]]&lt;=50,"36-50","50+")))</f>
        <v>&lt;25</v>
      </c>
    </row>
    <row r="570" spans="1:20" x14ac:dyDescent="0.3">
      <c r="A570" s="2" t="s">
        <v>988</v>
      </c>
      <c r="B570" s="2" t="s">
        <v>26</v>
      </c>
      <c r="C570" s="3">
        <v>25</v>
      </c>
      <c r="D570" s="2" t="s">
        <v>43</v>
      </c>
      <c r="E570" s="2" t="s">
        <v>49</v>
      </c>
      <c r="F570" s="2" t="s">
        <v>27</v>
      </c>
      <c r="G570" t="s">
        <v>69</v>
      </c>
      <c r="H570" t="s">
        <v>196</v>
      </c>
      <c r="I570" s="4">
        <v>496.11</v>
      </c>
      <c r="J570" s="3">
        <v>3</v>
      </c>
      <c r="K570" s="1">
        <v>45566</v>
      </c>
      <c r="L570" s="1" t="str">
        <f>TEXT(Table1[[#This Row],[Purchase_Date]],"YYYY")</f>
        <v>2024</v>
      </c>
      <c r="M570" s="1" t="str">
        <f>TEXT(Table1[[#This Row],[Purchase_Date]],"MMM")</f>
        <v>Oct</v>
      </c>
      <c r="N570" s="1" t="str">
        <f>TEXT(Table1[[#This Row],[Purchase_Date]],"DD")</f>
        <v>01</v>
      </c>
      <c r="O570" s="2" t="s">
        <v>22</v>
      </c>
      <c r="P570" s="3">
        <v>8</v>
      </c>
      <c r="Q570" s="2" t="s">
        <v>23</v>
      </c>
      <c r="R570" s="2" t="s">
        <v>24</v>
      </c>
      <c r="S570">
        <f>Table1[[#This Row],[Purchase_Amount]]*Table1[[#This Row],[Quantity]]</f>
        <v>1488.33</v>
      </c>
      <c r="T570" t="str">
        <f>IF(Table1[[#This Row],[Age]]&lt;25,"&lt;25",IF(Table1[[#This Row],[Age]]&lt;=35,"25-35",IF(Table1[[#This Row],[Age]]&lt;=50,"36-50","50+")))</f>
        <v>25-35</v>
      </c>
    </row>
    <row r="571" spans="1:20" x14ac:dyDescent="0.3">
      <c r="A571" s="2" t="s">
        <v>944</v>
      </c>
      <c r="B571" s="2" t="s">
        <v>26</v>
      </c>
      <c r="C571" s="3">
        <v>26</v>
      </c>
      <c r="D571" s="2" t="s">
        <v>17</v>
      </c>
      <c r="E571" s="2" t="s">
        <v>18</v>
      </c>
      <c r="F571" s="2" t="s">
        <v>44</v>
      </c>
      <c r="G571" t="s">
        <v>69</v>
      </c>
      <c r="H571" t="s">
        <v>450</v>
      </c>
      <c r="I571" s="4">
        <v>796.07</v>
      </c>
      <c r="J571" s="3">
        <v>1</v>
      </c>
      <c r="K571" s="1">
        <v>45541</v>
      </c>
      <c r="L571" s="1" t="str">
        <f>TEXT(Table1[[#This Row],[Purchase_Date]],"YYYY")</f>
        <v>2024</v>
      </c>
      <c r="M571" s="1" t="str">
        <f>TEXT(Table1[[#This Row],[Purchase_Date]],"MMM")</f>
        <v>Sep</v>
      </c>
      <c r="N571" s="1" t="str">
        <f>TEXT(Table1[[#This Row],[Purchase_Date]],"DD")</f>
        <v>06</v>
      </c>
      <c r="O571" s="2" t="s">
        <v>36</v>
      </c>
      <c r="P571" s="3">
        <v>7</v>
      </c>
      <c r="Q571" s="2" t="s">
        <v>23</v>
      </c>
      <c r="R571" s="2" t="s">
        <v>47</v>
      </c>
      <c r="S571">
        <f>Table1[[#This Row],[Purchase_Amount]]*Table1[[#This Row],[Quantity]]</f>
        <v>796.07</v>
      </c>
      <c r="T571" t="str">
        <f>IF(Table1[[#This Row],[Age]]&lt;25,"&lt;25",IF(Table1[[#This Row],[Age]]&lt;=35,"25-35",IF(Table1[[#This Row],[Age]]&lt;=50,"36-50","50+")))</f>
        <v>25-35</v>
      </c>
    </row>
    <row r="572" spans="1:20" x14ac:dyDescent="0.3">
      <c r="A572" s="2" t="s">
        <v>591</v>
      </c>
      <c r="B572" s="2" t="s">
        <v>26</v>
      </c>
      <c r="C572" s="3">
        <v>27</v>
      </c>
      <c r="D572" s="2" t="s">
        <v>78</v>
      </c>
      <c r="E572" s="2" t="s">
        <v>49</v>
      </c>
      <c r="F572" s="2" t="s">
        <v>44</v>
      </c>
      <c r="G572" t="s">
        <v>69</v>
      </c>
      <c r="H572" t="s">
        <v>592</v>
      </c>
      <c r="I572" s="4">
        <v>341.1</v>
      </c>
      <c r="J572" s="3">
        <v>2</v>
      </c>
      <c r="K572" s="1">
        <v>45414</v>
      </c>
      <c r="L572" s="1" t="str">
        <f>TEXT(Table1[[#This Row],[Purchase_Date]],"YYYY")</f>
        <v>2024</v>
      </c>
      <c r="M572" s="1" t="str">
        <f>TEXT(Table1[[#This Row],[Purchase_Date]],"MMM")</f>
        <v>May</v>
      </c>
      <c r="N572" s="1" t="str">
        <f>TEXT(Table1[[#This Row],[Purchase_Date]],"DD")</f>
        <v>02</v>
      </c>
      <c r="O572" s="2" t="s">
        <v>30</v>
      </c>
      <c r="P572" s="3">
        <v>7</v>
      </c>
      <c r="Q572" s="2" t="s">
        <v>23</v>
      </c>
      <c r="R572" s="2" t="s">
        <v>24</v>
      </c>
      <c r="S572">
        <f>Table1[[#This Row],[Purchase_Amount]]*Table1[[#This Row],[Quantity]]</f>
        <v>682.2</v>
      </c>
      <c r="T572" t="str">
        <f>IF(Table1[[#This Row],[Age]]&lt;25,"&lt;25",IF(Table1[[#This Row],[Age]]&lt;=35,"25-35",IF(Table1[[#This Row],[Age]]&lt;=50,"36-50","50+")))</f>
        <v>25-35</v>
      </c>
    </row>
    <row r="573" spans="1:20" x14ac:dyDescent="0.3">
      <c r="A573" s="2" t="s">
        <v>690</v>
      </c>
      <c r="B573" s="2" t="s">
        <v>26</v>
      </c>
      <c r="C573" s="3">
        <v>27</v>
      </c>
      <c r="D573" s="2" t="s">
        <v>17</v>
      </c>
      <c r="E573" s="2" t="s">
        <v>49</v>
      </c>
      <c r="F573" s="2" t="s">
        <v>19</v>
      </c>
      <c r="G573" t="s">
        <v>69</v>
      </c>
      <c r="H573" t="s">
        <v>691</v>
      </c>
      <c r="I573" s="4">
        <v>686.28</v>
      </c>
      <c r="J573" s="3">
        <v>5</v>
      </c>
      <c r="K573" s="1">
        <v>45037</v>
      </c>
      <c r="L573" s="1" t="str">
        <f>TEXT(Table1[[#This Row],[Purchase_Date]],"YYYY")</f>
        <v>2023</v>
      </c>
      <c r="M573" s="1" t="str">
        <f>TEXT(Table1[[#This Row],[Purchase_Date]],"MMM")</f>
        <v>Apr</v>
      </c>
      <c r="N573" s="1" t="str">
        <f>TEXT(Table1[[#This Row],[Purchase_Date]],"DD")</f>
        <v>21</v>
      </c>
      <c r="O573" s="2" t="s">
        <v>41</v>
      </c>
      <c r="P573" s="3">
        <v>3</v>
      </c>
      <c r="Q573" s="2" t="s">
        <v>23</v>
      </c>
      <c r="R573" s="2" t="s">
        <v>47</v>
      </c>
      <c r="S573">
        <f>Table1[[#This Row],[Purchase_Amount]]*Table1[[#This Row],[Quantity]]</f>
        <v>3431.3999999999996</v>
      </c>
      <c r="T573" t="str">
        <f>IF(Table1[[#This Row],[Age]]&lt;25,"&lt;25",IF(Table1[[#This Row],[Age]]&lt;=35,"25-35",IF(Table1[[#This Row],[Age]]&lt;=50,"36-50","50+")))</f>
        <v>25-35</v>
      </c>
    </row>
    <row r="574" spans="1:20" x14ac:dyDescent="0.3">
      <c r="A574" s="2" t="s">
        <v>1145</v>
      </c>
      <c r="B574" s="2" t="s">
        <v>26</v>
      </c>
      <c r="C574" s="3">
        <v>28</v>
      </c>
      <c r="D574" s="2" t="s">
        <v>38</v>
      </c>
      <c r="E574" s="2" t="s">
        <v>49</v>
      </c>
      <c r="F574" s="2" t="s">
        <v>27</v>
      </c>
      <c r="G574" t="s">
        <v>69</v>
      </c>
      <c r="H574" t="s">
        <v>278</v>
      </c>
      <c r="I574" s="4">
        <v>74.62</v>
      </c>
      <c r="J574" s="3">
        <v>5</v>
      </c>
      <c r="K574" s="1">
        <v>45528</v>
      </c>
      <c r="L574" s="1" t="str">
        <f>TEXT(Table1[[#This Row],[Purchase_Date]],"YYYY")</f>
        <v>2024</v>
      </c>
      <c r="M574" s="1" t="str">
        <f>TEXT(Table1[[#This Row],[Purchase_Date]],"MMM")</f>
        <v>Aug</v>
      </c>
      <c r="N574" s="1" t="str">
        <f>TEXT(Table1[[#This Row],[Purchase_Date]],"DD")</f>
        <v>24</v>
      </c>
      <c r="O574" s="2" t="s">
        <v>30</v>
      </c>
      <c r="P574" s="3">
        <v>8</v>
      </c>
      <c r="Q574" s="2" t="s">
        <v>23</v>
      </c>
      <c r="R574" s="2" t="s">
        <v>24</v>
      </c>
      <c r="S574">
        <f>Table1[[#This Row],[Purchase_Amount]]*Table1[[#This Row],[Quantity]]</f>
        <v>373.1</v>
      </c>
      <c r="T574" t="str">
        <f>IF(Table1[[#This Row],[Age]]&lt;25,"&lt;25",IF(Table1[[#This Row],[Age]]&lt;=35,"25-35",IF(Table1[[#This Row],[Age]]&lt;=50,"36-50","50+")))</f>
        <v>25-35</v>
      </c>
    </row>
    <row r="575" spans="1:20" x14ac:dyDescent="0.3">
      <c r="A575" s="2" t="s">
        <v>363</v>
      </c>
      <c r="B575" s="2" t="s">
        <v>26</v>
      </c>
      <c r="C575" s="3">
        <v>28</v>
      </c>
      <c r="D575" s="2" t="s">
        <v>78</v>
      </c>
      <c r="E575" s="2" t="s">
        <v>33</v>
      </c>
      <c r="F575" s="2" t="s">
        <v>27</v>
      </c>
      <c r="G575" t="s">
        <v>69</v>
      </c>
      <c r="H575" t="s">
        <v>364</v>
      </c>
      <c r="I575" s="4">
        <v>78.349999999999994</v>
      </c>
      <c r="J575" s="3">
        <v>3</v>
      </c>
      <c r="K575" s="1">
        <v>45587</v>
      </c>
      <c r="L575" s="1" t="str">
        <f>TEXT(Table1[[#This Row],[Purchase_Date]],"YYYY")</f>
        <v>2024</v>
      </c>
      <c r="M575" s="1" t="str">
        <f>TEXT(Table1[[#This Row],[Purchase_Date]],"MMM")</f>
        <v>Oct</v>
      </c>
      <c r="N575" s="1" t="str">
        <f>TEXT(Table1[[#This Row],[Purchase_Date]],"DD")</f>
        <v>22</v>
      </c>
      <c r="O575" s="2" t="s">
        <v>22</v>
      </c>
      <c r="P575" s="3">
        <v>10</v>
      </c>
      <c r="Q575" s="2" t="s">
        <v>23</v>
      </c>
      <c r="R575" s="2" t="s">
        <v>24</v>
      </c>
      <c r="S575">
        <f>Table1[[#This Row],[Purchase_Amount]]*Table1[[#This Row],[Quantity]]</f>
        <v>235.04999999999998</v>
      </c>
      <c r="T575" t="str">
        <f>IF(Table1[[#This Row],[Age]]&lt;25,"&lt;25",IF(Table1[[#This Row],[Age]]&lt;=35,"25-35",IF(Table1[[#This Row],[Age]]&lt;=50,"36-50","50+")))</f>
        <v>25-35</v>
      </c>
    </row>
    <row r="576" spans="1:20" x14ac:dyDescent="0.3">
      <c r="A576" s="2" t="s">
        <v>1137</v>
      </c>
      <c r="B576" s="2" t="s">
        <v>26</v>
      </c>
      <c r="C576" s="3">
        <v>28</v>
      </c>
      <c r="D576" s="2" t="s">
        <v>43</v>
      </c>
      <c r="E576" s="2" t="s">
        <v>33</v>
      </c>
      <c r="F576" s="2" t="s">
        <v>19</v>
      </c>
      <c r="G576" t="s">
        <v>69</v>
      </c>
      <c r="H576" t="s">
        <v>502</v>
      </c>
      <c r="I576" s="4">
        <v>286.33999999999997</v>
      </c>
      <c r="J576" s="3">
        <v>3</v>
      </c>
      <c r="K576" s="1">
        <v>45283</v>
      </c>
      <c r="L576" s="1" t="str">
        <f>TEXT(Table1[[#This Row],[Purchase_Date]],"YYYY")</f>
        <v>2023</v>
      </c>
      <c r="M576" s="1" t="str">
        <f>TEXT(Table1[[#This Row],[Purchase_Date]],"MMM")</f>
        <v>Dec</v>
      </c>
      <c r="N576" s="1" t="str">
        <f>TEXT(Table1[[#This Row],[Purchase_Date]],"DD")</f>
        <v>23</v>
      </c>
      <c r="O576" s="2" t="s">
        <v>30</v>
      </c>
      <c r="P576" s="3">
        <v>1</v>
      </c>
      <c r="Q576" s="2" t="s">
        <v>23</v>
      </c>
      <c r="R576" s="2" t="s">
        <v>47</v>
      </c>
      <c r="S576">
        <f>Table1[[#This Row],[Purchase_Amount]]*Table1[[#This Row],[Quantity]]</f>
        <v>859.02</v>
      </c>
      <c r="T576" t="str">
        <f>IF(Table1[[#This Row],[Age]]&lt;25,"&lt;25",IF(Table1[[#This Row],[Age]]&lt;=35,"25-35",IF(Table1[[#This Row],[Age]]&lt;=50,"36-50","50+")))</f>
        <v>25-35</v>
      </c>
    </row>
    <row r="577" spans="1:20" x14ac:dyDescent="0.3">
      <c r="A577" s="2" t="s">
        <v>610</v>
      </c>
      <c r="B577" s="2" t="s">
        <v>26</v>
      </c>
      <c r="C577" s="3">
        <v>28</v>
      </c>
      <c r="D577" s="2" t="s">
        <v>78</v>
      </c>
      <c r="E577" s="2" t="s">
        <v>33</v>
      </c>
      <c r="F577" s="2" t="s">
        <v>19</v>
      </c>
      <c r="G577" t="s">
        <v>69</v>
      </c>
      <c r="H577" t="s">
        <v>267</v>
      </c>
      <c r="I577" s="4">
        <v>739.76</v>
      </c>
      <c r="J577" s="3">
        <v>4</v>
      </c>
      <c r="K577" s="1">
        <v>45199</v>
      </c>
      <c r="L577" s="1" t="str">
        <f>TEXT(Table1[[#This Row],[Purchase_Date]],"YYYY")</f>
        <v>2023</v>
      </c>
      <c r="M577" s="1" t="str">
        <f>TEXT(Table1[[#This Row],[Purchase_Date]],"MMM")</f>
        <v>Sep</v>
      </c>
      <c r="N577" s="1" t="str">
        <f>TEXT(Table1[[#This Row],[Purchase_Date]],"DD")</f>
        <v>30</v>
      </c>
      <c r="O577" s="2" t="s">
        <v>36</v>
      </c>
      <c r="P577" s="3">
        <v>1</v>
      </c>
      <c r="Q577" s="2" t="s">
        <v>46</v>
      </c>
      <c r="R577" s="2" t="s">
        <v>24</v>
      </c>
      <c r="S577">
        <f>Table1[[#This Row],[Purchase_Amount]]*Table1[[#This Row],[Quantity]]</f>
        <v>2959.04</v>
      </c>
      <c r="T577" t="str">
        <f>IF(Table1[[#This Row],[Age]]&lt;25,"&lt;25",IF(Table1[[#This Row],[Age]]&lt;=35,"25-35",IF(Table1[[#This Row],[Age]]&lt;=50,"36-50","50+")))</f>
        <v>25-35</v>
      </c>
    </row>
    <row r="578" spans="1:20" x14ac:dyDescent="0.3">
      <c r="A578" s="2" t="s">
        <v>68</v>
      </c>
      <c r="B578" s="2" t="s">
        <v>26</v>
      </c>
      <c r="C578" s="3">
        <v>28</v>
      </c>
      <c r="D578" s="2" t="s">
        <v>60</v>
      </c>
      <c r="E578" s="2" t="s">
        <v>49</v>
      </c>
      <c r="F578" s="2" t="s">
        <v>27</v>
      </c>
      <c r="G578" t="s">
        <v>69</v>
      </c>
      <c r="H578" t="s">
        <v>70</v>
      </c>
      <c r="I578" s="4">
        <v>777.75</v>
      </c>
      <c r="J578" s="3">
        <v>5</v>
      </c>
      <c r="K578" s="1">
        <v>45276</v>
      </c>
      <c r="L578" s="1" t="str">
        <f>TEXT(Table1[[#This Row],[Purchase_Date]],"YYYY")</f>
        <v>2023</v>
      </c>
      <c r="M578" s="1" t="str">
        <f>TEXT(Table1[[#This Row],[Purchase_Date]],"MMM")</f>
        <v>Dec</v>
      </c>
      <c r="N578" s="1" t="str">
        <f>TEXT(Table1[[#This Row],[Purchase_Date]],"DD")</f>
        <v>16</v>
      </c>
      <c r="O578" s="2" t="s">
        <v>36</v>
      </c>
      <c r="P578" s="3">
        <v>3</v>
      </c>
      <c r="Q578" s="2" t="s">
        <v>23</v>
      </c>
      <c r="R578" s="2" t="s">
        <v>24</v>
      </c>
      <c r="S578">
        <f>Table1[[#This Row],[Purchase_Amount]]*Table1[[#This Row],[Quantity]]</f>
        <v>3888.75</v>
      </c>
      <c r="T578" t="str">
        <f>IF(Table1[[#This Row],[Age]]&lt;25,"&lt;25",IF(Table1[[#This Row],[Age]]&lt;=35,"25-35",IF(Table1[[#This Row],[Age]]&lt;=50,"36-50","50+")))</f>
        <v>25-35</v>
      </c>
    </row>
    <row r="579" spans="1:20" x14ac:dyDescent="0.3">
      <c r="A579" s="2" t="s">
        <v>918</v>
      </c>
      <c r="B579" s="2" t="s">
        <v>26</v>
      </c>
      <c r="C579" s="3">
        <v>30</v>
      </c>
      <c r="D579" s="2" t="s">
        <v>64</v>
      </c>
      <c r="E579" s="2" t="s">
        <v>49</v>
      </c>
      <c r="F579" s="2" t="s">
        <v>44</v>
      </c>
      <c r="G579" t="s">
        <v>69</v>
      </c>
      <c r="H579" t="s">
        <v>452</v>
      </c>
      <c r="I579" s="4">
        <v>735.83</v>
      </c>
      <c r="J579" s="3">
        <v>4</v>
      </c>
      <c r="K579" s="1">
        <v>45510</v>
      </c>
      <c r="L579" s="1" t="str">
        <f>TEXT(Table1[[#This Row],[Purchase_Date]],"YYYY")</f>
        <v>2024</v>
      </c>
      <c r="M579" s="1" t="str">
        <f>TEXT(Table1[[#This Row],[Purchase_Date]],"MMM")</f>
        <v>Aug</v>
      </c>
      <c r="N579" s="1" t="str">
        <f>TEXT(Table1[[#This Row],[Purchase_Date]],"DD")</f>
        <v>06</v>
      </c>
      <c r="O579" s="2" t="s">
        <v>36</v>
      </c>
      <c r="P579" s="3">
        <v>7</v>
      </c>
      <c r="Q579" s="2" t="s">
        <v>46</v>
      </c>
      <c r="R579" s="2" t="s">
        <v>47</v>
      </c>
      <c r="S579">
        <f>Table1[[#This Row],[Purchase_Amount]]*Table1[[#This Row],[Quantity]]</f>
        <v>2943.32</v>
      </c>
      <c r="T579" t="str">
        <f>IF(Table1[[#This Row],[Age]]&lt;25,"&lt;25",IF(Table1[[#This Row],[Age]]&lt;=35,"25-35",IF(Table1[[#This Row],[Age]]&lt;=50,"36-50","50+")))</f>
        <v>25-35</v>
      </c>
    </row>
    <row r="580" spans="1:20" x14ac:dyDescent="0.3">
      <c r="A580" s="2" t="s">
        <v>1142</v>
      </c>
      <c r="B580" s="2" t="s">
        <v>26</v>
      </c>
      <c r="C580" s="3">
        <v>31</v>
      </c>
      <c r="D580" s="2" t="s">
        <v>60</v>
      </c>
      <c r="E580" s="2" t="s">
        <v>49</v>
      </c>
      <c r="F580" s="2" t="s">
        <v>27</v>
      </c>
      <c r="G580" t="s">
        <v>69</v>
      </c>
      <c r="H580" t="s">
        <v>553</v>
      </c>
      <c r="I580" s="4">
        <v>838.01</v>
      </c>
      <c r="J580" s="3">
        <v>5</v>
      </c>
      <c r="K580" s="1">
        <v>45127</v>
      </c>
      <c r="L580" s="1" t="str">
        <f>TEXT(Table1[[#This Row],[Purchase_Date]],"YYYY")</f>
        <v>2023</v>
      </c>
      <c r="M580" s="1" t="str">
        <f>TEXT(Table1[[#This Row],[Purchase_Date]],"MMM")</f>
        <v>Jul</v>
      </c>
      <c r="N580" s="1" t="str">
        <f>TEXT(Table1[[#This Row],[Purchase_Date]],"DD")</f>
        <v>20</v>
      </c>
      <c r="O580" s="2" t="s">
        <v>41</v>
      </c>
      <c r="P580" s="3">
        <v>7</v>
      </c>
      <c r="Q580" s="2" t="s">
        <v>46</v>
      </c>
      <c r="R580" s="2" t="s">
        <v>47</v>
      </c>
      <c r="S580">
        <f>Table1[[#This Row],[Purchase_Amount]]*Table1[[#This Row],[Quantity]]</f>
        <v>4190.05</v>
      </c>
      <c r="T580" t="str">
        <f>IF(Table1[[#This Row],[Age]]&lt;25,"&lt;25",IF(Table1[[#This Row],[Age]]&lt;=35,"25-35",IF(Table1[[#This Row],[Age]]&lt;=50,"36-50","50+")))</f>
        <v>25-35</v>
      </c>
    </row>
    <row r="581" spans="1:20" x14ac:dyDescent="0.3">
      <c r="A581" s="2" t="s">
        <v>1096</v>
      </c>
      <c r="B581" s="2" t="s">
        <v>26</v>
      </c>
      <c r="C581" s="3">
        <v>34</v>
      </c>
      <c r="D581" s="2" t="s">
        <v>64</v>
      </c>
      <c r="E581" s="2" t="s">
        <v>18</v>
      </c>
      <c r="F581" s="2" t="s">
        <v>27</v>
      </c>
      <c r="G581" t="s">
        <v>69</v>
      </c>
      <c r="H581" t="s">
        <v>50</v>
      </c>
      <c r="I581" s="4">
        <v>463.78</v>
      </c>
      <c r="J581" s="3">
        <v>5</v>
      </c>
      <c r="K581" s="1">
        <v>45338</v>
      </c>
      <c r="L581" s="1" t="str">
        <f>TEXT(Table1[[#This Row],[Purchase_Date]],"YYYY")</f>
        <v>2024</v>
      </c>
      <c r="M581" s="1" t="str">
        <f>TEXT(Table1[[#This Row],[Purchase_Date]],"MMM")</f>
        <v>Feb</v>
      </c>
      <c r="N581" s="1" t="str">
        <f>TEXT(Table1[[#This Row],[Purchase_Date]],"DD")</f>
        <v>16</v>
      </c>
      <c r="O581" s="2" t="s">
        <v>30</v>
      </c>
      <c r="P581" s="3">
        <v>1</v>
      </c>
      <c r="Q581" s="2" t="s">
        <v>23</v>
      </c>
      <c r="R581" s="2" t="s">
        <v>24</v>
      </c>
      <c r="S581">
        <f>Table1[[#This Row],[Purchase_Amount]]*Table1[[#This Row],[Quantity]]</f>
        <v>2318.8999999999996</v>
      </c>
      <c r="T581" t="str">
        <f>IF(Table1[[#This Row],[Age]]&lt;25,"&lt;25",IF(Table1[[#This Row],[Age]]&lt;=35,"25-35",IF(Table1[[#This Row],[Age]]&lt;=50,"36-50","50+")))</f>
        <v>25-35</v>
      </c>
    </row>
    <row r="582" spans="1:20" x14ac:dyDescent="0.3">
      <c r="A582" s="2" t="s">
        <v>787</v>
      </c>
      <c r="B582" s="2" t="s">
        <v>26</v>
      </c>
      <c r="C582" s="3">
        <v>35</v>
      </c>
      <c r="D582" s="2" t="s">
        <v>17</v>
      </c>
      <c r="E582" s="2" t="s">
        <v>49</v>
      </c>
      <c r="F582" s="2" t="s">
        <v>27</v>
      </c>
      <c r="G582" t="s">
        <v>69</v>
      </c>
      <c r="H582" t="s">
        <v>234</v>
      </c>
      <c r="I582" s="4">
        <v>587.47</v>
      </c>
      <c r="J582" s="3">
        <v>1</v>
      </c>
      <c r="K582" s="1">
        <v>45572</v>
      </c>
      <c r="L582" s="1" t="str">
        <f>TEXT(Table1[[#This Row],[Purchase_Date]],"YYYY")</f>
        <v>2024</v>
      </c>
      <c r="M582" s="1" t="str">
        <f>TEXT(Table1[[#This Row],[Purchase_Date]],"MMM")</f>
        <v>Oct</v>
      </c>
      <c r="N582" s="1" t="str">
        <f>TEXT(Table1[[#This Row],[Purchase_Date]],"DD")</f>
        <v>07</v>
      </c>
      <c r="O582" s="2" t="s">
        <v>22</v>
      </c>
      <c r="P582" s="3">
        <v>4</v>
      </c>
      <c r="Q582" s="2" t="s">
        <v>46</v>
      </c>
      <c r="R582" s="2" t="s">
        <v>24</v>
      </c>
      <c r="S582">
        <f>Table1[[#This Row],[Purchase_Amount]]*Table1[[#This Row],[Quantity]]</f>
        <v>587.47</v>
      </c>
      <c r="T582" t="str">
        <f>IF(Table1[[#This Row],[Age]]&lt;25,"&lt;25",IF(Table1[[#This Row],[Age]]&lt;=35,"25-35",IF(Table1[[#This Row],[Age]]&lt;=50,"36-50","50+")))</f>
        <v>25-35</v>
      </c>
    </row>
    <row r="583" spans="1:20" x14ac:dyDescent="0.3">
      <c r="A583" s="2" t="s">
        <v>866</v>
      </c>
      <c r="B583" s="2" t="s">
        <v>26</v>
      </c>
      <c r="C583" s="3">
        <v>35</v>
      </c>
      <c r="D583" s="2" t="s">
        <v>60</v>
      </c>
      <c r="E583" s="2" t="s">
        <v>18</v>
      </c>
      <c r="F583" s="2" t="s">
        <v>44</v>
      </c>
      <c r="G583" t="s">
        <v>69</v>
      </c>
      <c r="H583" t="s">
        <v>762</v>
      </c>
      <c r="I583" s="4">
        <v>785.67</v>
      </c>
      <c r="J583" s="3">
        <v>3</v>
      </c>
      <c r="K583" s="1">
        <v>45300</v>
      </c>
      <c r="L583" s="1" t="str">
        <f>TEXT(Table1[[#This Row],[Purchase_Date]],"YYYY")</f>
        <v>2024</v>
      </c>
      <c r="M583" s="1" t="str">
        <f>TEXT(Table1[[#This Row],[Purchase_Date]],"MMM")</f>
        <v>Jan</v>
      </c>
      <c r="N583" s="1" t="str">
        <f>TEXT(Table1[[#This Row],[Purchase_Date]],"DD")</f>
        <v>09</v>
      </c>
      <c r="O583" s="2" t="s">
        <v>36</v>
      </c>
      <c r="P583" s="3">
        <v>8</v>
      </c>
      <c r="Q583" s="2" t="s">
        <v>46</v>
      </c>
      <c r="R583" s="2" t="s">
        <v>47</v>
      </c>
      <c r="S583">
        <f>Table1[[#This Row],[Purchase_Amount]]*Table1[[#This Row],[Quantity]]</f>
        <v>2357.0099999999998</v>
      </c>
      <c r="T583" t="str">
        <f>IF(Table1[[#This Row],[Age]]&lt;25,"&lt;25",IF(Table1[[#This Row],[Age]]&lt;=35,"25-35",IF(Table1[[#This Row],[Age]]&lt;=50,"36-50","50+")))</f>
        <v>25-35</v>
      </c>
    </row>
    <row r="584" spans="1:20" x14ac:dyDescent="0.3">
      <c r="A584" s="2" t="s">
        <v>775</v>
      </c>
      <c r="B584" s="2" t="s">
        <v>26</v>
      </c>
      <c r="C584" s="3">
        <v>36</v>
      </c>
      <c r="D584" s="2" t="s">
        <v>43</v>
      </c>
      <c r="E584" s="2" t="s">
        <v>18</v>
      </c>
      <c r="F584" s="2" t="s">
        <v>27</v>
      </c>
      <c r="G584" t="s">
        <v>69</v>
      </c>
      <c r="H584" t="s">
        <v>776</v>
      </c>
      <c r="I584" s="4">
        <v>612.13</v>
      </c>
      <c r="J584" s="3">
        <v>3</v>
      </c>
      <c r="K584" s="1">
        <v>45501</v>
      </c>
      <c r="L584" s="1" t="str">
        <f>TEXT(Table1[[#This Row],[Purchase_Date]],"YYYY")</f>
        <v>2024</v>
      </c>
      <c r="M584" s="1" t="str">
        <f>TEXT(Table1[[#This Row],[Purchase_Date]],"MMM")</f>
        <v>Jul</v>
      </c>
      <c r="N584" s="1" t="str">
        <f>TEXT(Table1[[#This Row],[Purchase_Date]],"DD")</f>
        <v>28</v>
      </c>
      <c r="O584" s="2" t="s">
        <v>22</v>
      </c>
      <c r="P584" s="3">
        <v>5</v>
      </c>
      <c r="Q584" s="2" t="s">
        <v>23</v>
      </c>
      <c r="R584" s="2" t="s">
        <v>24</v>
      </c>
      <c r="S584">
        <f>Table1[[#This Row],[Purchase_Amount]]*Table1[[#This Row],[Quantity]]</f>
        <v>1836.3899999999999</v>
      </c>
      <c r="T584" t="str">
        <f>IF(Table1[[#This Row],[Age]]&lt;25,"&lt;25",IF(Table1[[#This Row],[Age]]&lt;=35,"25-35",IF(Table1[[#This Row],[Age]]&lt;=50,"36-50","50+")))</f>
        <v>36-50</v>
      </c>
    </row>
    <row r="585" spans="1:20" x14ac:dyDescent="0.3">
      <c r="A585" s="2" t="s">
        <v>884</v>
      </c>
      <c r="B585" s="2" t="s">
        <v>26</v>
      </c>
      <c r="C585" s="3">
        <v>37</v>
      </c>
      <c r="D585" s="2" t="s">
        <v>38</v>
      </c>
      <c r="E585" s="2" t="s">
        <v>49</v>
      </c>
      <c r="F585" s="2" t="s">
        <v>44</v>
      </c>
      <c r="G585" t="s">
        <v>69</v>
      </c>
      <c r="H585" t="s">
        <v>99</v>
      </c>
      <c r="I585" s="4">
        <v>151.38999999999999</v>
      </c>
      <c r="J585" s="3">
        <v>3</v>
      </c>
      <c r="K585" s="1">
        <v>45429</v>
      </c>
      <c r="L585" s="1" t="str">
        <f>TEXT(Table1[[#This Row],[Purchase_Date]],"YYYY")</f>
        <v>2024</v>
      </c>
      <c r="M585" s="1" t="str">
        <f>TEXT(Table1[[#This Row],[Purchase_Date]],"MMM")</f>
        <v>May</v>
      </c>
      <c r="N585" s="1" t="str">
        <f>TEXT(Table1[[#This Row],[Purchase_Date]],"DD")</f>
        <v>17</v>
      </c>
      <c r="O585" s="2" t="s">
        <v>22</v>
      </c>
      <c r="P585" s="3">
        <v>8</v>
      </c>
      <c r="Q585" s="2" t="s">
        <v>23</v>
      </c>
      <c r="R585" s="2" t="s">
        <v>24</v>
      </c>
      <c r="S585">
        <f>Table1[[#This Row],[Purchase_Amount]]*Table1[[#This Row],[Quantity]]</f>
        <v>454.16999999999996</v>
      </c>
      <c r="T585" t="str">
        <f>IF(Table1[[#This Row],[Age]]&lt;25,"&lt;25",IF(Table1[[#This Row],[Age]]&lt;=35,"25-35",IF(Table1[[#This Row],[Age]]&lt;=50,"36-50","50+")))</f>
        <v>36-50</v>
      </c>
    </row>
    <row r="586" spans="1:20" x14ac:dyDescent="0.3">
      <c r="A586" s="2" t="s">
        <v>1192</v>
      </c>
      <c r="B586" s="2" t="s">
        <v>26</v>
      </c>
      <c r="C586" s="3">
        <v>37</v>
      </c>
      <c r="D586" s="2" t="s">
        <v>60</v>
      </c>
      <c r="E586" s="2" t="s">
        <v>33</v>
      </c>
      <c r="F586" s="2" t="s">
        <v>19</v>
      </c>
      <c r="G586" t="s">
        <v>69</v>
      </c>
      <c r="H586" t="s">
        <v>280</v>
      </c>
      <c r="I586" s="4">
        <v>555.05999999999995</v>
      </c>
      <c r="J586" s="3">
        <v>3</v>
      </c>
      <c r="K586" s="1">
        <v>44932</v>
      </c>
      <c r="L586" s="1" t="str">
        <f>TEXT(Table1[[#This Row],[Purchase_Date]],"YYYY")</f>
        <v>2023</v>
      </c>
      <c r="M586" s="1" t="str">
        <f>TEXT(Table1[[#This Row],[Purchase_Date]],"MMM")</f>
        <v>Jan</v>
      </c>
      <c r="N586" s="1" t="str">
        <f>TEXT(Table1[[#This Row],[Purchase_Date]],"DD")</f>
        <v>06</v>
      </c>
      <c r="O586" s="2" t="s">
        <v>36</v>
      </c>
      <c r="P586" s="3">
        <v>6</v>
      </c>
      <c r="Q586" s="2" t="s">
        <v>23</v>
      </c>
      <c r="R586" s="2" t="s">
        <v>47</v>
      </c>
      <c r="S586">
        <f>Table1[[#This Row],[Purchase_Amount]]*Table1[[#This Row],[Quantity]]</f>
        <v>1665.1799999999998</v>
      </c>
      <c r="T586" t="str">
        <f>IF(Table1[[#This Row],[Age]]&lt;25,"&lt;25",IF(Table1[[#This Row],[Age]]&lt;=35,"25-35",IF(Table1[[#This Row],[Age]]&lt;=50,"36-50","50+")))</f>
        <v>36-50</v>
      </c>
    </row>
    <row r="587" spans="1:20" x14ac:dyDescent="0.3">
      <c r="A587" s="2" t="s">
        <v>779</v>
      </c>
      <c r="B587" s="2" t="s">
        <v>26</v>
      </c>
      <c r="C587" s="3">
        <v>38</v>
      </c>
      <c r="D587" s="2" t="s">
        <v>78</v>
      </c>
      <c r="E587" s="2" t="s">
        <v>33</v>
      </c>
      <c r="F587" s="2" t="s">
        <v>44</v>
      </c>
      <c r="G587" t="s">
        <v>69</v>
      </c>
      <c r="H587" t="s">
        <v>62</v>
      </c>
      <c r="I587" s="4">
        <v>236.05</v>
      </c>
      <c r="J587" s="3">
        <v>2</v>
      </c>
      <c r="K587" s="1">
        <v>45585</v>
      </c>
      <c r="L587" s="1" t="str">
        <f>TEXT(Table1[[#This Row],[Purchase_Date]],"YYYY")</f>
        <v>2024</v>
      </c>
      <c r="M587" s="1" t="str">
        <f>TEXT(Table1[[#This Row],[Purchase_Date]],"MMM")</f>
        <v>Oct</v>
      </c>
      <c r="N587" s="1" t="str">
        <f>TEXT(Table1[[#This Row],[Purchase_Date]],"DD")</f>
        <v>20</v>
      </c>
      <c r="O587" s="2" t="s">
        <v>22</v>
      </c>
      <c r="P587" s="3">
        <v>4</v>
      </c>
      <c r="Q587" s="2" t="s">
        <v>23</v>
      </c>
      <c r="R587" s="2" t="s">
        <v>47</v>
      </c>
      <c r="S587">
        <f>Table1[[#This Row],[Purchase_Amount]]*Table1[[#This Row],[Quantity]]</f>
        <v>472.1</v>
      </c>
      <c r="T587" t="str">
        <f>IF(Table1[[#This Row],[Age]]&lt;25,"&lt;25",IF(Table1[[#This Row],[Age]]&lt;=35,"25-35",IF(Table1[[#This Row],[Age]]&lt;=50,"36-50","50+")))</f>
        <v>36-50</v>
      </c>
    </row>
    <row r="588" spans="1:20" x14ac:dyDescent="0.3">
      <c r="A588" s="2" t="s">
        <v>804</v>
      </c>
      <c r="B588" s="2" t="s">
        <v>26</v>
      </c>
      <c r="C588" s="3">
        <v>39</v>
      </c>
      <c r="D588" s="2" t="s">
        <v>38</v>
      </c>
      <c r="E588" s="2" t="s">
        <v>33</v>
      </c>
      <c r="F588" s="2" t="s">
        <v>27</v>
      </c>
      <c r="G588" t="s">
        <v>69</v>
      </c>
      <c r="H588" t="s">
        <v>89</v>
      </c>
      <c r="I588" s="4">
        <v>910.83</v>
      </c>
      <c r="J588" s="3">
        <v>1</v>
      </c>
      <c r="K588" s="1">
        <v>45188</v>
      </c>
      <c r="L588" s="1" t="str">
        <f>TEXT(Table1[[#This Row],[Purchase_Date]],"YYYY")</f>
        <v>2023</v>
      </c>
      <c r="M588" s="1" t="str">
        <f>TEXT(Table1[[#This Row],[Purchase_Date]],"MMM")</f>
        <v>Sep</v>
      </c>
      <c r="N588" s="1" t="str">
        <f>TEXT(Table1[[#This Row],[Purchase_Date]],"DD")</f>
        <v>19</v>
      </c>
      <c r="O588" s="2" t="s">
        <v>30</v>
      </c>
      <c r="P588" s="3">
        <v>10</v>
      </c>
      <c r="Q588" s="2" t="s">
        <v>46</v>
      </c>
      <c r="R588" s="2" t="s">
        <v>24</v>
      </c>
      <c r="S588">
        <f>Table1[[#This Row],[Purchase_Amount]]*Table1[[#This Row],[Quantity]]</f>
        <v>910.83</v>
      </c>
      <c r="T588" t="str">
        <f>IF(Table1[[#This Row],[Age]]&lt;25,"&lt;25",IF(Table1[[#This Row],[Age]]&lt;=35,"25-35",IF(Table1[[#This Row],[Age]]&lt;=50,"36-50","50+")))</f>
        <v>36-50</v>
      </c>
    </row>
    <row r="589" spans="1:20" x14ac:dyDescent="0.3">
      <c r="A589" s="2" t="s">
        <v>172</v>
      </c>
      <c r="B589" s="2" t="s">
        <v>26</v>
      </c>
      <c r="C589" s="3">
        <v>41</v>
      </c>
      <c r="D589" s="2" t="s">
        <v>32</v>
      </c>
      <c r="E589" s="2" t="s">
        <v>49</v>
      </c>
      <c r="F589" s="2" t="s">
        <v>27</v>
      </c>
      <c r="G589" t="s">
        <v>69</v>
      </c>
      <c r="H589" t="s">
        <v>164</v>
      </c>
      <c r="I589" s="4">
        <v>119.5</v>
      </c>
      <c r="J589" s="3">
        <v>5</v>
      </c>
      <c r="K589" s="1">
        <v>45330</v>
      </c>
      <c r="L589" s="1" t="str">
        <f>TEXT(Table1[[#This Row],[Purchase_Date]],"YYYY")</f>
        <v>2024</v>
      </c>
      <c r="M589" s="1" t="str">
        <f>TEXT(Table1[[#This Row],[Purchase_Date]],"MMM")</f>
        <v>Feb</v>
      </c>
      <c r="N589" s="1" t="str">
        <f>TEXT(Table1[[#This Row],[Purchase_Date]],"DD")</f>
        <v>08</v>
      </c>
      <c r="O589" s="2" t="s">
        <v>22</v>
      </c>
      <c r="P589" s="3">
        <v>6</v>
      </c>
      <c r="Q589" s="2" t="s">
        <v>23</v>
      </c>
      <c r="R589" s="2" t="s">
        <v>47</v>
      </c>
      <c r="S589">
        <f>Table1[[#This Row],[Purchase_Amount]]*Table1[[#This Row],[Quantity]]</f>
        <v>597.5</v>
      </c>
      <c r="T589" t="str">
        <f>IF(Table1[[#This Row],[Age]]&lt;25,"&lt;25",IF(Table1[[#This Row],[Age]]&lt;=35,"25-35",IF(Table1[[#This Row],[Age]]&lt;=50,"36-50","50+")))</f>
        <v>36-50</v>
      </c>
    </row>
    <row r="590" spans="1:20" x14ac:dyDescent="0.3">
      <c r="A590" s="2" t="s">
        <v>786</v>
      </c>
      <c r="B590" s="2" t="s">
        <v>26</v>
      </c>
      <c r="C590" s="3">
        <v>42</v>
      </c>
      <c r="D590" s="2" t="s">
        <v>17</v>
      </c>
      <c r="E590" s="2" t="s">
        <v>18</v>
      </c>
      <c r="F590" s="2" t="s">
        <v>27</v>
      </c>
      <c r="G590" t="s">
        <v>69</v>
      </c>
      <c r="H590" t="s">
        <v>87</v>
      </c>
      <c r="I590" s="4">
        <v>66.819999999999993</v>
      </c>
      <c r="J590" s="3">
        <v>1</v>
      </c>
      <c r="K590" s="1">
        <v>45503</v>
      </c>
      <c r="L590" s="1" t="str">
        <f>TEXT(Table1[[#This Row],[Purchase_Date]],"YYYY")</f>
        <v>2024</v>
      </c>
      <c r="M590" s="1" t="str">
        <f>TEXT(Table1[[#This Row],[Purchase_Date]],"MMM")</f>
        <v>Jul</v>
      </c>
      <c r="N590" s="1" t="str">
        <f>TEXT(Table1[[#This Row],[Purchase_Date]],"DD")</f>
        <v>30</v>
      </c>
      <c r="O590" s="2" t="s">
        <v>36</v>
      </c>
      <c r="P590" s="3">
        <v>5</v>
      </c>
      <c r="Q590" s="2" t="s">
        <v>46</v>
      </c>
      <c r="R590" s="2" t="s">
        <v>24</v>
      </c>
      <c r="S590">
        <f>Table1[[#This Row],[Purchase_Amount]]*Table1[[#This Row],[Quantity]]</f>
        <v>66.819999999999993</v>
      </c>
      <c r="T590" t="str">
        <f>IF(Table1[[#This Row],[Age]]&lt;25,"&lt;25",IF(Table1[[#This Row],[Age]]&lt;=35,"25-35",IF(Table1[[#This Row],[Age]]&lt;=50,"36-50","50+")))</f>
        <v>36-50</v>
      </c>
    </row>
    <row r="591" spans="1:20" x14ac:dyDescent="0.3">
      <c r="A591" s="2" t="s">
        <v>970</v>
      </c>
      <c r="B591" s="2" t="s">
        <v>26</v>
      </c>
      <c r="C591" s="3">
        <v>45</v>
      </c>
      <c r="D591" s="2" t="s">
        <v>60</v>
      </c>
      <c r="E591" s="2" t="s">
        <v>49</v>
      </c>
      <c r="F591" s="2" t="s">
        <v>27</v>
      </c>
      <c r="G591" t="s">
        <v>69</v>
      </c>
      <c r="H591" t="s">
        <v>237</v>
      </c>
      <c r="I591" s="4">
        <v>251.56</v>
      </c>
      <c r="J591" s="3">
        <v>3</v>
      </c>
      <c r="K591" s="1">
        <v>45418</v>
      </c>
      <c r="L591" s="1" t="str">
        <f>TEXT(Table1[[#This Row],[Purchase_Date]],"YYYY")</f>
        <v>2024</v>
      </c>
      <c r="M591" s="1" t="str">
        <f>TEXT(Table1[[#This Row],[Purchase_Date]],"MMM")</f>
        <v>May</v>
      </c>
      <c r="N591" s="1" t="str">
        <f>TEXT(Table1[[#This Row],[Purchase_Date]],"DD")</f>
        <v>06</v>
      </c>
      <c r="O591" s="2" t="s">
        <v>30</v>
      </c>
      <c r="P591" s="3">
        <v>6</v>
      </c>
      <c r="Q591" s="2" t="s">
        <v>23</v>
      </c>
      <c r="R591" s="2" t="s">
        <v>47</v>
      </c>
      <c r="S591">
        <f>Table1[[#This Row],[Purchase_Amount]]*Table1[[#This Row],[Quantity]]</f>
        <v>754.68000000000006</v>
      </c>
      <c r="T591" t="str">
        <f>IF(Table1[[#This Row],[Age]]&lt;25,"&lt;25",IF(Table1[[#This Row],[Age]]&lt;=35,"25-35",IF(Table1[[#This Row],[Age]]&lt;=50,"36-50","50+")))</f>
        <v>36-50</v>
      </c>
    </row>
    <row r="592" spans="1:20" x14ac:dyDescent="0.3">
      <c r="A592" s="2" t="s">
        <v>1136</v>
      </c>
      <c r="B592" s="2" t="s">
        <v>26</v>
      </c>
      <c r="C592" s="3">
        <v>46</v>
      </c>
      <c r="D592" s="2" t="s">
        <v>17</v>
      </c>
      <c r="E592" s="2" t="s">
        <v>18</v>
      </c>
      <c r="F592" s="2" t="s">
        <v>27</v>
      </c>
      <c r="G592" t="s">
        <v>69</v>
      </c>
      <c r="H592" t="s">
        <v>169</v>
      </c>
      <c r="I592" s="4">
        <v>270.92</v>
      </c>
      <c r="J592" s="3">
        <v>1</v>
      </c>
      <c r="K592" s="1">
        <v>45579</v>
      </c>
      <c r="L592" s="1" t="str">
        <f>TEXT(Table1[[#This Row],[Purchase_Date]],"YYYY")</f>
        <v>2024</v>
      </c>
      <c r="M592" s="1" t="str">
        <f>TEXT(Table1[[#This Row],[Purchase_Date]],"MMM")</f>
        <v>Oct</v>
      </c>
      <c r="N592" s="1" t="str">
        <f>TEXT(Table1[[#This Row],[Purchase_Date]],"DD")</f>
        <v>14</v>
      </c>
      <c r="O592" s="2" t="s">
        <v>41</v>
      </c>
      <c r="P592" s="3">
        <v>5</v>
      </c>
      <c r="Q592" s="2" t="s">
        <v>23</v>
      </c>
      <c r="R592" s="2" t="s">
        <v>24</v>
      </c>
      <c r="S592">
        <f>Table1[[#This Row],[Purchase_Amount]]*Table1[[#This Row],[Quantity]]</f>
        <v>270.92</v>
      </c>
      <c r="T592" t="str">
        <f>IF(Table1[[#This Row],[Age]]&lt;25,"&lt;25",IF(Table1[[#This Row],[Age]]&lt;=35,"25-35",IF(Table1[[#This Row],[Age]]&lt;=50,"36-50","50+")))</f>
        <v>36-50</v>
      </c>
    </row>
    <row r="593" spans="1:20" x14ac:dyDescent="0.3">
      <c r="A593" s="2" t="s">
        <v>875</v>
      </c>
      <c r="B593" s="2" t="s">
        <v>26</v>
      </c>
      <c r="C593" s="3">
        <v>46</v>
      </c>
      <c r="D593" s="2" t="s">
        <v>17</v>
      </c>
      <c r="E593" s="2" t="s">
        <v>49</v>
      </c>
      <c r="F593" s="2" t="s">
        <v>44</v>
      </c>
      <c r="G593" t="s">
        <v>69</v>
      </c>
      <c r="H593" t="s">
        <v>511</v>
      </c>
      <c r="I593" s="4">
        <v>894.99</v>
      </c>
      <c r="J593" s="3">
        <v>4</v>
      </c>
      <c r="K593" s="1">
        <v>45119</v>
      </c>
      <c r="L593" s="1" t="str">
        <f>TEXT(Table1[[#This Row],[Purchase_Date]],"YYYY")</f>
        <v>2023</v>
      </c>
      <c r="M593" s="1" t="str">
        <f>TEXT(Table1[[#This Row],[Purchase_Date]],"MMM")</f>
        <v>Jul</v>
      </c>
      <c r="N593" s="1" t="str">
        <f>TEXT(Table1[[#This Row],[Purchase_Date]],"DD")</f>
        <v>12</v>
      </c>
      <c r="O593" s="2" t="s">
        <v>36</v>
      </c>
      <c r="P593" s="3">
        <v>7</v>
      </c>
      <c r="Q593" s="2" t="s">
        <v>23</v>
      </c>
      <c r="R593" s="2" t="s">
        <v>24</v>
      </c>
      <c r="S593">
        <f>Table1[[#This Row],[Purchase_Amount]]*Table1[[#This Row],[Quantity]]</f>
        <v>3579.96</v>
      </c>
      <c r="T593" t="str">
        <f>IF(Table1[[#This Row],[Age]]&lt;25,"&lt;25",IF(Table1[[#This Row],[Age]]&lt;=35,"25-35",IF(Table1[[#This Row],[Age]]&lt;=50,"36-50","50+")))</f>
        <v>36-50</v>
      </c>
    </row>
    <row r="594" spans="1:20" x14ac:dyDescent="0.3">
      <c r="A594" s="2" t="s">
        <v>1151</v>
      </c>
      <c r="B594" s="2" t="s">
        <v>26</v>
      </c>
      <c r="C594" s="3">
        <v>46</v>
      </c>
      <c r="D594" s="2" t="s">
        <v>38</v>
      </c>
      <c r="E594" s="2" t="s">
        <v>18</v>
      </c>
      <c r="F594" s="2" t="s">
        <v>27</v>
      </c>
      <c r="G594" t="s">
        <v>69</v>
      </c>
      <c r="H594" t="s">
        <v>215</v>
      </c>
      <c r="I594" s="4">
        <v>982.66</v>
      </c>
      <c r="J594" s="3">
        <v>3</v>
      </c>
      <c r="K594" s="1">
        <v>45069</v>
      </c>
      <c r="L594" s="1" t="str">
        <f>TEXT(Table1[[#This Row],[Purchase_Date]],"YYYY")</f>
        <v>2023</v>
      </c>
      <c r="M594" s="1" t="str">
        <f>TEXT(Table1[[#This Row],[Purchase_Date]],"MMM")</f>
        <v>May</v>
      </c>
      <c r="N594" s="1" t="str">
        <f>TEXT(Table1[[#This Row],[Purchase_Date]],"DD")</f>
        <v>23</v>
      </c>
      <c r="O594" s="2" t="s">
        <v>41</v>
      </c>
      <c r="P594" s="3">
        <v>8</v>
      </c>
      <c r="Q594" s="2" t="s">
        <v>46</v>
      </c>
      <c r="R594" s="2" t="s">
        <v>24</v>
      </c>
      <c r="S594">
        <f>Table1[[#This Row],[Purchase_Amount]]*Table1[[#This Row],[Quantity]]</f>
        <v>2947.98</v>
      </c>
      <c r="T594" t="str">
        <f>IF(Table1[[#This Row],[Age]]&lt;25,"&lt;25",IF(Table1[[#This Row],[Age]]&lt;=35,"25-35",IF(Table1[[#This Row],[Age]]&lt;=50,"36-50","50+")))</f>
        <v>36-50</v>
      </c>
    </row>
    <row r="595" spans="1:20" x14ac:dyDescent="0.3">
      <c r="A595" s="2" t="s">
        <v>504</v>
      </c>
      <c r="B595" s="2" t="s">
        <v>26</v>
      </c>
      <c r="C595" s="3">
        <v>49</v>
      </c>
      <c r="D595" s="2" t="s">
        <v>64</v>
      </c>
      <c r="E595" s="2" t="s">
        <v>49</v>
      </c>
      <c r="F595" s="2" t="s">
        <v>27</v>
      </c>
      <c r="G595" t="s">
        <v>69</v>
      </c>
      <c r="H595" t="s">
        <v>95</v>
      </c>
      <c r="I595" s="4">
        <v>259.64999999999998</v>
      </c>
      <c r="J595" s="3">
        <v>2</v>
      </c>
      <c r="K595" s="1">
        <v>45447</v>
      </c>
      <c r="L595" s="1" t="str">
        <f>TEXT(Table1[[#This Row],[Purchase_Date]],"YYYY")</f>
        <v>2024</v>
      </c>
      <c r="M595" s="1" t="str">
        <f>TEXT(Table1[[#This Row],[Purchase_Date]],"MMM")</f>
        <v>Jun</v>
      </c>
      <c r="N595" s="1" t="str">
        <f>TEXT(Table1[[#This Row],[Purchase_Date]],"DD")</f>
        <v>04</v>
      </c>
      <c r="O595" s="2" t="s">
        <v>41</v>
      </c>
      <c r="P595" s="3">
        <v>7</v>
      </c>
      <c r="Q595" s="2" t="s">
        <v>23</v>
      </c>
      <c r="R595" s="2" t="s">
        <v>47</v>
      </c>
      <c r="S595">
        <f>Table1[[#This Row],[Purchase_Amount]]*Table1[[#This Row],[Quantity]]</f>
        <v>519.29999999999995</v>
      </c>
      <c r="T595" t="str">
        <f>IF(Table1[[#This Row],[Age]]&lt;25,"&lt;25",IF(Table1[[#This Row],[Age]]&lt;=35,"25-35",IF(Table1[[#This Row],[Age]]&lt;=50,"36-50","50+")))</f>
        <v>36-50</v>
      </c>
    </row>
    <row r="596" spans="1:20" x14ac:dyDescent="0.3">
      <c r="A596" s="2" t="s">
        <v>868</v>
      </c>
      <c r="B596" s="2" t="s">
        <v>26</v>
      </c>
      <c r="C596" s="3">
        <v>49</v>
      </c>
      <c r="D596" s="2" t="s">
        <v>38</v>
      </c>
      <c r="E596" s="2" t="s">
        <v>49</v>
      </c>
      <c r="F596" s="2" t="s">
        <v>19</v>
      </c>
      <c r="G596" t="s">
        <v>69</v>
      </c>
      <c r="H596" t="s">
        <v>517</v>
      </c>
      <c r="I596" s="4">
        <v>764.27</v>
      </c>
      <c r="J596" s="3">
        <v>5</v>
      </c>
      <c r="K596" s="1">
        <v>45175</v>
      </c>
      <c r="L596" s="1" t="str">
        <f>TEXT(Table1[[#This Row],[Purchase_Date]],"YYYY")</f>
        <v>2023</v>
      </c>
      <c r="M596" s="1" t="str">
        <f>TEXT(Table1[[#This Row],[Purchase_Date]],"MMM")</f>
        <v>Sep</v>
      </c>
      <c r="N596" s="1" t="str">
        <f>TEXT(Table1[[#This Row],[Purchase_Date]],"DD")</f>
        <v>06</v>
      </c>
      <c r="O596" s="2" t="s">
        <v>30</v>
      </c>
      <c r="P596" s="3">
        <v>9</v>
      </c>
      <c r="Q596" s="2" t="s">
        <v>23</v>
      </c>
      <c r="R596" s="2" t="s">
        <v>47</v>
      </c>
      <c r="S596">
        <f>Table1[[#This Row],[Purchase_Amount]]*Table1[[#This Row],[Quantity]]</f>
        <v>3821.35</v>
      </c>
      <c r="T596" t="str">
        <f>IF(Table1[[#This Row],[Age]]&lt;25,"&lt;25",IF(Table1[[#This Row],[Age]]&lt;=35,"25-35",IF(Table1[[#This Row],[Age]]&lt;=50,"36-50","50+")))</f>
        <v>36-50</v>
      </c>
    </row>
    <row r="597" spans="1:20" x14ac:dyDescent="0.3">
      <c r="A597" s="2" t="s">
        <v>468</v>
      </c>
      <c r="B597" s="2" t="s">
        <v>26</v>
      </c>
      <c r="C597" s="3">
        <v>50</v>
      </c>
      <c r="D597" s="2" t="s">
        <v>109</v>
      </c>
      <c r="E597" s="2" t="s">
        <v>49</v>
      </c>
      <c r="F597" s="2" t="s">
        <v>27</v>
      </c>
      <c r="G597" t="s">
        <v>69</v>
      </c>
      <c r="H597" t="s">
        <v>89</v>
      </c>
      <c r="I597" s="4">
        <v>626.98</v>
      </c>
      <c r="J597" s="3">
        <v>5</v>
      </c>
      <c r="K597" s="1">
        <v>45419</v>
      </c>
      <c r="L597" s="1" t="str">
        <f>TEXT(Table1[[#This Row],[Purchase_Date]],"YYYY")</f>
        <v>2024</v>
      </c>
      <c r="M597" s="1" t="str">
        <f>TEXT(Table1[[#This Row],[Purchase_Date]],"MMM")</f>
        <v>May</v>
      </c>
      <c r="N597" s="1" t="str">
        <f>TEXT(Table1[[#This Row],[Purchase_Date]],"DD")</f>
        <v>07</v>
      </c>
      <c r="O597" s="2" t="s">
        <v>22</v>
      </c>
      <c r="P597" s="3">
        <v>2</v>
      </c>
      <c r="Q597" s="2" t="s">
        <v>46</v>
      </c>
      <c r="R597" s="2" t="s">
        <v>47</v>
      </c>
      <c r="S597">
        <f>Table1[[#This Row],[Purchase_Amount]]*Table1[[#This Row],[Quantity]]</f>
        <v>3134.9</v>
      </c>
      <c r="T597" t="str">
        <f>IF(Table1[[#This Row],[Age]]&lt;25,"&lt;25",IF(Table1[[#This Row],[Age]]&lt;=35,"25-35",IF(Table1[[#This Row],[Age]]&lt;=50,"36-50","50+")))</f>
        <v>36-50</v>
      </c>
    </row>
    <row r="598" spans="1:20" x14ac:dyDescent="0.3">
      <c r="A598" s="2" t="s">
        <v>545</v>
      </c>
      <c r="B598" s="2" t="s">
        <v>26</v>
      </c>
      <c r="C598" s="3">
        <v>51</v>
      </c>
      <c r="D598" s="2" t="s">
        <v>32</v>
      </c>
      <c r="E598" s="2" t="s">
        <v>18</v>
      </c>
      <c r="F598" s="2" t="s">
        <v>27</v>
      </c>
      <c r="G598" t="s">
        <v>69</v>
      </c>
      <c r="H598" t="s">
        <v>227</v>
      </c>
      <c r="I598" s="4">
        <v>190</v>
      </c>
      <c r="J598" s="3">
        <v>3</v>
      </c>
      <c r="K598" s="1">
        <v>44974</v>
      </c>
      <c r="L598" s="1" t="str">
        <f>TEXT(Table1[[#This Row],[Purchase_Date]],"YYYY")</f>
        <v>2023</v>
      </c>
      <c r="M598" s="1" t="str">
        <f>TEXT(Table1[[#This Row],[Purchase_Date]],"MMM")</f>
        <v>Feb</v>
      </c>
      <c r="N598" s="1" t="str">
        <f>TEXT(Table1[[#This Row],[Purchase_Date]],"DD")</f>
        <v>17</v>
      </c>
      <c r="O598" s="2" t="s">
        <v>36</v>
      </c>
      <c r="P598" s="3">
        <v>9</v>
      </c>
      <c r="Q598" s="2" t="s">
        <v>23</v>
      </c>
      <c r="R598" s="2" t="s">
        <v>24</v>
      </c>
      <c r="S598">
        <f>Table1[[#This Row],[Purchase_Amount]]*Table1[[#This Row],[Quantity]]</f>
        <v>570</v>
      </c>
      <c r="T598" t="str">
        <f>IF(Table1[[#This Row],[Age]]&lt;25,"&lt;25",IF(Table1[[#This Row],[Age]]&lt;=35,"25-35",IF(Table1[[#This Row],[Age]]&lt;=50,"36-50","50+")))</f>
        <v>50+</v>
      </c>
    </row>
    <row r="599" spans="1:20" x14ac:dyDescent="0.3">
      <c r="A599" s="2" t="s">
        <v>197</v>
      </c>
      <c r="B599" s="2" t="s">
        <v>26</v>
      </c>
      <c r="C599" s="3">
        <v>52</v>
      </c>
      <c r="D599" s="2" t="s">
        <v>64</v>
      </c>
      <c r="E599" s="2" t="s">
        <v>33</v>
      </c>
      <c r="F599" s="2" t="s">
        <v>27</v>
      </c>
      <c r="G599" t="s">
        <v>69</v>
      </c>
      <c r="H599" t="s">
        <v>198</v>
      </c>
      <c r="I599" s="4">
        <v>19.809999999999999</v>
      </c>
      <c r="J599" s="3">
        <v>5</v>
      </c>
      <c r="K599" s="1">
        <v>45086</v>
      </c>
      <c r="L599" s="1" t="str">
        <f>TEXT(Table1[[#This Row],[Purchase_Date]],"YYYY")</f>
        <v>2023</v>
      </c>
      <c r="M599" s="1" t="str">
        <f>TEXT(Table1[[#This Row],[Purchase_Date]],"MMM")</f>
        <v>Jun</v>
      </c>
      <c r="N599" s="1" t="str">
        <f>TEXT(Table1[[#This Row],[Purchase_Date]],"DD")</f>
        <v>09</v>
      </c>
      <c r="O599" s="2" t="s">
        <v>36</v>
      </c>
      <c r="P599" s="3">
        <v>4</v>
      </c>
      <c r="Q599" s="2" t="s">
        <v>46</v>
      </c>
      <c r="R599" s="2" t="s">
        <v>24</v>
      </c>
      <c r="S599">
        <f>Table1[[#This Row],[Purchase_Amount]]*Table1[[#This Row],[Quantity]]</f>
        <v>99.05</v>
      </c>
      <c r="T599" t="str">
        <f>IF(Table1[[#This Row],[Age]]&lt;25,"&lt;25",IF(Table1[[#This Row],[Age]]&lt;=35,"25-35",IF(Table1[[#This Row],[Age]]&lt;=50,"36-50","50+")))</f>
        <v>50+</v>
      </c>
    </row>
    <row r="600" spans="1:20" x14ac:dyDescent="0.3">
      <c r="A600" s="2" t="s">
        <v>325</v>
      </c>
      <c r="B600" s="2" t="s">
        <v>26</v>
      </c>
      <c r="C600" s="3">
        <v>53</v>
      </c>
      <c r="D600" s="2" t="s">
        <v>109</v>
      </c>
      <c r="E600" s="2" t="s">
        <v>49</v>
      </c>
      <c r="F600" s="2" t="s">
        <v>44</v>
      </c>
      <c r="G600" t="s">
        <v>69</v>
      </c>
      <c r="H600" t="s">
        <v>326</v>
      </c>
      <c r="I600" s="4">
        <v>419.38</v>
      </c>
      <c r="J600" s="3">
        <v>4</v>
      </c>
      <c r="K600" s="1">
        <v>45424</v>
      </c>
      <c r="L600" s="1" t="str">
        <f>TEXT(Table1[[#This Row],[Purchase_Date]],"YYYY")</f>
        <v>2024</v>
      </c>
      <c r="M600" s="1" t="str">
        <f>TEXT(Table1[[#This Row],[Purchase_Date]],"MMM")</f>
        <v>May</v>
      </c>
      <c r="N600" s="1" t="str">
        <f>TEXT(Table1[[#This Row],[Purchase_Date]],"DD")</f>
        <v>12</v>
      </c>
      <c r="O600" s="2" t="s">
        <v>36</v>
      </c>
      <c r="P600" s="3">
        <v>6</v>
      </c>
      <c r="Q600" s="2" t="s">
        <v>23</v>
      </c>
      <c r="R600" s="2" t="s">
        <v>24</v>
      </c>
      <c r="S600">
        <f>Table1[[#This Row],[Purchase_Amount]]*Table1[[#This Row],[Quantity]]</f>
        <v>1677.52</v>
      </c>
      <c r="T600" t="str">
        <f>IF(Table1[[#This Row],[Age]]&lt;25,"&lt;25",IF(Table1[[#This Row],[Age]]&lt;=35,"25-35",IF(Table1[[#This Row],[Age]]&lt;=50,"36-50","50+")))</f>
        <v>50+</v>
      </c>
    </row>
    <row r="601" spans="1:20" x14ac:dyDescent="0.3">
      <c r="A601" s="2" t="s">
        <v>673</v>
      </c>
      <c r="B601" s="2" t="s">
        <v>26</v>
      </c>
      <c r="C601" s="3">
        <v>55</v>
      </c>
      <c r="D601" s="2" t="s">
        <v>78</v>
      </c>
      <c r="E601" s="2" t="s">
        <v>33</v>
      </c>
      <c r="F601" s="2" t="s">
        <v>27</v>
      </c>
      <c r="G601" t="s">
        <v>69</v>
      </c>
      <c r="H601" t="s">
        <v>67</v>
      </c>
      <c r="I601" s="4">
        <v>490.78</v>
      </c>
      <c r="J601" s="3">
        <v>5</v>
      </c>
      <c r="K601" s="1">
        <v>45527</v>
      </c>
      <c r="L601" s="1" t="str">
        <f>TEXT(Table1[[#This Row],[Purchase_Date]],"YYYY")</f>
        <v>2024</v>
      </c>
      <c r="M601" s="1" t="str">
        <f>TEXT(Table1[[#This Row],[Purchase_Date]],"MMM")</f>
        <v>Aug</v>
      </c>
      <c r="N601" s="1" t="str">
        <f>TEXT(Table1[[#This Row],[Purchase_Date]],"DD")</f>
        <v>23</v>
      </c>
      <c r="O601" s="2" t="s">
        <v>22</v>
      </c>
      <c r="P601" s="3">
        <v>4</v>
      </c>
      <c r="Q601" s="2" t="s">
        <v>23</v>
      </c>
      <c r="R601" s="2" t="s">
        <v>24</v>
      </c>
      <c r="S601">
        <f>Table1[[#This Row],[Purchase_Amount]]*Table1[[#This Row],[Quantity]]</f>
        <v>2453.8999999999996</v>
      </c>
      <c r="T601" t="str">
        <f>IF(Table1[[#This Row],[Age]]&lt;25,"&lt;25",IF(Table1[[#This Row],[Age]]&lt;=35,"25-35",IF(Table1[[#This Row],[Age]]&lt;=50,"36-50","50+")))</f>
        <v>50+</v>
      </c>
    </row>
    <row r="602" spans="1:20" x14ac:dyDescent="0.3">
      <c r="A602" s="2" t="s">
        <v>748</v>
      </c>
      <c r="B602" s="2" t="s">
        <v>26</v>
      </c>
      <c r="C602" s="3">
        <v>56</v>
      </c>
      <c r="D602" s="2" t="s">
        <v>60</v>
      </c>
      <c r="E602" s="2" t="s">
        <v>49</v>
      </c>
      <c r="F602" s="2" t="s">
        <v>44</v>
      </c>
      <c r="G602" t="s">
        <v>69</v>
      </c>
      <c r="H602" t="s">
        <v>418</v>
      </c>
      <c r="I602" s="4">
        <v>767.66</v>
      </c>
      <c r="J602" s="3">
        <v>4</v>
      </c>
      <c r="K602" s="1">
        <v>45568</v>
      </c>
      <c r="L602" s="1" t="str">
        <f>TEXT(Table1[[#This Row],[Purchase_Date]],"YYYY")</f>
        <v>2024</v>
      </c>
      <c r="M602" s="1" t="str">
        <f>TEXT(Table1[[#This Row],[Purchase_Date]],"MMM")</f>
        <v>Oct</v>
      </c>
      <c r="N602" s="1" t="str">
        <f>TEXT(Table1[[#This Row],[Purchase_Date]],"DD")</f>
        <v>03</v>
      </c>
      <c r="O602" s="2" t="s">
        <v>36</v>
      </c>
      <c r="P602" s="3">
        <v>10</v>
      </c>
      <c r="Q602" s="2" t="s">
        <v>46</v>
      </c>
      <c r="R602" s="2" t="s">
        <v>47</v>
      </c>
      <c r="S602">
        <f>Table1[[#This Row],[Purchase_Amount]]*Table1[[#This Row],[Quantity]]</f>
        <v>3070.64</v>
      </c>
      <c r="T602" t="str">
        <f>IF(Table1[[#This Row],[Age]]&lt;25,"&lt;25",IF(Table1[[#This Row],[Age]]&lt;=35,"25-35",IF(Table1[[#This Row],[Age]]&lt;=50,"36-50","50+")))</f>
        <v>50+</v>
      </c>
    </row>
    <row r="603" spans="1:20" x14ac:dyDescent="0.3">
      <c r="A603" s="2" t="s">
        <v>236</v>
      </c>
      <c r="B603" s="2" t="s">
        <v>26</v>
      </c>
      <c r="C603" s="3">
        <v>57</v>
      </c>
      <c r="D603" s="2" t="s">
        <v>109</v>
      </c>
      <c r="E603" s="2" t="s">
        <v>18</v>
      </c>
      <c r="F603" s="2" t="s">
        <v>19</v>
      </c>
      <c r="G603" t="s">
        <v>69</v>
      </c>
      <c r="H603" t="s">
        <v>237</v>
      </c>
      <c r="I603" s="4">
        <v>77.5</v>
      </c>
      <c r="J603" s="3">
        <v>3</v>
      </c>
      <c r="K603" s="1">
        <v>45188</v>
      </c>
      <c r="L603" s="1" t="str">
        <f>TEXT(Table1[[#This Row],[Purchase_Date]],"YYYY")</f>
        <v>2023</v>
      </c>
      <c r="M603" s="1" t="str">
        <f>TEXT(Table1[[#This Row],[Purchase_Date]],"MMM")</f>
        <v>Sep</v>
      </c>
      <c r="N603" s="1" t="str">
        <f>TEXT(Table1[[#This Row],[Purchase_Date]],"DD")</f>
        <v>19</v>
      </c>
      <c r="O603" s="2" t="s">
        <v>36</v>
      </c>
      <c r="P603" s="3">
        <v>7</v>
      </c>
      <c r="Q603" s="2" t="s">
        <v>23</v>
      </c>
      <c r="R603" s="2" t="s">
        <v>47</v>
      </c>
      <c r="S603">
        <f>Table1[[#This Row],[Purchase_Amount]]*Table1[[#This Row],[Quantity]]</f>
        <v>232.5</v>
      </c>
      <c r="T603" t="str">
        <f>IF(Table1[[#This Row],[Age]]&lt;25,"&lt;25",IF(Table1[[#This Row],[Age]]&lt;=35,"25-35",IF(Table1[[#This Row],[Age]]&lt;=50,"36-50","50+")))</f>
        <v>50+</v>
      </c>
    </row>
    <row r="604" spans="1:20" x14ac:dyDescent="0.3">
      <c r="A604" s="2" t="s">
        <v>389</v>
      </c>
      <c r="B604" s="2" t="s">
        <v>26</v>
      </c>
      <c r="C604" s="3">
        <v>57</v>
      </c>
      <c r="D604" s="2" t="s">
        <v>17</v>
      </c>
      <c r="E604" s="2" t="s">
        <v>33</v>
      </c>
      <c r="F604" s="2" t="s">
        <v>27</v>
      </c>
      <c r="G604" t="s">
        <v>69</v>
      </c>
      <c r="H604" t="s">
        <v>74</v>
      </c>
      <c r="I604" s="4">
        <v>474.35</v>
      </c>
      <c r="J604" s="3">
        <v>1</v>
      </c>
      <c r="K604" s="1">
        <v>45139</v>
      </c>
      <c r="L604" s="1" t="str">
        <f>TEXT(Table1[[#This Row],[Purchase_Date]],"YYYY")</f>
        <v>2023</v>
      </c>
      <c r="M604" s="1" t="str">
        <f>TEXT(Table1[[#This Row],[Purchase_Date]],"MMM")</f>
        <v>Aug</v>
      </c>
      <c r="N604" s="1" t="str">
        <f>TEXT(Table1[[#This Row],[Purchase_Date]],"DD")</f>
        <v>01</v>
      </c>
      <c r="O604" s="2" t="s">
        <v>22</v>
      </c>
      <c r="P604" s="3">
        <v>7</v>
      </c>
      <c r="Q604" s="2" t="s">
        <v>23</v>
      </c>
      <c r="R604" s="2" t="s">
        <v>24</v>
      </c>
      <c r="S604">
        <f>Table1[[#This Row],[Purchase_Amount]]*Table1[[#This Row],[Quantity]]</f>
        <v>474.35</v>
      </c>
      <c r="T604" t="str">
        <f>IF(Table1[[#This Row],[Age]]&lt;25,"&lt;25",IF(Table1[[#This Row],[Age]]&lt;=35,"25-35",IF(Table1[[#This Row],[Age]]&lt;=50,"36-50","50+")))</f>
        <v>50+</v>
      </c>
    </row>
    <row r="605" spans="1:20" x14ac:dyDescent="0.3">
      <c r="A605" s="2" t="s">
        <v>266</v>
      </c>
      <c r="B605" s="2" t="s">
        <v>26</v>
      </c>
      <c r="C605" s="3">
        <v>57</v>
      </c>
      <c r="D605" s="2" t="s">
        <v>38</v>
      </c>
      <c r="E605" s="2" t="s">
        <v>18</v>
      </c>
      <c r="F605" s="2" t="s">
        <v>44</v>
      </c>
      <c r="G605" t="s">
        <v>69</v>
      </c>
      <c r="H605" t="s">
        <v>267</v>
      </c>
      <c r="I605" s="4">
        <v>638.55999999999995</v>
      </c>
      <c r="J605" s="3">
        <v>1</v>
      </c>
      <c r="K605" s="1">
        <v>45357</v>
      </c>
      <c r="L605" s="1" t="str">
        <f>TEXT(Table1[[#This Row],[Purchase_Date]],"YYYY")</f>
        <v>2024</v>
      </c>
      <c r="M605" s="1" t="str">
        <f>TEXT(Table1[[#This Row],[Purchase_Date]],"MMM")</f>
        <v>Mar</v>
      </c>
      <c r="N605" s="1" t="str">
        <f>TEXT(Table1[[#This Row],[Purchase_Date]],"DD")</f>
        <v>06</v>
      </c>
      <c r="O605" s="2" t="s">
        <v>22</v>
      </c>
      <c r="P605" s="3">
        <v>7</v>
      </c>
      <c r="Q605" s="2" t="s">
        <v>46</v>
      </c>
      <c r="R605" s="2" t="s">
        <v>47</v>
      </c>
      <c r="S605">
        <f>Table1[[#This Row],[Purchase_Amount]]*Table1[[#This Row],[Quantity]]</f>
        <v>638.55999999999995</v>
      </c>
      <c r="T605" t="str">
        <f>IF(Table1[[#This Row],[Age]]&lt;25,"&lt;25",IF(Table1[[#This Row],[Age]]&lt;=35,"25-35",IF(Table1[[#This Row],[Age]]&lt;=50,"36-50","50+")))</f>
        <v>50+</v>
      </c>
    </row>
    <row r="606" spans="1:20" x14ac:dyDescent="0.3">
      <c r="A606" s="2" t="s">
        <v>209</v>
      </c>
      <c r="B606" s="2" t="s">
        <v>26</v>
      </c>
      <c r="C606" s="3">
        <v>58</v>
      </c>
      <c r="D606" s="2" t="s">
        <v>78</v>
      </c>
      <c r="E606" s="2" t="s">
        <v>49</v>
      </c>
      <c r="F606" s="2" t="s">
        <v>19</v>
      </c>
      <c r="G606" t="s">
        <v>69</v>
      </c>
      <c r="H606" t="s">
        <v>210</v>
      </c>
      <c r="I606" s="4">
        <v>256.12</v>
      </c>
      <c r="J606" s="3">
        <v>4</v>
      </c>
      <c r="K606" s="1">
        <v>45009</v>
      </c>
      <c r="L606" s="1" t="str">
        <f>TEXT(Table1[[#This Row],[Purchase_Date]],"YYYY")</f>
        <v>2023</v>
      </c>
      <c r="M606" s="1" t="str">
        <f>TEXT(Table1[[#This Row],[Purchase_Date]],"MMM")</f>
        <v>Mar</v>
      </c>
      <c r="N606" s="1" t="str">
        <f>TEXT(Table1[[#This Row],[Purchase_Date]],"DD")</f>
        <v>24</v>
      </c>
      <c r="O606" s="2" t="s">
        <v>30</v>
      </c>
      <c r="P606" s="3">
        <v>5</v>
      </c>
      <c r="Q606" s="2" t="s">
        <v>23</v>
      </c>
      <c r="R606" s="2" t="s">
        <v>24</v>
      </c>
      <c r="S606">
        <f>Table1[[#This Row],[Purchase_Amount]]*Table1[[#This Row],[Quantity]]</f>
        <v>1024.48</v>
      </c>
      <c r="T606" t="str">
        <f>IF(Table1[[#This Row],[Age]]&lt;25,"&lt;25",IF(Table1[[#This Row],[Age]]&lt;=35,"25-35",IF(Table1[[#This Row],[Age]]&lt;=50,"36-50","50+")))</f>
        <v>50+</v>
      </c>
    </row>
    <row r="607" spans="1:20" x14ac:dyDescent="0.3">
      <c r="A607" s="2" t="s">
        <v>1024</v>
      </c>
      <c r="B607" s="2" t="s">
        <v>26</v>
      </c>
      <c r="C607" s="3">
        <v>58</v>
      </c>
      <c r="D607" s="2" t="s">
        <v>64</v>
      </c>
      <c r="E607" s="2" t="s">
        <v>49</v>
      </c>
      <c r="F607" s="2" t="s">
        <v>27</v>
      </c>
      <c r="G607" t="s">
        <v>69</v>
      </c>
      <c r="H607" t="s">
        <v>191</v>
      </c>
      <c r="I607" s="4">
        <v>417.03</v>
      </c>
      <c r="J607" s="3">
        <v>5</v>
      </c>
      <c r="K607" s="1">
        <v>45050</v>
      </c>
      <c r="L607" s="1" t="str">
        <f>TEXT(Table1[[#This Row],[Purchase_Date]],"YYYY")</f>
        <v>2023</v>
      </c>
      <c r="M607" s="1" t="str">
        <f>TEXT(Table1[[#This Row],[Purchase_Date]],"MMM")</f>
        <v>May</v>
      </c>
      <c r="N607" s="1" t="str">
        <f>TEXT(Table1[[#This Row],[Purchase_Date]],"DD")</f>
        <v>04</v>
      </c>
      <c r="O607" s="2" t="s">
        <v>41</v>
      </c>
      <c r="P607" s="3">
        <v>7</v>
      </c>
      <c r="Q607" s="2" t="s">
        <v>23</v>
      </c>
      <c r="R607" s="2" t="s">
        <v>24</v>
      </c>
      <c r="S607">
        <f>Table1[[#This Row],[Purchase_Amount]]*Table1[[#This Row],[Quantity]]</f>
        <v>2085.1499999999996</v>
      </c>
      <c r="T607" t="str">
        <f>IF(Table1[[#This Row],[Age]]&lt;25,"&lt;25",IF(Table1[[#This Row],[Age]]&lt;=35,"25-35",IF(Table1[[#This Row],[Age]]&lt;=50,"36-50","50+")))</f>
        <v>50+</v>
      </c>
    </row>
    <row r="608" spans="1:20" x14ac:dyDescent="0.3">
      <c r="A608" s="2" t="s">
        <v>931</v>
      </c>
      <c r="B608" s="2" t="s">
        <v>26</v>
      </c>
      <c r="C608" s="3">
        <v>60</v>
      </c>
      <c r="D608" s="2" t="s">
        <v>64</v>
      </c>
      <c r="E608" s="2" t="s">
        <v>18</v>
      </c>
      <c r="F608" s="2" t="s">
        <v>27</v>
      </c>
      <c r="G608" t="s">
        <v>69</v>
      </c>
      <c r="H608" t="s">
        <v>561</v>
      </c>
      <c r="I608" s="4">
        <v>698.02</v>
      </c>
      <c r="J608" s="3">
        <v>4</v>
      </c>
      <c r="K608" s="1">
        <v>44975</v>
      </c>
      <c r="L608" s="1" t="str">
        <f>TEXT(Table1[[#This Row],[Purchase_Date]],"YYYY")</f>
        <v>2023</v>
      </c>
      <c r="M608" s="1" t="str">
        <f>TEXT(Table1[[#This Row],[Purchase_Date]],"MMM")</f>
        <v>Feb</v>
      </c>
      <c r="N608" s="1" t="str">
        <f>TEXT(Table1[[#This Row],[Purchase_Date]],"DD")</f>
        <v>18</v>
      </c>
      <c r="O608" s="2" t="s">
        <v>41</v>
      </c>
      <c r="P608" s="3">
        <v>9</v>
      </c>
      <c r="Q608" s="2" t="s">
        <v>46</v>
      </c>
      <c r="R608" s="2" t="s">
        <v>47</v>
      </c>
      <c r="S608">
        <f>Table1[[#This Row],[Purchase_Amount]]*Table1[[#This Row],[Quantity]]</f>
        <v>2792.08</v>
      </c>
      <c r="T608" t="str">
        <f>IF(Table1[[#This Row],[Age]]&lt;25,"&lt;25",IF(Table1[[#This Row],[Age]]&lt;=35,"25-35",IF(Table1[[#This Row],[Age]]&lt;=50,"36-50","50+")))</f>
        <v>50+</v>
      </c>
    </row>
    <row r="609" spans="1:20" x14ac:dyDescent="0.3">
      <c r="A609" s="2" t="s">
        <v>135</v>
      </c>
      <c r="B609" s="2" t="s">
        <v>26</v>
      </c>
      <c r="C609" s="3">
        <v>60</v>
      </c>
      <c r="D609" s="2" t="s">
        <v>32</v>
      </c>
      <c r="E609" s="2" t="s">
        <v>49</v>
      </c>
      <c r="F609" s="2" t="s">
        <v>19</v>
      </c>
      <c r="G609" t="s">
        <v>69</v>
      </c>
      <c r="H609" t="s">
        <v>136</v>
      </c>
      <c r="I609" s="4">
        <v>921.48</v>
      </c>
      <c r="J609" s="3">
        <v>5</v>
      </c>
      <c r="K609" s="1">
        <v>45319</v>
      </c>
      <c r="L609" s="1" t="str">
        <f>TEXT(Table1[[#This Row],[Purchase_Date]],"YYYY")</f>
        <v>2024</v>
      </c>
      <c r="M609" s="1" t="str">
        <f>TEXT(Table1[[#This Row],[Purchase_Date]],"MMM")</f>
        <v>Jan</v>
      </c>
      <c r="N609" s="1" t="str">
        <f>TEXT(Table1[[#This Row],[Purchase_Date]],"DD")</f>
        <v>28</v>
      </c>
      <c r="O609" s="2" t="s">
        <v>22</v>
      </c>
      <c r="P609" s="3">
        <v>3</v>
      </c>
      <c r="Q609" s="2" t="s">
        <v>23</v>
      </c>
      <c r="R609" s="2" t="s">
        <v>24</v>
      </c>
      <c r="S609">
        <f>Table1[[#This Row],[Purchase_Amount]]*Table1[[#This Row],[Quantity]]</f>
        <v>4607.3999999999996</v>
      </c>
      <c r="T609" t="str">
        <f>IF(Table1[[#This Row],[Age]]&lt;25,"&lt;25",IF(Table1[[#This Row],[Age]]&lt;=35,"25-35",IF(Table1[[#This Row],[Age]]&lt;=50,"36-50","50+")))</f>
        <v>50+</v>
      </c>
    </row>
    <row r="610" spans="1:20" x14ac:dyDescent="0.3">
      <c r="A610" s="2" t="s">
        <v>508</v>
      </c>
      <c r="B610" s="2" t="s">
        <v>26</v>
      </c>
      <c r="C610" s="3">
        <v>62</v>
      </c>
      <c r="D610" s="2" t="s">
        <v>64</v>
      </c>
      <c r="E610" s="2" t="s">
        <v>33</v>
      </c>
      <c r="F610" s="2" t="s">
        <v>44</v>
      </c>
      <c r="G610" t="s">
        <v>69</v>
      </c>
      <c r="H610" t="s">
        <v>95</v>
      </c>
      <c r="I610" s="4">
        <v>10.93</v>
      </c>
      <c r="J610" s="3">
        <v>2</v>
      </c>
      <c r="K610" s="1">
        <v>45365</v>
      </c>
      <c r="L610" s="1" t="str">
        <f>TEXT(Table1[[#This Row],[Purchase_Date]],"YYYY")</f>
        <v>2024</v>
      </c>
      <c r="M610" s="1" t="str">
        <f>TEXT(Table1[[#This Row],[Purchase_Date]],"MMM")</f>
        <v>Mar</v>
      </c>
      <c r="N610" s="1" t="str">
        <f>TEXT(Table1[[#This Row],[Purchase_Date]],"DD")</f>
        <v>14</v>
      </c>
      <c r="O610" s="2" t="s">
        <v>22</v>
      </c>
      <c r="P610" s="3">
        <v>7</v>
      </c>
      <c r="Q610" s="2" t="s">
        <v>23</v>
      </c>
      <c r="R610" s="2" t="s">
        <v>24</v>
      </c>
      <c r="S610">
        <f>Table1[[#This Row],[Purchase_Amount]]*Table1[[#This Row],[Quantity]]</f>
        <v>21.86</v>
      </c>
      <c r="T610" t="str">
        <f>IF(Table1[[#This Row],[Age]]&lt;25,"&lt;25",IF(Table1[[#This Row],[Age]]&lt;=35,"25-35",IF(Table1[[#This Row],[Age]]&lt;=50,"36-50","50+")))</f>
        <v>50+</v>
      </c>
    </row>
    <row r="611" spans="1:20" x14ac:dyDescent="0.3">
      <c r="A611" s="2" t="s">
        <v>732</v>
      </c>
      <c r="B611" s="2" t="s">
        <v>26</v>
      </c>
      <c r="C611" s="3">
        <v>62</v>
      </c>
      <c r="D611" s="2" t="s">
        <v>32</v>
      </c>
      <c r="E611" s="2" t="s">
        <v>18</v>
      </c>
      <c r="F611" s="2" t="s">
        <v>27</v>
      </c>
      <c r="G611" t="s">
        <v>69</v>
      </c>
      <c r="H611" t="s">
        <v>269</v>
      </c>
      <c r="I611" s="4">
        <v>886.39</v>
      </c>
      <c r="J611" s="3">
        <v>4</v>
      </c>
      <c r="K611" s="1">
        <v>45375</v>
      </c>
      <c r="L611" s="1" t="str">
        <f>TEXT(Table1[[#This Row],[Purchase_Date]],"YYYY")</f>
        <v>2024</v>
      </c>
      <c r="M611" s="1" t="str">
        <f>TEXT(Table1[[#This Row],[Purchase_Date]],"MMM")</f>
        <v>Mar</v>
      </c>
      <c r="N611" s="1" t="str">
        <f>TEXT(Table1[[#This Row],[Purchase_Date]],"DD")</f>
        <v>24</v>
      </c>
      <c r="O611" s="2" t="s">
        <v>41</v>
      </c>
      <c r="P611" s="3">
        <v>9</v>
      </c>
      <c r="Q611" s="2" t="s">
        <v>46</v>
      </c>
      <c r="R611" s="2" t="s">
        <v>24</v>
      </c>
      <c r="S611">
        <f>Table1[[#This Row],[Purchase_Amount]]*Table1[[#This Row],[Quantity]]</f>
        <v>3545.56</v>
      </c>
      <c r="T611" t="str">
        <f>IF(Table1[[#This Row],[Age]]&lt;25,"&lt;25",IF(Table1[[#This Row],[Age]]&lt;=35,"25-35",IF(Table1[[#This Row],[Age]]&lt;=50,"36-50","50+")))</f>
        <v>50+</v>
      </c>
    </row>
    <row r="612" spans="1:20" x14ac:dyDescent="0.3">
      <c r="A612" s="2" t="s">
        <v>1013</v>
      </c>
      <c r="B612" s="2" t="s">
        <v>26</v>
      </c>
      <c r="C612" s="3">
        <v>62</v>
      </c>
      <c r="D612" s="2" t="s">
        <v>32</v>
      </c>
      <c r="E612" s="2" t="s">
        <v>18</v>
      </c>
      <c r="F612" s="2" t="s">
        <v>44</v>
      </c>
      <c r="G612" t="s">
        <v>69</v>
      </c>
      <c r="H612" t="s">
        <v>198</v>
      </c>
      <c r="I612" s="4">
        <v>953.77</v>
      </c>
      <c r="J612" s="3">
        <v>2</v>
      </c>
      <c r="K612" s="1">
        <v>45195</v>
      </c>
      <c r="L612" s="1" t="str">
        <f>TEXT(Table1[[#This Row],[Purchase_Date]],"YYYY")</f>
        <v>2023</v>
      </c>
      <c r="M612" s="1" t="str">
        <f>TEXT(Table1[[#This Row],[Purchase_Date]],"MMM")</f>
        <v>Sep</v>
      </c>
      <c r="N612" s="1" t="str">
        <f>TEXT(Table1[[#This Row],[Purchase_Date]],"DD")</f>
        <v>26</v>
      </c>
      <c r="O612" s="2" t="s">
        <v>36</v>
      </c>
      <c r="P612" s="3">
        <v>9</v>
      </c>
      <c r="Q612" s="2" t="s">
        <v>46</v>
      </c>
      <c r="R612" s="2" t="s">
        <v>47</v>
      </c>
      <c r="S612">
        <f>Table1[[#This Row],[Purchase_Amount]]*Table1[[#This Row],[Quantity]]</f>
        <v>1907.54</v>
      </c>
      <c r="T612" t="str">
        <f>IF(Table1[[#This Row],[Age]]&lt;25,"&lt;25",IF(Table1[[#This Row],[Age]]&lt;=35,"25-35",IF(Table1[[#This Row],[Age]]&lt;=50,"36-50","50+")))</f>
        <v>50+</v>
      </c>
    </row>
    <row r="613" spans="1:20" x14ac:dyDescent="0.3">
      <c r="A613" s="2" t="s">
        <v>388</v>
      </c>
      <c r="B613" s="2" t="s">
        <v>26</v>
      </c>
      <c r="C613" s="3">
        <v>64</v>
      </c>
      <c r="D613" s="2" t="s">
        <v>38</v>
      </c>
      <c r="E613" s="2" t="s">
        <v>49</v>
      </c>
      <c r="F613" s="2" t="s">
        <v>27</v>
      </c>
      <c r="G613" t="s">
        <v>69</v>
      </c>
      <c r="H613" t="s">
        <v>330</v>
      </c>
      <c r="I613" s="4">
        <v>212.05</v>
      </c>
      <c r="J613" s="3">
        <v>3</v>
      </c>
      <c r="K613" s="1">
        <v>45158</v>
      </c>
      <c r="L613" s="1" t="str">
        <f>TEXT(Table1[[#This Row],[Purchase_Date]],"YYYY")</f>
        <v>2023</v>
      </c>
      <c r="M613" s="1" t="str">
        <f>TEXT(Table1[[#This Row],[Purchase_Date]],"MMM")</f>
        <v>Aug</v>
      </c>
      <c r="N613" s="1" t="str">
        <f>TEXT(Table1[[#This Row],[Purchase_Date]],"DD")</f>
        <v>20</v>
      </c>
      <c r="O613" s="2" t="s">
        <v>36</v>
      </c>
      <c r="P613" s="3">
        <v>9</v>
      </c>
      <c r="Q613" s="2" t="s">
        <v>46</v>
      </c>
      <c r="R613" s="2" t="s">
        <v>24</v>
      </c>
      <c r="S613">
        <f>Table1[[#This Row],[Purchase_Amount]]*Table1[[#This Row],[Quantity]]</f>
        <v>636.15000000000009</v>
      </c>
      <c r="T613" t="str">
        <f>IF(Table1[[#This Row],[Age]]&lt;25,"&lt;25",IF(Table1[[#This Row],[Age]]&lt;=35,"25-35",IF(Table1[[#This Row],[Age]]&lt;=50,"36-50","50+")))</f>
        <v>50+</v>
      </c>
    </row>
    <row r="614" spans="1:20" x14ac:dyDescent="0.3">
      <c r="A614" s="2" t="s">
        <v>598</v>
      </c>
      <c r="B614" s="2" t="s">
        <v>26</v>
      </c>
      <c r="C614" s="3">
        <v>65</v>
      </c>
      <c r="D614" s="2" t="s">
        <v>64</v>
      </c>
      <c r="E614" s="2" t="s">
        <v>18</v>
      </c>
      <c r="F614" s="2" t="s">
        <v>19</v>
      </c>
      <c r="G614" t="s">
        <v>69</v>
      </c>
      <c r="H614" t="s">
        <v>599</v>
      </c>
      <c r="I614" s="4">
        <v>441.88</v>
      </c>
      <c r="J614" s="3">
        <v>3</v>
      </c>
      <c r="K614" s="1">
        <v>44929</v>
      </c>
      <c r="L614" s="1" t="str">
        <f>TEXT(Table1[[#This Row],[Purchase_Date]],"YYYY")</f>
        <v>2023</v>
      </c>
      <c r="M614" s="1" t="str">
        <f>TEXT(Table1[[#This Row],[Purchase_Date]],"MMM")</f>
        <v>Jan</v>
      </c>
      <c r="N614" s="1" t="str">
        <f>TEXT(Table1[[#This Row],[Purchase_Date]],"DD")</f>
        <v>03</v>
      </c>
      <c r="O614" s="2" t="s">
        <v>36</v>
      </c>
      <c r="P614" s="3">
        <v>1</v>
      </c>
      <c r="Q614" s="2" t="s">
        <v>23</v>
      </c>
      <c r="R614" s="2" t="s">
        <v>24</v>
      </c>
      <c r="S614">
        <f>Table1[[#This Row],[Purchase_Amount]]*Table1[[#This Row],[Quantity]]</f>
        <v>1325.6399999999999</v>
      </c>
      <c r="T614" t="str">
        <f>IF(Table1[[#This Row],[Age]]&lt;25,"&lt;25",IF(Table1[[#This Row],[Age]]&lt;=35,"25-35",IF(Table1[[#This Row],[Age]]&lt;=50,"36-50","50+")))</f>
        <v>50+</v>
      </c>
    </row>
    <row r="615" spans="1:20" x14ac:dyDescent="0.3">
      <c r="A615" s="2" t="s">
        <v>491</v>
      </c>
      <c r="B615" s="2" t="s">
        <v>26</v>
      </c>
      <c r="C615" s="3">
        <v>66</v>
      </c>
      <c r="D615" s="2" t="s">
        <v>43</v>
      </c>
      <c r="E615" s="2" t="s">
        <v>49</v>
      </c>
      <c r="F615" s="2" t="s">
        <v>19</v>
      </c>
      <c r="G615" t="s">
        <v>69</v>
      </c>
      <c r="H615" t="s">
        <v>171</v>
      </c>
      <c r="I615" s="4">
        <v>223.87</v>
      </c>
      <c r="J615" s="3">
        <v>2</v>
      </c>
      <c r="K615" s="1">
        <v>45232</v>
      </c>
      <c r="L615" s="1" t="str">
        <f>TEXT(Table1[[#This Row],[Purchase_Date]],"YYYY")</f>
        <v>2023</v>
      </c>
      <c r="M615" s="1" t="str">
        <f>TEXT(Table1[[#This Row],[Purchase_Date]],"MMM")</f>
        <v>Nov</v>
      </c>
      <c r="N615" s="1" t="str">
        <f>TEXT(Table1[[#This Row],[Purchase_Date]],"DD")</f>
        <v>02</v>
      </c>
      <c r="O615" s="2" t="s">
        <v>22</v>
      </c>
      <c r="P615" s="3">
        <v>1</v>
      </c>
      <c r="Q615" s="2" t="s">
        <v>46</v>
      </c>
      <c r="R615" s="2" t="s">
        <v>24</v>
      </c>
      <c r="S615">
        <f>Table1[[#This Row],[Purchase_Amount]]*Table1[[#This Row],[Quantity]]</f>
        <v>447.74</v>
      </c>
      <c r="T615" t="str">
        <f>IF(Table1[[#This Row],[Age]]&lt;25,"&lt;25",IF(Table1[[#This Row],[Age]]&lt;=35,"25-35",IF(Table1[[#This Row],[Age]]&lt;=50,"36-50","50+")))</f>
        <v>50+</v>
      </c>
    </row>
    <row r="616" spans="1:20" x14ac:dyDescent="0.3">
      <c r="A616" s="2" t="s">
        <v>427</v>
      </c>
      <c r="B616" s="2" t="s">
        <v>26</v>
      </c>
      <c r="C616" s="3">
        <v>68</v>
      </c>
      <c r="D616" s="2" t="s">
        <v>60</v>
      </c>
      <c r="E616" s="2" t="s">
        <v>49</v>
      </c>
      <c r="F616" s="2" t="s">
        <v>44</v>
      </c>
      <c r="G616" t="s">
        <v>69</v>
      </c>
      <c r="H616" t="s">
        <v>67</v>
      </c>
      <c r="I616" s="4">
        <v>203.5</v>
      </c>
      <c r="J616" s="3">
        <v>2</v>
      </c>
      <c r="K616" s="1">
        <v>45493</v>
      </c>
      <c r="L616" s="1" t="str">
        <f>TEXT(Table1[[#This Row],[Purchase_Date]],"YYYY")</f>
        <v>2024</v>
      </c>
      <c r="M616" s="1" t="str">
        <f>TEXT(Table1[[#This Row],[Purchase_Date]],"MMM")</f>
        <v>Jul</v>
      </c>
      <c r="N616" s="1" t="str">
        <f>TEXT(Table1[[#This Row],[Purchase_Date]],"DD")</f>
        <v>20</v>
      </c>
      <c r="O616" s="2" t="s">
        <v>22</v>
      </c>
      <c r="P616" s="3">
        <v>3</v>
      </c>
      <c r="Q616" s="2" t="s">
        <v>23</v>
      </c>
      <c r="R616" s="2" t="s">
        <v>24</v>
      </c>
      <c r="S616">
        <f>Table1[[#This Row],[Purchase_Amount]]*Table1[[#This Row],[Quantity]]</f>
        <v>407</v>
      </c>
      <c r="T616" t="str">
        <f>IF(Table1[[#This Row],[Age]]&lt;25,"&lt;25",IF(Table1[[#This Row],[Age]]&lt;=35,"25-35",IF(Table1[[#This Row],[Age]]&lt;=50,"36-50","50+")))</f>
        <v>50+</v>
      </c>
    </row>
    <row r="617" spans="1:20" x14ac:dyDescent="0.3">
      <c r="A617" s="2" t="s">
        <v>927</v>
      </c>
      <c r="B617" s="2" t="s">
        <v>26</v>
      </c>
      <c r="C617" s="3">
        <v>68</v>
      </c>
      <c r="D617" s="2" t="s">
        <v>43</v>
      </c>
      <c r="E617" s="2" t="s">
        <v>18</v>
      </c>
      <c r="F617" s="2" t="s">
        <v>27</v>
      </c>
      <c r="G617" t="s">
        <v>69</v>
      </c>
      <c r="H617" t="s">
        <v>125</v>
      </c>
      <c r="I617" s="4">
        <v>503.35</v>
      </c>
      <c r="J617" s="3">
        <v>3</v>
      </c>
      <c r="K617" s="1">
        <v>45366</v>
      </c>
      <c r="L617" s="1" t="str">
        <f>TEXT(Table1[[#This Row],[Purchase_Date]],"YYYY")</f>
        <v>2024</v>
      </c>
      <c r="M617" s="1" t="str">
        <f>TEXT(Table1[[#This Row],[Purchase_Date]],"MMM")</f>
        <v>Mar</v>
      </c>
      <c r="N617" s="1" t="str">
        <f>TEXT(Table1[[#This Row],[Purchase_Date]],"DD")</f>
        <v>15</v>
      </c>
      <c r="O617" s="2" t="s">
        <v>22</v>
      </c>
      <c r="P617" s="3">
        <v>9</v>
      </c>
      <c r="Q617" s="2" t="s">
        <v>23</v>
      </c>
      <c r="R617" s="2" t="s">
        <v>24</v>
      </c>
      <c r="S617">
        <f>Table1[[#This Row],[Purchase_Amount]]*Table1[[#This Row],[Quantity]]</f>
        <v>1510.0500000000002</v>
      </c>
      <c r="T617" t="str">
        <f>IF(Table1[[#This Row],[Age]]&lt;25,"&lt;25",IF(Table1[[#This Row],[Age]]&lt;=35,"25-35",IF(Table1[[#This Row],[Age]]&lt;=50,"36-50","50+")))</f>
        <v>50+</v>
      </c>
    </row>
    <row r="618" spans="1:20" x14ac:dyDescent="0.3">
      <c r="A618" s="2" t="s">
        <v>555</v>
      </c>
      <c r="B618" s="2" t="s">
        <v>26</v>
      </c>
      <c r="C618" s="3">
        <v>18</v>
      </c>
      <c r="D618" s="2" t="s">
        <v>17</v>
      </c>
      <c r="E618" s="2" t="s">
        <v>49</v>
      </c>
      <c r="F618" s="2" t="s">
        <v>27</v>
      </c>
      <c r="G618" t="s">
        <v>34</v>
      </c>
      <c r="H618" t="s">
        <v>364</v>
      </c>
      <c r="I618" s="4">
        <v>328.85</v>
      </c>
      <c r="J618" s="3">
        <v>4</v>
      </c>
      <c r="K618" s="1">
        <v>45283</v>
      </c>
      <c r="L618" s="1" t="str">
        <f>TEXT(Table1[[#This Row],[Purchase_Date]],"YYYY")</f>
        <v>2023</v>
      </c>
      <c r="M618" s="1" t="str">
        <f>TEXT(Table1[[#This Row],[Purchase_Date]],"MMM")</f>
        <v>Dec</v>
      </c>
      <c r="N618" s="1" t="str">
        <f>TEXT(Table1[[#This Row],[Purchase_Date]],"DD")</f>
        <v>23</v>
      </c>
      <c r="O618" s="2" t="s">
        <v>22</v>
      </c>
      <c r="P618" s="3">
        <v>7</v>
      </c>
      <c r="Q618" s="2" t="s">
        <v>46</v>
      </c>
      <c r="R618" s="2" t="s">
        <v>47</v>
      </c>
      <c r="S618">
        <f>Table1[[#This Row],[Purchase_Amount]]*Table1[[#This Row],[Quantity]]</f>
        <v>1315.4</v>
      </c>
      <c r="T618" t="str">
        <f>IF(Table1[[#This Row],[Age]]&lt;25,"&lt;25",IF(Table1[[#This Row],[Age]]&lt;=35,"25-35",IF(Table1[[#This Row],[Age]]&lt;=50,"36-50","50+")))</f>
        <v>&lt;25</v>
      </c>
    </row>
    <row r="619" spans="1:20" x14ac:dyDescent="0.3">
      <c r="A619" s="2" t="s">
        <v>742</v>
      </c>
      <c r="B619" s="2" t="s">
        <v>26</v>
      </c>
      <c r="C619" s="3">
        <v>18</v>
      </c>
      <c r="D619" s="2" t="s">
        <v>78</v>
      </c>
      <c r="E619" s="2" t="s">
        <v>49</v>
      </c>
      <c r="F619" s="2" t="s">
        <v>44</v>
      </c>
      <c r="G619" t="s">
        <v>34</v>
      </c>
      <c r="H619" t="s">
        <v>536</v>
      </c>
      <c r="I619" s="4">
        <v>679.85</v>
      </c>
      <c r="J619" s="3">
        <v>1</v>
      </c>
      <c r="K619" s="1">
        <v>45220</v>
      </c>
      <c r="L619" s="1" t="str">
        <f>TEXT(Table1[[#This Row],[Purchase_Date]],"YYYY")</f>
        <v>2023</v>
      </c>
      <c r="M619" s="1" t="str">
        <f>TEXT(Table1[[#This Row],[Purchase_Date]],"MMM")</f>
        <v>Oct</v>
      </c>
      <c r="N619" s="1" t="str">
        <f>TEXT(Table1[[#This Row],[Purchase_Date]],"DD")</f>
        <v>21</v>
      </c>
      <c r="O619" s="2" t="s">
        <v>41</v>
      </c>
      <c r="P619" s="3">
        <v>1</v>
      </c>
      <c r="Q619" s="2" t="s">
        <v>46</v>
      </c>
      <c r="R619" s="2" t="s">
        <v>47</v>
      </c>
      <c r="S619">
        <f>Table1[[#This Row],[Purchase_Amount]]*Table1[[#This Row],[Quantity]]</f>
        <v>679.85</v>
      </c>
      <c r="T619" t="str">
        <f>IF(Table1[[#This Row],[Age]]&lt;25,"&lt;25",IF(Table1[[#This Row],[Age]]&lt;=35,"25-35",IF(Table1[[#This Row],[Age]]&lt;=50,"36-50","50+")))</f>
        <v>&lt;25</v>
      </c>
    </row>
    <row r="620" spans="1:20" x14ac:dyDescent="0.3">
      <c r="A620" s="2" t="s">
        <v>533</v>
      </c>
      <c r="B620" s="2" t="s">
        <v>26</v>
      </c>
      <c r="C620" s="3">
        <v>18</v>
      </c>
      <c r="D620" s="2" t="s">
        <v>78</v>
      </c>
      <c r="E620" s="2" t="s">
        <v>49</v>
      </c>
      <c r="F620" s="2" t="s">
        <v>44</v>
      </c>
      <c r="G620" t="s">
        <v>34</v>
      </c>
      <c r="H620" t="s">
        <v>497</v>
      </c>
      <c r="I620" s="4">
        <v>817.59</v>
      </c>
      <c r="J620" s="3">
        <v>3</v>
      </c>
      <c r="K620" s="1">
        <v>45325</v>
      </c>
      <c r="L620" s="1" t="str">
        <f>TEXT(Table1[[#This Row],[Purchase_Date]],"YYYY")</f>
        <v>2024</v>
      </c>
      <c r="M620" s="1" t="str">
        <f>TEXT(Table1[[#This Row],[Purchase_Date]],"MMM")</f>
        <v>Feb</v>
      </c>
      <c r="N620" s="1" t="str">
        <f>TEXT(Table1[[#This Row],[Purchase_Date]],"DD")</f>
        <v>03</v>
      </c>
      <c r="O620" s="2" t="s">
        <v>41</v>
      </c>
      <c r="P620" s="3">
        <v>2</v>
      </c>
      <c r="Q620" s="2" t="s">
        <v>46</v>
      </c>
      <c r="R620" s="2" t="s">
        <v>24</v>
      </c>
      <c r="S620">
        <f>Table1[[#This Row],[Purchase_Amount]]*Table1[[#This Row],[Quantity]]</f>
        <v>2452.77</v>
      </c>
      <c r="T620" t="str">
        <f>IF(Table1[[#This Row],[Age]]&lt;25,"&lt;25",IF(Table1[[#This Row],[Age]]&lt;=35,"25-35",IF(Table1[[#This Row],[Age]]&lt;=50,"36-50","50+")))</f>
        <v>&lt;25</v>
      </c>
    </row>
    <row r="621" spans="1:20" x14ac:dyDescent="0.3">
      <c r="A621" s="2" t="s">
        <v>150</v>
      </c>
      <c r="B621" s="2" t="s">
        <v>26</v>
      </c>
      <c r="C621" s="3">
        <v>19</v>
      </c>
      <c r="D621" s="2" t="s">
        <v>38</v>
      </c>
      <c r="E621" s="2" t="s">
        <v>49</v>
      </c>
      <c r="F621" s="2" t="s">
        <v>27</v>
      </c>
      <c r="G621" t="s">
        <v>34</v>
      </c>
      <c r="H621" t="s">
        <v>151</v>
      </c>
      <c r="I621" s="4">
        <v>176.14</v>
      </c>
      <c r="J621" s="3">
        <v>1</v>
      </c>
      <c r="K621" s="1">
        <v>45071</v>
      </c>
      <c r="L621" s="1" t="str">
        <f>TEXT(Table1[[#This Row],[Purchase_Date]],"YYYY")</f>
        <v>2023</v>
      </c>
      <c r="M621" s="1" t="str">
        <f>TEXT(Table1[[#This Row],[Purchase_Date]],"MMM")</f>
        <v>May</v>
      </c>
      <c r="N621" s="1" t="str">
        <f>TEXT(Table1[[#This Row],[Purchase_Date]],"DD")</f>
        <v>25</v>
      </c>
      <c r="O621" s="2" t="s">
        <v>41</v>
      </c>
      <c r="P621" s="3">
        <v>10</v>
      </c>
      <c r="Q621" s="2" t="s">
        <v>23</v>
      </c>
      <c r="R621" s="2" t="s">
        <v>47</v>
      </c>
      <c r="S621">
        <f>Table1[[#This Row],[Purchase_Amount]]*Table1[[#This Row],[Quantity]]</f>
        <v>176.14</v>
      </c>
      <c r="T621" t="str">
        <f>IF(Table1[[#This Row],[Age]]&lt;25,"&lt;25",IF(Table1[[#This Row],[Age]]&lt;=35,"25-35",IF(Table1[[#This Row],[Age]]&lt;=50,"36-50","50+")))</f>
        <v>&lt;25</v>
      </c>
    </row>
    <row r="622" spans="1:20" x14ac:dyDescent="0.3">
      <c r="A622" s="2" t="s">
        <v>737</v>
      </c>
      <c r="B622" s="2" t="s">
        <v>26</v>
      </c>
      <c r="C622" s="3">
        <v>19</v>
      </c>
      <c r="D622" s="2" t="s">
        <v>78</v>
      </c>
      <c r="E622" s="2" t="s">
        <v>33</v>
      </c>
      <c r="F622" s="2" t="s">
        <v>27</v>
      </c>
      <c r="G622" t="s">
        <v>34</v>
      </c>
      <c r="H622" t="s">
        <v>164</v>
      </c>
      <c r="I622" s="4">
        <v>831.27</v>
      </c>
      <c r="J622" s="3">
        <v>1</v>
      </c>
      <c r="K622" s="1">
        <v>45588</v>
      </c>
      <c r="L622" s="1" t="str">
        <f>TEXT(Table1[[#This Row],[Purchase_Date]],"YYYY")</f>
        <v>2024</v>
      </c>
      <c r="M622" s="1" t="str">
        <f>TEXT(Table1[[#This Row],[Purchase_Date]],"MMM")</f>
        <v>Oct</v>
      </c>
      <c r="N622" s="1" t="str">
        <f>TEXT(Table1[[#This Row],[Purchase_Date]],"DD")</f>
        <v>23</v>
      </c>
      <c r="O622" s="2" t="s">
        <v>30</v>
      </c>
      <c r="P622" s="3">
        <v>2</v>
      </c>
      <c r="Q622" s="2" t="s">
        <v>23</v>
      </c>
      <c r="R622" s="2" t="s">
        <v>47</v>
      </c>
      <c r="S622">
        <f>Table1[[#This Row],[Purchase_Amount]]*Table1[[#This Row],[Quantity]]</f>
        <v>831.27</v>
      </c>
      <c r="T622" t="str">
        <f>IF(Table1[[#This Row],[Age]]&lt;25,"&lt;25",IF(Table1[[#This Row],[Age]]&lt;=35,"25-35",IF(Table1[[#This Row],[Age]]&lt;=50,"36-50","50+")))</f>
        <v>&lt;25</v>
      </c>
    </row>
    <row r="623" spans="1:20" x14ac:dyDescent="0.3">
      <c r="A623" s="2" t="s">
        <v>643</v>
      </c>
      <c r="B623" s="2" t="s">
        <v>26</v>
      </c>
      <c r="C623" s="3">
        <v>19</v>
      </c>
      <c r="D623" s="2" t="s">
        <v>17</v>
      </c>
      <c r="E623" s="2" t="s">
        <v>33</v>
      </c>
      <c r="F623" s="2" t="s">
        <v>19</v>
      </c>
      <c r="G623" t="s">
        <v>34</v>
      </c>
      <c r="H623" t="s">
        <v>289</v>
      </c>
      <c r="I623" s="4">
        <v>845.55</v>
      </c>
      <c r="J623" s="3">
        <v>5</v>
      </c>
      <c r="K623" s="1">
        <v>45364</v>
      </c>
      <c r="L623" s="1" t="str">
        <f>TEXT(Table1[[#This Row],[Purchase_Date]],"YYYY")</f>
        <v>2024</v>
      </c>
      <c r="M623" s="1" t="str">
        <f>TEXT(Table1[[#This Row],[Purchase_Date]],"MMM")</f>
        <v>Mar</v>
      </c>
      <c r="N623" s="1" t="str">
        <f>TEXT(Table1[[#This Row],[Purchase_Date]],"DD")</f>
        <v>13</v>
      </c>
      <c r="O623" s="2" t="s">
        <v>22</v>
      </c>
      <c r="P623" s="3">
        <v>2</v>
      </c>
      <c r="Q623" s="2" t="s">
        <v>46</v>
      </c>
      <c r="R623" s="2" t="s">
        <v>47</v>
      </c>
      <c r="S623">
        <f>Table1[[#This Row],[Purchase_Amount]]*Table1[[#This Row],[Quantity]]</f>
        <v>4227.75</v>
      </c>
      <c r="T623" t="str">
        <f>IF(Table1[[#This Row],[Age]]&lt;25,"&lt;25",IF(Table1[[#This Row],[Age]]&lt;=35,"25-35",IF(Table1[[#This Row],[Age]]&lt;=50,"36-50","50+")))</f>
        <v>&lt;25</v>
      </c>
    </row>
    <row r="624" spans="1:20" x14ac:dyDescent="0.3">
      <c r="A624" s="2" t="s">
        <v>344</v>
      </c>
      <c r="B624" s="2" t="s">
        <v>26</v>
      </c>
      <c r="C624" s="3">
        <v>19</v>
      </c>
      <c r="D624" s="2" t="s">
        <v>60</v>
      </c>
      <c r="E624" s="2" t="s">
        <v>49</v>
      </c>
      <c r="F624" s="2" t="s">
        <v>27</v>
      </c>
      <c r="G624" t="s">
        <v>34</v>
      </c>
      <c r="H624" t="s">
        <v>345</v>
      </c>
      <c r="I624" s="4">
        <v>981.45</v>
      </c>
      <c r="J624" s="3">
        <v>4</v>
      </c>
      <c r="K624" s="1">
        <v>45103</v>
      </c>
      <c r="L624" s="1" t="str">
        <f>TEXT(Table1[[#This Row],[Purchase_Date]],"YYYY")</f>
        <v>2023</v>
      </c>
      <c r="M624" s="1" t="str">
        <f>TEXT(Table1[[#This Row],[Purchase_Date]],"MMM")</f>
        <v>Jun</v>
      </c>
      <c r="N624" s="1" t="str">
        <f>TEXT(Table1[[#This Row],[Purchase_Date]],"DD")</f>
        <v>26</v>
      </c>
      <c r="O624" s="2" t="s">
        <v>36</v>
      </c>
      <c r="P624" s="3">
        <v>4</v>
      </c>
      <c r="Q624" s="2" t="s">
        <v>46</v>
      </c>
      <c r="R624" s="2" t="s">
        <v>47</v>
      </c>
      <c r="S624">
        <f>Table1[[#This Row],[Purchase_Amount]]*Table1[[#This Row],[Quantity]]</f>
        <v>3925.8</v>
      </c>
      <c r="T624" t="str">
        <f>IF(Table1[[#This Row],[Age]]&lt;25,"&lt;25",IF(Table1[[#This Row],[Age]]&lt;=35,"25-35",IF(Table1[[#This Row],[Age]]&lt;=50,"36-50","50+")))</f>
        <v>&lt;25</v>
      </c>
    </row>
    <row r="625" spans="1:20" x14ac:dyDescent="0.3">
      <c r="A625" s="2" t="s">
        <v>973</v>
      </c>
      <c r="B625" s="2" t="s">
        <v>26</v>
      </c>
      <c r="C625" s="3">
        <v>20</v>
      </c>
      <c r="D625" s="2" t="s">
        <v>64</v>
      </c>
      <c r="E625" s="2" t="s">
        <v>49</v>
      </c>
      <c r="F625" s="2" t="s">
        <v>19</v>
      </c>
      <c r="G625" t="s">
        <v>34</v>
      </c>
      <c r="H625" t="s">
        <v>326</v>
      </c>
      <c r="I625" s="4">
        <v>255.16</v>
      </c>
      <c r="J625" s="3">
        <v>2</v>
      </c>
      <c r="K625" s="1">
        <v>44965</v>
      </c>
      <c r="L625" s="1" t="str">
        <f>TEXT(Table1[[#This Row],[Purchase_Date]],"YYYY")</f>
        <v>2023</v>
      </c>
      <c r="M625" s="1" t="str">
        <f>TEXT(Table1[[#This Row],[Purchase_Date]],"MMM")</f>
        <v>Feb</v>
      </c>
      <c r="N625" s="1" t="str">
        <f>TEXT(Table1[[#This Row],[Purchase_Date]],"DD")</f>
        <v>08</v>
      </c>
      <c r="O625" s="2" t="s">
        <v>41</v>
      </c>
      <c r="P625" s="3">
        <v>3</v>
      </c>
      <c r="Q625" s="2" t="s">
        <v>23</v>
      </c>
      <c r="R625" s="2" t="s">
        <v>24</v>
      </c>
      <c r="S625">
        <f>Table1[[#This Row],[Purchase_Amount]]*Table1[[#This Row],[Quantity]]</f>
        <v>510.32</v>
      </c>
      <c r="T625" t="str">
        <f>IF(Table1[[#This Row],[Age]]&lt;25,"&lt;25",IF(Table1[[#This Row],[Age]]&lt;=35,"25-35",IF(Table1[[#This Row],[Age]]&lt;=50,"36-50","50+")))</f>
        <v>&lt;25</v>
      </c>
    </row>
    <row r="626" spans="1:20" x14ac:dyDescent="0.3">
      <c r="A626" s="2" t="s">
        <v>1160</v>
      </c>
      <c r="B626" s="2" t="s">
        <v>26</v>
      </c>
      <c r="C626" s="3">
        <v>20</v>
      </c>
      <c r="D626" s="2" t="s">
        <v>64</v>
      </c>
      <c r="E626" s="2" t="s">
        <v>33</v>
      </c>
      <c r="F626" s="2" t="s">
        <v>27</v>
      </c>
      <c r="G626" t="s">
        <v>34</v>
      </c>
      <c r="H626" t="s">
        <v>223</v>
      </c>
      <c r="I626" s="4">
        <v>432.63</v>
      </c>
      <c r="J626" s="3">
        <v>1</v>
      </c>
      <c r="K626" s="1">
        <v>45110</v>
      </c>
      <c r="L626" s="1" t="str">
        <f>TEXT(Table1[[#This Row],[Purchase_Date]],"YYYY")</f>
        <v>2023</v>
      </c>
      <c r="M626" s="1" t="str">
        <f>TEXT(Table1[[#This Row],[Purchase_Date]],"MMM")</f>
        <v>Jul</v>
      </c>
      <c r="N626" s="1" t="str">
        <f>TEXT(Table1[[#This Row],[Purchase_Date]],"DD")</f>
        <v>03</v>
      </c>
      <c r="O626" s="2" t="s">
        <v>30</v>
      </c>
      <c r="P626" s="3">
        <v>3</v>
      </c>
      <c r="Q626" s="2" t="s">
        <v>23</v>
      </c>
      <c r="R626" s="2" t="s">
        <v>24</v>
      </c>
      <c r="S626">
        <f>Table1[[#This Row],[Purchase_Amount]]*Table1[[#This Row],[Quantity]]</f>
        <v>432.63</v>
      </c>
      <c r="T626" t="str">
        <f>IF(Table1[[#This Row],[Age]]&lt;25,"&lt;25",IF(Table1[[#This Row],[Age]]&lt;=35,"25-35",IF(Table1[[#This Row],[Age]]&lt;=50,"36-50","50+")))</f>
        <v>&lt;25</v>
      </c>
    </row>
    <row r="627" spans="1:20" x14ac:dyDescent="0.3">
      <c r="A627" s="2" t="s">
        <v>1147</v>
      </c>
      <c r="B627" s="2" t="s">
        <v>26</v>
      </c>
      <c r="C627" s="3">
        <v>20</v>
      </c>
      <c r="D627" s="2" t="s">
        <v>78</v>
      </c>
      <c r="E627" s="2" t="s">
        <v>33</v>
      </c>
      <c r="F627" s="2" t="s">
        <v>27</v>
      </c>
      <c r="G627" t="s">
        <v>34</v>
      </c>
      <c r="H627" t="s">
        <v>147</v>
      </c>
      <c r="I627" s="4">
        <v>649.85</v>
      </c>
      <c r="J627" s="3">
        <v>4</v>
      </c>
      <c r="K627" s="1">
        <v>45134</v>
      </c>
      <c r="L627" s="1" t="str">
        <f>TEXT(Table1[[#This Row],[Purchase_Date]],"YYYY")</f>
        <v>2023</v>
      </c>
      <c r="M627" s="1" t="str">
        <f>TEXT(Table1[[#This Row],[Purchase_Date]],"MMM")</f>
        <v>Jul</v>
      </c>
      <c r="N627" s="1" t="str">
        <f>TEXT(Table1[[#This Row],[Purchase_Date]],"DD")</f>
        <v>27</v>
      </c>
      <c r="O627" s="2" t="s">
        <v>41</v>
      </c>
      <c r="P627" s="3">
        <v>7</v>
      </c>
      <c r="Q627" s="2" t="s">
        <v>46</v>
      </c>
      <c r="R627" s="2" t="s">
        <v>24</v>
      </c>
      <c r="S627">
        <f>Table1[[#This Row],[Purchase_Amount]]*Table1[[#This Row],[Quantity]]</f>
        <v>2599.4</v>
      </c>
      <c r="T627" t="str">
        <f>IF(Table1[[#This Row],[Age]]&lt;25,"&lt;25",IF(Table1[[#This Row],[Age]]&lt;=35,"25-35",IF(Table1[[#This Row],[Age]]&lt;=50,"36-50","50+")))</f>
        <v>&lt;25</v>
      </c>
    </row>
    <row r="628" spans="1:20" x14ac:dyDescent="0.3">
      <c r="A628" s="2" t="s">
        <v>538</v>
      </c>
      <c r="B628" s="2" t="s">
        <v>26</v>
      </c>
      <c r="C628" s="3">
        <v>20</v>
      </c>
      <c r="D628" s="2" t="s">
        <v>78</v>
      </c>
      <c r="E628" s="2" t="s">
        <v>33</v>
      </c>
      <c r="F628" s="2" t="s">
        <v>19</v>
      </c>
      <c r="G628" t="s">
        <v>34</v>
      </c>
      <c r="H628" t="s">
        <v>99</v>
      </c>
      <c r="I628" s="4">
        <v>856</v>
      </c>
      <c r="J628" s="3">
        <v>2</v>
      </c>
      <c r="K628" s="1">
        <v>45506</v>
      </c>
      <c r="L628" s="1" t="str">
        <f>TEXT(Table1[[#This Row],[Purchase_Date]],"YYYY")</f>
        <v>2024</v>
      </c>
      <c r="M628" s="1" t="str">
        <f>TEXT(Table1[[#This Row],[Purchase_Date]],"MMM")</f>
        <v>Aug</v>
      </c>
      <c r="N628" s="1" t="str">
        <f>TEXT(Table1[[#This Row],[Purchase_Date]],"DD")</f>
        <v>02</v>
      </c>
      <c r="O628" s="2" t="s">
        <v>36</v>
      </c>
      <c r="P628" s="3">
        <v>9</v>
      </c>
      <c r="Q628" s="2" t="s">
        <v>23</v>
      </c>
      <c r="R628" s="2" t="s">
        <v>24</v>
      </c>
      <c r="S628">
        <f>Table1[[#This Row],[Purchase_Amount]]*Table1[[#This Row],[Quantity]]</f>
        <v>1712</v>
      </c>
      <c r="T628" t="str">
        <f>IF(Table1[[#This Row],[Age]]&lt;25,"&lt;25",IF(Table1[[#This Row],[Age]]&lt;=35,"25-35",IF(Table1[[#This Row],[Age]]&lt;=50,"36-50","50+")))</f>
        <v>&lt;25</v>
      </c>
    </row>
    <row r="629" spans="1:20" x14ac:dyDescent="0.3">
      <c r="A629" s="2" t="s">
        <v>340</v>
      </c>
      <c r="B629" s="2" t="s">
        <v>26</v>
      </c>
      <c r="C629" s="3">
        <v>21</v>
      </c>
      <c r="D629" s="2" t="s">
        <v>64</v>
      </c>
      <c r="E629" s="2" t="s">
        <v>33</v>
      </c>
      <c r="F629" s="2" t="s">
        <v>19</v>
      </c>
      <c r="G629" t="s">
        <v>34</v>
      </c>
      <c r="H629" t="s">
        <v>307</v>
      </c>
      <c r="I629" s="4">
        <v>149.79</v>
      </c>
      <c r="J629" s="3">
        <v>1</v>
      </c>
      <c r="K629" s="1">
        <v>45229</v>
      </c>
      <c r="L629" s="1" t="str">
        <f>TEXT(Table1[[#This Row],[Purchase_Date]],"YYYY")</f>
        <v>2023</v>
      </c>
      <c r="M629" s="1" t="str">
        <f>TEXT(Table1[[#This Row],[Purchase_Date]],"MMM")</f>
        <v>Oct</v>
      </c>
      <c r="N629" s="1" t="str">
        <f>TEXT(Table1[[#This Row],[Purchase_Date]],"DD")</f>
        <v>30</v>
      </c>
      <c r="O629" s="2" t="s">
        <v>22</v>
      </c>
      <c r="P629" s="3">
        <v>3</v>
      </c>
      <c r="Q629" s="2" t="s">
        <v>23</v>
      </c>
      <c r="R629" s="2" t="s">
        <v>47</v>
      </c>
      <c r="S629">
        <f>Table1[[#This Row],[Purchase_Amount]]*Table1[[#This Row],[Quantity]]</f>
        <v>149.79</v>
      </c>
      <c r="T629" t="str">
        <f>IF(Table1[[#This Row],[Age]]&lt;25,"&lt;25",IF(Table1[[#This Row],[Age]]&lt;=35,"25-35",IF(Table1[[#This Row],[Age]]&lt;=50,"36-50","50+")))</f>
        <v>&lt;25</v>
      </c>
    </row>
    <row r="630" spans="1:20" x14ac:dyDescent="0.3">
      <c r="A630" s="2" t="s">
        <v>144</v>
      </c>
      <c r="B630" s="2" t="s">
        <v>26</v>
      </c>
      <c r="C630" s="3">
        <v>22</v>
      </c>
      <c r="D630" s="2" t="s">
        <v>109</v>
      </c>
      <c r="E630" s="2" t="s">
        <v>33</v>
      </c>
      <c r="F630" s="2" t="s">
        <v>27</v>
      </c>
      <c r="G630" t="s">
        <v>34</v>
      </c>
      <c r="H630" t="s">
        <v>50</v>
      </c>
      <c r="I630" s="4">
        <v>10.220000000000001</v>
      </c>
      <c r="J630" s="3">
        <v>5</v>
      </c>
      <c r="K630" s="1">
        <v>45533</v>
      </c>
      <c r="L630" s="1" t="str">
        <f>TEXT(Table1[[#This Row],[Purchase_Date]],"YYYY")</f>
        <v>2024</v>
      </c>
      <c r="M630" s="1" t="str">
        <f>TEXT(Table1[[#This Row],[Purchase_Date]],"MMM")</f>
        <v>Aug</v>
      </c>
      <c r="N630" s="1" t="str">
        <f>TEXT(Table1[[#This Row],[Purchase_Date]],"DD")</f>
        <v>29</v>
      </c>
      <c r="O630" s="2" t="s">
        <v>41</v>
      </c>
      <c r="P630" s="3">
        <v>4</v>
      </c>
      <c r="Q630" s="2" t="s">
        <v>46</v>
      </c>
      <c r="R630" s="2" t="s">
        <v>24</v>
      </c>
      <c r="S630">
        <f>Table1[[#This Row],[Purchase_Amount]]*Table1[[#This Row],[Quantity]]</f>
        <v>51.1</v>
      </c>
      <c r="T630" t="str">
        <f>IF(Table1[[#This Row],[Age]]&lt;25,"&lt;25",IF(Table1[[#This Row],[Age]]&lt;=35,"25-35",IF(Table1[[#This Row],[Age]]&lt;=50,"36-50","50+")))</f>
        <v>&lt;25</v>
      </c>
    </row>
    <row r="631" spans="1:20" x14ac:dyDescent="0.3">
      <c r="A631" s="2" t="s">
        <v>315</v>
      </c>
      <c r="B631" s="2" t="s">
        <v>26</v>
      </c>
      <c r="C631" s="3">
        <v>22</v>
      </c>
      <c r="D631" s="2" t="s">
        <v>109</v>
      </c>
      <c r="E631" s="2" t="s">
        <v>33</v>
      </c>
      <c r="F631" s="2" t="s">
        <v>27</v>
      </c>
      <c r="G631" t="s">
        <v>34</v>
      </c>
      <c r="H631" t="s">
        <v>255</v>
      </c>
      <c r="I631" s="4">
        <v>798.48</v>
      </c>
      <c r="J631" s="3">
        <v>2</v>
      </c>
      <c r="K631" s="1">
        <v>45051</v>
      </c>
      <c r="L631" s="1" t="str">
        <f>TEXT(Table1[[#This Row],[Purchase_Date]],"YYYY")</f>
        <v>2023</v>
      </c>
      <c r="M631" s="1" t="str">
        <f>TEXT(Table1[[#This Row],[Purchase_Date]],"MMM")</f>
        <v>May</v>
      </c>
      <c r="N631" s="1" t="str">
        <f>TEXT(Table1[[#This Row],[Purchase_Date]],"DD")</f>
        <v>05</v>
      </c>
      <c r="O631" s="2" t="s">
        <v>36</v>
      </c>
      <c r="P631" s="3">
        <v>7</v>
      </c>
      <c r="Q631" s="2" t="s">
        <v>46</v>
      </c>
      <c r="R631" s="2" t="s">
        <v>24</v>
      </c>
      <c r="S631">
        <f>Table1[[#This Row],[Purchase_Amount]]*Table1[[#This Row],[Quantity]]</f>
        <v>1596.96</v>
      </c>
      <c r="T631" t="str">
        <f>IF(Table1[[#This Row],[Age]]&lt;25,"&lt;25",IF(Table1[[#This Row],[Age]]&lt;=35,"25-35",IF(Table1[[#This Row],[Age]]&lt;=50,"36-50","50+")))</f>
        <v>&lt;25</v>
      </c>
    </row>
    <row r="632" spans="1:20" x14ac:dyDescent="0.3">
      <c r="A632" s="2" t="s">
        <v>993</v>
      </c>
      <c r="B632" s="2" t="s">
        <v>26</v>
      </c>
      <c r="C632" s="3">
        <v>23</v>
      </c>
      <c r="D632" s="2" t="s">
        <v>38</v>
      </c>
      <c r="E632" s="2" t="s">
        <v>49</v>
      </c>
      <c r="F632" s="2" t="s">
        <v>44</v>
      </c>
      <c r="G632" t="s">
        <v>34</v>
      </c>
      <c r="H632" t="s">
        <v>119</v>
      </c>
      <c r="I632" s="4">
        <v>417</v>
      </c>
      <c r="J632" s="3">
        <v>4</v>
      </c>
      <c r="K632" s="1">
        <v>45456</v>
      </c>
      <c r="L632" s="1" t="str">
        <f>TEXT(Table1[[#This Row],[Purchase_Date]],"YYYY")</f>
        <v>2024</v>
      </c>
      <c r="M632" s="1" t="str">
        <f>TEXT(Table1[[#This Row],[Purchase_Date]],"MMM")</f>
        <v>Jun</v>
      </c>
      <c r="N632" s="1" t="str">
        <f>TEXT(Table1[[#This Row],[Purchase_Date]],"DD")</f>
        <v>13</v>
      </c>
      <c r="O632" s="2" t="s">
        <v>22</v>
      </c>
      <c r="P632" s="3">
        <v>7</v>
      </c>
      <c r="Q632" s="2" t="s">
        <v>23</v>
      </c>
      <c r="R632" s="2" t="s">
        <v>47</v>
      </c>
      <c r="S632">
        <f>Table1[[#This Row],[Purchase_Amount]]*Table1[[#This Row],[Quantity]]</f>
        <v>1668</v>
      </c>
      <c r="T632" t="str">
        <f>IF(Table1[[#This Row],[Age]]&lt;25,"&lt;25",IF(Table1[[#This Row],[Age]]&lt;=35,"25-35",IF(Table1[[#This Row],[Age]]&lt;=50,"36-50","50+")))</f>
        <v>&lt;25</v>
      </c>
    </row>
    <row r="633" spans="1:20" x14ac:dyDescent="0.3">
      <c r="A633" s="2" t="s">
        <v>799</v>
      </c>
      <c r="B633" s="2" t="s">
        <v>26</v>
      </c>
      <c r="C633" s="3">
        <v>24</v>
      </c>
      <c r="D633" s="2" t="s">
        <v>78</v>
      </c>
      <c r="E633" s="2" t="s">
        <v>18</v>
      </c>
      <c r="F633" s="2" t="s">
        <v>27</v>
      </c>
      <c r="G633" t="s">
        <v>34</v>
      </c>
      <c r="H633" t="s">
        <v>136</v>
      </c>
      <c r="I633" s="4">
        <v>48.02</v>
      </c>
      <c r="J633" s="3">
        <v>1</v>
      </c>
      <c r="K633" s="1">
        <v>45536</v>
      </c>
      <c r="L633" s="1" t="str">
        <f>TEXT(Table1[[#This Row],[Purchase_Date]],"YYYY")</f>
        <v>2024</v>
      </c>
      <c r="M633" s="1" t="str">
        <f>TEXT(Table1[[#This Row],[Purchase_Date]],"MMM")</f>
        <v>Sep</v>
      </c>
      <c r="N633" s="1" t="str">
        <f>TEXT(Table1[[#This Row],[Purchase_Date]],"DD")</f>
        <v>01</v>
      </c>
      <c r="O633" s="2" t="s">
        <v>22</v>
      </c>
      <c r="P633" s="3">
        <v>7</v>
      </c>
      <c r="Q633" s="2" t="s">
        <v>23</v>
      </c>
      <c r="R633" s="2" t="s">
        <v>47</v>
      </c>
      <c r="S633">
        <f>Table1[[#This Row],[Purchase_Amount]]*Table1[[#This Row],[Quantity]]</f>
        <v>48.02</v>
      </c>
      <c r="T633" t="str">
        <f>IF(Table1[[#This Row],[Age]]&lt;25,"&lt;25",IF(Table1[[#This Row],[Age]]&lt;=35,"25-35",IF(Table1[[#This Row],[Age]]&lt;=50,"36-50","50+")))</f>
        <v>&lt;25</v>
      </c>
    </row>
    <row r="634" spans="1:20" x14ac:dyDescent="0.3">
      <c r="A634" s="2" t="s">
        <v>593</v>
      </c>
      <c r="B634" s="2" t="s">
        <v>26</v>
      </c>
      <c r="C634" s="3">
        <v>24</v>
      </c>
      <c r="D634" s="2" t="s">
        <v>43</v>
      </c>
      <c r="E634" s="2" t="s">
        <v>49</v>
      </c>
      <c r="F634" s="2" t="s">
        <v>27</v>
      </c>
      <c r="G634" t="s">
        <v>34</v>
      </c>
      <c r="H634" t="s">
        <v>105</v>
      </c>
      <c r="I634" s="4">
        <v>524.12</v>
      </c>
      <c r="J634" s="3">
        <v>1</v>
      </c>
      <c r="K634" s="1">
        <v>45408</v>
      </c>
      <c r="L634" s="1" t="str">
        <f>TEXT(Table1[[#This Row],[Purchase_Date]],"YYYY")</f>
        <v>2024</v>
      </c>
      <c r="M634" s="1" t="str">
        <f>TEXT(Table1[[#This Row],[Purchase_Date]],"MMM")</f>
        <v>Apr</v>
      </c>
      <c r="N634" s="1" t="str">
        <f>TEXT(Table1[[#This Row],[Purchase_Date]],"DD")</f>
        <v>26</v>
      </c>
      <c r="O634" s="2" t="s">
        <v>22</v>
      </c>
      <c r="P634" s="3">
        <v>10</v>
      </c>
      <c r="Q634" s="2" t="s">
        <v>46</v>
      </c>
      <c r="R634" s="2" t="s">
        <v>24</v>
      </c>
      <c r="S634">
        <f>Table1[[#This Row],[Purchase_Amount]]*Table1[[#This Row],[Quantity]]</f>
        <v>524.12</v>
      </c>
      <c r="T634" t="str">
        <f>IF(Table1[[#This Row],[Age]]&lt;25,"&lt;25",IF(Table1[[#This Row],[Age]]&lt;=35,"25-35",IF(Table1[[#This Row],[Age]]&lt;=50,"36-50","50+")))</f>
        <v>&lt;25</v>
      </c>
    </row>
    <row r="635" spans="1:20" x14ac:dyDescent="0.3">
      <c r="A635" s="2" t="s">
        <v>462</v>
      </c>
      <c r="B635" s="2" t="s">
        <v>26</v>
      </c>
      <c r="C635" s="3">
        <v>24</v>
      </c>
      <c r="D635" s="2" t="s">
        <v>109</v>
      </c>
      <c r="E635" s="2" t="s">
        <v>49</v>
      </c>
      <c r="F635" s="2" t="s">
        <v>27</v>
      </c>
      <c r="G635" t="s">
        <v>34</v>
      </c>
      <c r="H635" t="s">
        <v>215</v>
      </c>
      <c r="I635" s="4">
        <v>849.99</v>
      </c>
      <c r="J635" s="3">
        <v>5</v>
      </c>
      <c r="K635" s="1">
        <v>45438</v>
      </c>
      <c r="L635" s="1" t="str">
        <f>TEXT(Table1[[#This Row],[Purchase_Date]],"YYYY")</f>
        <v>2024</v>
      </c>
      <c r="M635" s="1" t="str">
        <f>TEXT(Table1[[#This Row],[Purchase_Date]],"MMM")</f>
        <v>May</v>
      </c>
      <c r="N635" s="1" t="str">
        <f>TEXT(Table1[[#This Row],[Purchase_Date]],"DD")</f>
        <v>26</v>
      </c>
      <c r="O635" s="2" t="s">
        <v>41</v>
      </c>
      <c r="P635" s="3">
        <v>10</v>
      </c>
      <c r="Q635" s="2" t="s">
        <v>23</v>
      </c>
      <c r="R635" s="2" t="s">
        <v>24</v>
      </c>
      <c r="S635">
        <f>Table1[[#This Row],[Purchase_Amount]]*Table1[[#This Row],[Quantity]]</f>
        <v>4249.95</v>
      </c>
      <c r="T635" t="str">
        <f>IF(Table1[[#This Row],[Age]]&lt;25,"&lt;25",IF(Table1[[#This Row],[Age]]&lt;=35,"25-35",IF(Table1[[#This Row],[Age]]&lt;=50,"36-50","50+")))</f>
        <v>&lt;25</v>
      </c>
    </row>
    <row r="636" spans="1:20" x14ac:dyDescent="0.3">
      <c r="A636" s="2" t="s">
        <v>492</v>
      </c>
      <c r="B636" s="2" t="s">
        <v>26</v>
      </c>
      <c r="C636" s="3">
        <v>24</v>
      </c>
      <c r="D636" s="2" t="s">
        <v>78</v>
      </c>
      <c r="E636" s="2" t="s">
        <v>33</v>
      </c>
      <c r="F636" s="2" t="s">
        <v>44</v>
      </c>
      <c r="G636" t="s">
        <v>34</v>
      </c>
      <c r="H636" t="s">
        <v>493</v>
      </c>
      <c r="I636" s="4">
        <v>967.6</v>
      </c>
      <c r="J636" s="3">
        <v>2</v>
      </c>
      <c r="K636" s="1">
        <v>45497</v>
      </c>
      <c r="L636" s="1" t="str">
        <f>TEXT(Table1[[#This Row],[Purchase_Date]],"YYYY")</f>
        <v>2024</v>
      </c>
      <c r="M636" s="1" t="str">
        <f>TEXT(Table1[[#This Row],[Purchase_Date]],"MMM")</f>
        <v>Jul</v>
      </c>
      <c r="N636" s="1" t="str">
        <f>TEXT(Table1[[#This Row],[Purchase_Date]],"DD")</f>
        <v>24</v>
      </c>
      <c r="O636" s="2" t="s">
        <v>22</v>
      </c>
      <c r="P636" s="3">
        <v>9</v>
      </c>
      <c r="Q636" s="2" t="s">
        <v>23</v>
      </c>
      <c r="R636" s="2" t="s">
        <v>24</v>
      </c>
      <c r="S636">
        <f>Table1[[#This Row],[Purchase_Amount]]*Table1[[#This Row],[Quantity]]</f>
        <v>1935.2</v>
      </c>
      <c r="T636" t="str">
        <f>IF(Table1[[#This Row],[Age]]&lt;25,"&lt;25",IF(Table1[[#This Row],[Age]]&lt;=35,"25-35",IF(Table1[[#This Row],[Age]]&lt;=50,"36-50","50+")))</f>
        <v>&lt;25</v>
      </c>
    </row>
    <row r="637" spans="1:20" x14ac:dyDescent="0.3">
      <c r="A637" s="2" t="s">
        <v>1230</v>
      </c>
      <c r="B637" s="2" t="s">
        <v>26</v>
      </c>
      <c r="C637" s="3">
        <v>28</v>
      </c>
      <c r="D637" s="2" t="s">
        <v>17</v>
      </c>
      <c r="E637" s="2" t="s">
        <v>49</v>
      </c>
      <c r="F637" s="2" t="s">
        <v>27</v>
      </c>
      <c r="G637" t="s">
        <v>34</v>
      </c>
      <c r="H637" t="s">
        <v>366</v>
      </c>
      <c r="I637" s="4">
        <v>679.43</v>
      </c>
      <c r="J637" s="3">
        <v>3</v>
      </c>
      <c r="K637" s="1">
        <v>45456</v>
      </c>
      <c r="L637" s="1" t="str">
        <f>TEXT(Table1[[#This Row],[Purchase_Date]],"YYYY")</f>
        <v>2024</v>
      </c>
      <c r="M637" s="1" t="str">
        <f>TEXT(Table1[[#This Row],[Purchase_Date]],"MMM")</f>
        <v>Jun</v>
      </c>
      <c r="N637" s="1" t="str">
        <f>TEXT(Table1[[#This Row],[Purchase_Date]],"DD")</f>
        <v>13</v>
      </c>
      <c r="O637" s="2" t="s">
        <v>36</v>
      </c>
      <c r="P637" s="3">
        <v>4</v>
      </c>
      <c r="Q637" s="2" t="s">
        <v>23</v>
      </c>
      <c r="R637" s="2" t="s">
        <v>47</v>
      </c>
      <c r="S637">
        <f>Table1[[#This Row],[Purchase_Amount]]*Table1[[#This Row],[Quantity]]</f>
        <v>2038.29</v>
      </c>
      <c r="T637" t="str">
        <f>IF(Table1[[#This Row],[Age]]&lt;25,"&lt;25",IF(Table1[[#This Row],[Age]]&lt;=35,"25-35",IF(Table1[[#This Row],[Age]]&lt;=50,"36-50","50+")))</f>
        <v>25-35</v>
      </c>
    </row>
    <row r="638" spans="1:20" x14ac:dyDescent="0.3">
      <c r="A638" s="2" t="s">
        <v>1054</v>
      </c>
      <c r="B638" s="2" t="s">
        <v>26</v>
      </c>
      <c r="C638" s="3">
        <v>29</v>
      </c>
      <c r="D638" s="2" t="s">
        <v>43</v>
      </c>
      <c r="E638" s="2" t="s">
        <v>18</v>
      </c>
      <c r="F638" s="2" t="s">
        <v>44</v>
      </c>
      <c r="G638" t="s">
        <v>34</v>
      </c>
      <c r="H638" t="s">
        <v>1055</v>
      </c>
      <c r="I638" s="4">
        <v>451.86</v>
      </c>
      <c r="J638" s="3">
        <v>2</v>
      </c>
      <c r="K638" s="1">
        <v>45458</v>
      </c>
      <c r="L638" s="1" t="str">
        <f>TEXT(Table1[[#This Row],[Purchase_Date]],"YYYY")</f>
        <v>2024</v>
      </c>
      <c r="M638" s="1" t="str">
        <f>TEXT(Table1[[#This Row],[Purchase_Date]],"MMM")</f>
        <v>Jun</v>
      </c>
      <c r="N638" s="1" t="str">
        <f>TEXT(Table1[[#This Row],[Purchase_Date]],"DD")</f>
        <v>15</v>
      </c>
      <c r="O638" s="2" t="s">
        <v>41</v>
      </c>
      <c r="P638" s="3">
        <v>6</v>
      </c>
      <c r="Q638" s="2" t="s">
        <v>46</v>
      </c>
      <c r="R638" s="2" t="s">
        <v>47</v>
      </c>
      <c r="S638">
        <f>Table1[[#This Row],[Purchase_Amount]]*Table1[[#This Row],[Quantity]]</f>
        <v>903.72</v>
      </c>
      <c r="T638" t="str">
        <f>IF(Table1[[#This Row],[Age]]&lt;25,"&lt;25",IF(Table1[[#This Row],[Age]]&lt;=35,"25-35",IF(Table1[[#This Row],[Age]]&lt;=50,"36-50","50+")))</f>
        <v>25-35</v>
      </c>
    </row>
    <row r="639" spans="1:20" x14ac:dyDescent="0.3">
      <c r="A639" s="2" t="s">
        <v>1197</v>
      </c>
      <c r="B639" s="2" t="s">
        <v>26</v>
      </c>
      <c r="C639" s="3">
        <v>31</v>
      </c>
      <c r="D639" s="2" t="s">
        <v>109</v>
      </c>
      <c r="E639" s="2" t="s">
        <v>33</v>
      </c>
      <c r="F639" s="2" t="s">
        <v>44</v>
      </c>
      <c r="G639" t="s">
        <v>34</v>
      </c>
      <c r="H639" t="s">
        <v>208</v>
      </c>
      <c r="I639" s="4">
        <v>762.43</v>
      </c>
      <c r="J639" s="3">
        <v>1</v>
      </c>
      <c r="K639" s="1">
        <v>45163</v>
      </c>
      <c r="L639" s="1" t="str">
        <f>TEXT(Table1[[#This Row],[Purchase_Date]],"YYYY")</f>
        <v>2023</v>
      </c>
      <c r="M639" s="1" t="str">
        <f>TEXT(Table1[[#This Row],[Purchase_Date]],"MMM")</f>
        <v>Aug</v>
      </c>
      <c r="N639" s="1" t="str">
        <f>TEXT(Table1[[#This Row],[Purchase_Date]],"DD")</f>
        <v>25</v>
      </c>
      <c r="O639" s="2" t="s">
        <v>41</v>
      </c>
      <c r="P639" s="3">
        <v>1</v>
      </c>
      <c r="Q639" s="2" t="s">
        <v>46</v>
      </c>
      <c r="R639" s="2" t="s">
        <v>47</v>
      </c>
      <c r="S639">
        <f>Table1[[#This Row],[Purchase_Amount]]*Table1[[#This Row],[Quantity]]</f>
        <v>762.43</v>
      </c>
      <c r="T639" t="str">
        <f>IF(Table1[[#This Row],[Age]]&lt;25,"&lt;25",IF(Table1[[#This Row],[Age]]&lt;=35,"25-35",IF(Table1[[#This Row],[Age]]&lt;=50,"36-50","50+")))</f>
        <v>25-35</v>
      </c>
    </row>
    <row r="640" spans="1:20" x14ac:dyDescent="0.3">
      <c r="A640" s="2" t="s">
        <v>979</v>
      </c>
      <c r="B640" s="2" t="s">
        <v>26</v>
      </c>
      <c r="C640" s="3">
        <v>32</v>
      </c>
      <c r="D640" s="2" t="s">
        <v>43</v>
      </c>
      <c r="E640" s="2" t="s">
        <v>49</v>
      </c>
      <c r="F640" s="2" t="s">
        <v>44</v>
      </c>
      <c r="G640" t="s">
        <v>34</v>
      </c>
      <c r="H640" t="s">
        <v>183</v>
      </c>
      <c r="I640" s="4">
        <v>530.83000000000004</v>
      </c>
      <c r="J640" s="3">
        <v>2</v>
      </c>
      <c r="K640" s="1">
        <v>44943</v>
      </c>
      <c r="L640" s="1" t="str">
        <f>TEXT(Table1[[#This Row],[Purchase_Date]],"YYYY")</f>
        <v>2023</v>
      </c>
      <c r="M640" s="1" t="str">
        <f>TEXT(Table1[[#This Row],[Purchase_Date]],"MMM")</f>
        <v>Jan</v>
      </c>
      <c r="N640" s="1" t="str">
        <f>TEXT(Table1[[#This Row],[Purchase_Date]],"DD")</f>
        <v>17</v>
      </c>
      <c r="O640" s="2" t="s">
        <v>30</v>
      </c>
      <c r="P640" s="3">
        <v>4</v>
      </c>
      <c r="Q640" s="2" t="s">
        <v>23</v>
      </c>
      <c r="R640" s="2" t="s">
        <v>47</v>
      </c>
      <c r="S640">
        <f>Table1[[#This Row],[Purchase_Amount]]*Table1[[#This Row],[Quantity]]</f>
        <v>1061.6600000000001</v>
      </c>
      <c r="T640" t="str">
        <f>IF(Table1[[#This Row],[Age]]&lt;25,"&lt;25",IF(Table1[[#This Row],[Age]]&lt;=35,"25-35",IF(Table1[[#This Row],[Age]]&lt;=50,"36-50","50+")))</f>
        <v>25-35</v>
      </c>
    </row>
    <row r="641" spans="1:20" x14ac:dyDescent="0.3">
      <c r="A641" s="2" t="s">
        <v>1117</v>
      </c>
      <c r="B641" s="2" t="s">
        <v>26</v>
      </c>
      <c r="C641" s="3">
        <v>32</v>
      </c>
      <c r="D641" s="2" t="s">
        <v>78</v>
      </c>
      <c r="E641" s="2" t="s">
        <v>49</v>
      </c>
      <c r="F641" s="2" t="s">
        <v>44</v>
      </c>
      <c r="G641" t="s">
        <v>34</v>
      </c>
      <c r="H641" t="s">
        <v>81</v>
      </c>
      <c r="I641" s="4">
        <v>629.79</v>
      </c>
      <c r="J641" s="3">
        <v>5</v>
      </c>
      <c r="K641" s="1">
        <v>45104</v>
      </c>
      <c r="L641" s="1" t="str">
        <f>TEXT(Table1[[#This Row],[Purchase_Date]],"YYYY")</f>
        <v>2023</v>
      </c>
      <c r="M641" s="1" t="str">
        <f>TEXT(Table1[[#This Row],[Purchase_Date]],"MMM")</f>
        <v>Jun</v>
      </c>
      <c r="N641" s="1" t="str">
        <f>TEXT(Table1[[#This Row],[Purchase_Date]],"DD")</f>
        <v>27</v>
      </c>
      <c r="O641" s="2" t="s">
        <v>30</v>
      </c>
      <c r="P641" s="3">
        <v>5</v>
      </c>
      <c r="Q641" s="2" t="s">
        <v>23</v>
      </c>
      <c r="R641" s="2" t="s">
        <v>47</v>
      </c>
      <c r="S641">
        <f>Table1[[#This Row],[Purchase_Amount]]*Table1[[#This Row],[Quantity]]</f>
        <v>3148.95</v>
      </c>
      <c r="T641" t="str">
        <f>IF(Table1[[#This Row],[Age]]&lt;25,"&lt;25",IF(Table1[[#This Row],[Age]]&lt;=35,"25-35",IF(Table1[[#This Row],[Age]]&lt;=50,"36-50","50+")))</f>
        <v>25-35</v>
      </c>
    </row>
    <row r="642" spans="1:20" x14ac:dyDescent="0.3">
      <c r="A642" s="2" t="s">
        <v>1158</v>
      </c>
      <c r="B642" s="2" t="s">
        <v>26</v>
      </c>
      <c r="C642" s="3">
        <v>36</v>
      </c>
      <c r="D642" s="2" t="s">
        <v>109</v>
      </c>
      <c r="E642" s="2" t="s">
        <v>49</v>
      </c>
      <c r="F642" s="2" t="s">
        <v>27</v>
      </c>
      <c r="G642" t="s">
        <v>34</v>
      </c>
      <c r="H642" t="s">
        <v>269</v>
      </c>
      <c r="I642" s="4">
        <v>464.75</v>
      </c>
      <c r="J642" s="3">
        <v>3</v>
      </c>
      <c r="K642" s="1">
        <v>45353</v>
      </c>
      <c r="L642" s="1" t="str">
        <f>TEXT(Table1[[#This Row],[Purchase_Date]],"YYYY")</f>
        <v>2024</v>
      </c>
      <c r="M642" s="1" t="str">
        <f>TEXT(Table1[[#This Row],[Purchase_Date]],"MMM")</f>
        <v>Mar</v>
      </c>
      <c r="N642" s="1" t="str">
        <f>TEXT(Table1[[#This Row],[Purchase_Date]],"DD")</f>
        <v>02</v>
      </c>
      <c r="O642" s="2" t="s">
        <v>41</v>
      </c>
      <c r="P642" s="3">
        <v>1</v>
      </c>
      <c r="Q642" s="2" t="s">
        <v>46</v>
      </c>
      <c r="R642" s="2" t="s">
        <v>24</v>
      </c>
      <c r="S642">
        <f>Table1[[#This Row],[Purchase_Amount]]*Table1[[#This Row],[Quantity]]</f>
        <v>1394.25</v>
      </c>
      <c r="T642" t="str">
        <f>IF(Table1[[#This Row],[Age]]&lt;25,"&lt;25",IF(Table1[[#This Row],[Age]]&lt;=35,"25-35",IF(Table1[[#This Row],[Age]]&lt;=50,"36-50","50+")))</f>
        <v>36-50</v>
      </c>
    </row>
    <row r="643" spans="1:20" x14ac:dyDescent="0.3">
      <c r="A643" s="2" t="s">
        <v>503</v>
      </c>
      <c r="B643" s="2" t="s">
        <v>26</v>
      </c>
      <c r="C643" s="3">
        <v>36</v>
      </c>
      <c r="D643" s="2" t="s">
        <v>38</v>
      </c>
      <c r="E643" s="2" t="s">
        <v>49</v>
      </c>
      <c r="F643" s="2" t="s">
        <v>27</v>
      </c>
      <c r="G643" t="s">
        <v>34</v>
      </c>
      <c r="H643" t="s">
        <v>371</v>
      </c>
      <c r="I643" s="4">
        <v>710.21</v>
      </c>
      <c r="J643" s="3">
        <v>2</v>
      </c>
      <c r="K643" s="1">
        <v>45479</v>
      </c>
      <c r="L643" s="1" t="str">
        <f>TEXT(Table1[[#This Row],[Purchase_Date]],"YYYY")</f>
        <v>2024</v>
      </c>
      <c r="M643" s="1" t="str">
        <f>TEXT(Table1[[#This Row],[Purchase_Date]],"MMM")</f>
        <v>Jul</v>
      </c>
      <c r="N643" s="1" t="str">
        <f>TEXT(Table1[[#This Row],[Purchase_Date]],"DD")</f>
        <v>06</v>
      </c>
      <c r="O643" s="2" t="s">
        <v>22</v>
      </c>
      <c r="P643" s="3">
        <v>10</v>
      </c>
      <c r="Q643" s="2" t="s">
        <v>46</v>
      </c>
      <c r="R643" s="2" t="s">
        <v>24</v>
      </c>
      <c r="S643">
        <f>Table1[[#This Row],[Purchase_Amount]]*Table1[[#This Row],[Quantity]]</f>
        <v>1420.42</v>
      </c>
      <c r="T643" t="str">
        <f>IF(Table1[[#This Row],[Age]]&lt;25,"&lt;25",IF(Table1[[#This Row],[Age]]&lt;=35,"25-35",IF(Table1[[#This Row],[Age]]&lt;=50,"36-50","50+")))</f>
        <v>36-50</v>
      </c>
    </row>
    <row r="644" spans="1:20" x14ac:dyDescent="0.3">
      <c r="A644" s="2" t="s">
        <v>1206</v>
      </c>
      <c r="B644" s="2" t="s">
        <v>26</v>
      </c>
      <c r="C644" s="3">
        <v>39</v>
      </c>
      <c r="D644" s="2" t="s">
        <v>60</v>
      </c>
      <c r="E644" s="2" t="s">
        <v>49</v>
      </c>
      <c r="F644" s="2" t="s">
        <v>27</v>
      </c>
      <c r="G644" t="s">
        <v>34</v>
      </c>
      <c r="H644" t="s">
        <v>832</v>
      </c>
      <c r="I644" s="4">
        <v>194.72</v>
      </c>
      <c r="J644" s="3">
        <v>3</v>
      </c>
      <c r="K644" s="1">
        <v>45309</v>
      </c>
      <c r="L644" s="1" t="str">
        <f>TEXT(Table1[[#This Row],[Purchase_Date]],"YYYY")</f>
        <v>2024</v>
      </c>
      <c r="M644" s="1" t="str">
        <f>TEXT(Table1[[#This Row],[Purchase_Date]],"MMM")</f>
        <v>Jan</v>
      </c>
      <c r="N644" s="1" t="str">
        <f>TEXT(Table1[[#This Row],[Purchase_Date]],"DD")</f>
        <v>18</v>
      </c>
      <c r="O644" s="2" t="s">
        <v>22</v>
      </c>
      <c r="P644" s="3">
        <v>2</v>
      </c>
      <c r="Q644" s="2" t="s">
        <v>23</v>
      </c>
      <c r="R644" s="2" t="s">
        <v>24</v>
      </c>
      <c r="S644">
        <f>Table1[[#This Row],[Purchase_Amount]]*Table1[[#This Row],[Quantity]]</f>
        <v>584.16</v>
      </c>
      <c r="T644" t="str">
        <f>IF(Table1[[#This Row],[Age]]&lt;25,"&lt;25",IF(Table1[[#This Row],[Age]]&lt;=35,"25-35",IF(Table1[[#This Row],[Age]]&lt;=50,"36-50","50+")))</f>
        <v>36-50</v>
      </c>
    </row>
    <row r="645" spans="1:20" x14ac:dyDescent="0.3">
      <c r="A645" s="2" t="s">
        <v>1231</v>
      </c>
      <c r="B645" s="2" t="s">
        <v>26</v>
      </c>
      <c r="C645" s="3">
        <v>39</v>
      </c>
      <c r="D645" s="2" t="s">
        <v>43</v>
      </c>
      <c r="E645" s="2" t="s">
        <v>18</v>
      </c>
      <c r="F645" s="2" t="s">
        <v>19</v>
      </c>
      <c r="G645" t="s">
        <v>34</v>
      </c>
      <c r="H645" t="s">
        <v>631</v>
      </c>
      <c r="I645" s="4">
        <v>860.01</v>
      </c>
      <c r="J645" s="3">
        <v>4</v>
      </c>
      <c r="K645" s="1">
        <v>45479</v>
      </c>
      <c r="L645" s="1" t="str">
        <f>TEXT(Table1[[#This Row],[Purchase_Date]],"YYYY")</f>
        <v>2024</v>
      </c>
      <c r="M645" s="1" t="str">
        <f>TEXT(Table1[[#This Row],[Purchase_Date]],"MMM")</f>
        <v>Jul</v>
      </c>
      <c r="N645" s="1" t="str">
        <f>TEXT(Table1[[#This Row],[Purchase_Date]],"DD")</f>
        <v>06</v>
      </c>
      <c r="O645" s="2" t="s">
        <v>30</v>
      </c>
      <c r="P645" s="3">
        <v>9</v>
      </c>
      <c r="Q645" s="2" t="s">
        <v>23</v>
      </c>
      <c r="R645" s="2" t="s">
        <v>47</v>
      </c>
      <c r="S645">
        <f>Table1[[#This Row],[Purchase_Amount]]*Table1[[#This Row],[Quantity]]</f>
        <v>3440.04</v>
      </c>
      <c r="T645" t="str">
        <f>IF(Table1[[#This Row],[Age]]&lt;25,"&lt;25",IF(Table1[[#This Row],[Age]]&lt;=35,"25-35",IF(Table1[[#This Row],[Age]]&lt;=50,"36-50","50+")))</f>
        <v>36-50</v>
      </c>
    </row>
    <row r="646" spans="1:20" x14ac:dyDescent="0.3">
      <c r="A646" s="2" t="s">
        <v>1121</v>
      </c>
      <c r="B646" s="2" t="s">
        <v>26</v>
      </c>
      <c r="C646" s="3">
        <v>40</v>
      </c>
      <c r="D646" s="2" t="s">
        <v>60</v>
      </c>
      <c r="E646" s="2" t="s">
        <v>33</v>
      </c>
      <c r="F646" s="2" t="s">
        <v>27</v>
      </c>
      <c r="G646" t="s">
        <v>34</v>
      </c>
      <c r="H646" t="s">
        <v>351</v>
      </c>
      <c r="I646" s="4">
        <v>264.89999999999998</v>
      </c>
      <c r="J646" s="3">
        <v>4</v>
      </c>
      <c r="K646" s="1">
        <v>45329</v>
      </c>
      <c r="L646" s="1" t="str">
        <f>TEXT(Table1[[#This Row],[Purchase_Date]],"YYYY")</f>
        <v>2024</v>
      </c>
      <c r="M646" s="1" t="str">
        <f>TEXT(Table1[[#This Row],[Purchase_Date]],"MMM")</f>
        <v>Feb</v>
      </c>
      <c r="N646" s="1" t="str">
        <f>TEXT(Table1[[#This Row],[Purchase_Date]],"DD")</f>
        <v>07</v>
      </c>
      <c r="O646" s="2" t="s">
        <v>22</v>
      </c>
      <c r="P646" s="3">
        <v>6</v>
      </c>
      <c r="Q646" s="2" t="s">
        <v>23</v>
      </c>
      <c r="R646" s="2" t="s">
        <v>47</v>
      </c>
      <c r="S646">
        <f>Table1[[#This Row],[Purchase_Amount]]*Table1[[#This Row],[Quantity]]</f>
        <v>1059.5999999999999</v>
      </c>
      <c r="T646" t="str">
        <f>IF(Table1[[#This Row],[Age]]&lt;25,"&lt;25",IF(Table1[[#This Row],[Age]]&lt;=35,"25-35",IF(Table1[[#This Row],[Age]]&lt;=50,"36-50","50+")))</f>
        <v>36-50</v>
      </c>
    </row>
    <row r="647" spans="1:20" x14ac:dyDescent="0.3">
      <c r="A647" s="2" t="s">
        <v>781</v>
      </c>
      <c r="B647" s="2" t="s">
        <v>26</v>
      </c>
      <c r="C647" s="3">
        <v>40</v>
      </c>
      <c r="D647" s="2" t="s">
        <v>17</v>
      </c>
      <c r="E647" s="2" t="s">
        <v>49</v>
      </c>
      <c r="F647" s="2" t="s">
        <v>44</v>
      </c>
      <c r="G647" t="s">
        <v>34</v>
      </c>
      <c r="H647" t="s">
        <v>129</v>
      </c>
      <c r="I647" s="4">
        <v>306.93</v>
      </c>
      <c r="J647" s="3">
        <v>4</v>
      </c>
      <c r="K647" s="1">
        <v>45272</v>
      </c>
      <c r="L647" s="1" t="str">
        <f>TEXT(Table1[[#This Row],[Purchase_Date]],"YYYY")</f>
        <v>2023</v>
      </c>
      <c r="M647" s="1" t="str">
        <f>TEXT(Table1[[#This Row],[Purchase_Date]],"MMM")</f>
        <v>Dec</v>
      </c>
      <c r="N647" s="1" t="str">
        <f>TEXT(Table1[[#This Row],[Purchase_Date]],"DD")</f>
        <v>12</v>
      </c>
      <c r="O647" s="2" t="s">
        <v>36</v>
      </c>
      <c r="P647" s="3">
        <v>4</v>
      </c>
      <c r="Q647" s="2" t="s">
        <v>23</v>
      </c>
      <c r="R647" s="2" t="s">
        <v>47</v>
      </c>
      <c r="S647">
        <f>Table1[[#This Row],[Purchase_Amount]]*Table1[[#This Row],[Quantity]]</f>
        <v>1227.72</v>
      </c>
      <c r="T647" t="str">
        <f>IF(Table1[[#This Row],[Age]]&lt;25,"&lt;25",IF(Table1[[#This Row],[Age]]&lt;=35,"25-35",IF(Table1[[#This Row],[Age]]&lt;=50,"36-50","50+")))</f>
        <v>36-50</v>
      </c>
    </row>
    <row r="648" spans="1:20" x14ac:dyDescent="0.3">
      <c r="A648" s="2" t="s">
        <v>1039</v>
      </c>
      <c r="B648" s="2" t="s">
        <v>26</v>
      </c>
      <c r="C648" s="3">
        <v>40</v>
      </c>
      <c r="D648" s="2" t="s">
        <v>64</v>
      </c>
      <c r="E648" s="2" t="s">
        <v>49</v>
      </c>
      <c r="F648" s="2" t="s">
        <v>44</v>
      </c>
      <c r="G648" t="s">
        <v>34</v>
      </c>
      <c r="H648" t="s">
        <v>162</v>
      </c>
      <c r="I648" s="4">
        <v>846.42</v>
      </c>
      <c r="J648" s="3">
        <v>5</v>
      </c>
      <c r="K648" s="1">
        <v>45561</v>
      </c>
      <c r="L648" s="1" t="str">
        <f>TEXT(Table1[[#This Row],[Purchase_Date]],"YYYY")</f>
        <v>2024</v>
      </c>
      <c r="M648" s="1" t="str">
        <f>TEXT(Table1[[#This Row],[Purchase_Date]],"MMM")</f>
        <v>Sep</v>
      </c>
      <c r="N648" s="1" t="str">
        <f>TEXT(Table1[[#This Row],[Purchase_Date]],"DD")</f>
        <v>26</v>
      </c>
      <c r="O648" s="2" t="s">
        <v>30</v>
      </c>
      <c r="P648" s="3">
        <v>8</v>
      </c>
      <c r="Q648" s="2" t="s">
        <v>23</v>
      </c>
      <c r="R648" s="2" t="s">
        <v>24</v>
      </c>
      <c r="S648">
        <f>Table1[[#This Row],[Purchase_Amount]]*Table1[[#This Row],[Quantity]]</f>
        <v>4232.0999999999995</v>
      </c>
      <c r="T648" t="str">
        <f>IF(Table1[[#This Row],[Age]]&lt;25,"&lt;25",IF(Table1[[#This Row],[Age]]&lt;=35,"25-35",IF(Table1[[#This Row],[Age]]&lt;=50,"36-50","50+")))</f>
        <v>36-50</v>
      </c>
    </row>
    <row r="649" spans="1:20" x14ac:dyDescent="0.3">
      <c r="A649" s="2" t="s">
        <v>953</v>
      </c>
      <c r="B649" s="2" t="s">
        <v>26</v>
      </c>
      <c r="C649" s="3">
        <v>41</v>
      </c>
      <c r="D649" s="2" t="s">
        <v>38</v>
      </c>
      <c r="E649" s="2" t="s">
        <v>18</v>
      </c>
      <c r="F649" s="2" t="s">
        <v>44</v>
      </c>
      <c r="G649" t="s">
        <v>34</v>
      </c>
      <c r="H649" t="s">
        <v>940</v>
      </c>
      <c r="I649" s="4">
        <v>651.80999999999995</v>
      </c>
      <c r="J649" s="3">
        <v>5</v>
      </c>
      <c r="K649" s="1">
        <v>45453</v>
      </c>
      <c r="L649" s="1" t="str">
        <f>TEXT(Table1[[#This Row],[Purchase_Date]],"YYYY")</f>
        <v>2024</v>
      </c>
      <c r="M649" s="1" t="str">
        <f>TEXT(Table1[[#This Row],[Purchase_Date]],"MMM")</f>
        <v>Jun</v>
      </c>
      <c r="N649" s="1" t="str">
        <f>TEXT(Table1[[#This Row],[Purchase_Date]],"DD")</f>
        <v>10</v>
      </c>
      <c r="O649" s="2" t="s">
        <v>22</v>
      </c>
      <c r="P649" s="3">
        <v>8</v>
      </c>
      <c r="Q649" s="2" t="s">
        <v>23</v>
      </c>
      <c r="R649" s="2" t="s">
        <v>24</v>
      </c>
      <c r="S649">
        <f>Table1[[#This Row],[Purchase_Amount]]*Table1[[#This Row],[Quantity]]</f>
        <v>3259.0499999999997</v>
      </c>
      <c r="T649" t="str">
        <f>IF(Table1[[#This Row],[Age]]&lt;25,"&lt;25",IF(Table1[[#This Row],[Age]]&lt;=35,"25-35",IF(Table1[[#This Row],[Age]]&lt;=50,"36-50","50+")))</f>
        <v>36-50</v>
      </c>
    </row>
    <row r="650" spans="1:20" x14ac:dyDescent="0.3">
      <c r="A650" s="2" t="s">
        <v>461</v>
      </c>
      <c r="B650" s="2" t="s">
        <v>26</v>
      </c>
      <c r="C650" s="3">
        <v>42</v>
      </c>
      <c r="D650" s="2" t="s">
        <v>78</v>
      </c>
      <c r="E650" s="2" t="s">
        <v>18</v>
      </c>
      <c r="F650" s="2" t="s">
        <v>27</v>
      </c>
      <c r="G650" t="s">
        <v>34</v>
      </c>
      <c r="H650" t="s">
        <v>210</v>
      </c>
      <c r="I650" s="4">
        <v>439.36</v>
      </c>
      <c r="J650" s="3">
        <v>4</v>
      </c>
      <c r="K650" s="1">
        <v>45515</v>
      </c>
      <c r="L650" s="1" t="str">
        <f>TEXT(Table1[[#This Row],[Purchase_Date]],"YYYY")</f>
        <v>2024</v>
      </c>
      <c r="M650" s="1" t="str">
        <f>TEXT(Table1[[#This Row],[Purchase_Date]],"MMM")</f>
        <v>Aug</v>
      </c>
      <c r="N650" s="1" t="str">
        <f>TEXT(Table1[[#This Row],[Purchase_Date]],"DD")</f>
        <v>11</v>
      </c>
      <c r="O650" s="2" t="s">
        <v>41</v>
      </c>
      <c r="P650" s="3">
        <v>6</v>
      </c>
      <c r="Q650" s="2" t="s">
        <v>23</v>
      </c>
      <c r="R650" s="2" t="s">
        <v>24</v>
      </c>
      <c r="S650">
        <f>Table1[[#This Row],[Purchase_Amount]]*Table1[[#This Row],[Quantity]]</f>
        <v>1757.44</v>
      </c>
      <c r="T650" t="str">
        <f>IF(Table1[[#This Row],[Age]]&lt;25,"&lt;25",IF(Table1[[#This Row],[Age]]&lt;=35,"25-35",IF(Table1[[#This Row],[Age]]&lt;=50,"36-50","50+")))</f>
        <v>36-50</v>
      </c>
    </row>
    <row r="651" spans="1:20" x14ac:dyDescent="0.3">
      <c r="A651" s="2" t="s">
        <v>381</v>
      </c>
      <c r="B651" s="2" t="s">
        <v>26</v>
      </c>
      <c r="C651" s="3">
        <v>43</v>
      </c>
      <c r="D651" s="2" t="s">
        <v>109</v>
      </c>
      <c r="E651" s="2" t="s">
        <v>33</v>
      </c>
      <c r="F651" s="2" t="s">
        <v>27</v>
      </c>
      <c r="G651" t="s">
        <v>34</v>
      </c>
      <c r="H651" t="s">
        <v>76</v>
      </c>
      <c r="I651" s="4">
        <v>306.89999999999998</v>
      </c>
      <c r="J651" s="3">
        <v>5</v>
      </c>
      <c r="K651" s="1">
        <v>45444</v>
      </c>
      <c r="L651" s="1" t="str">
        <f>TEXT(Table1[[#This Row],[Purchase_Date]],"YYYY")</f>
        <v>2024</v>
      </c>
      <c r="M651" s="1" t="str">
        <f>TEXT(Table1[[#This Row],[Purchase_Date]],"MMM")</f>
        <v>Jun</v>
      </c>
      <c r="N651" s="1" t="str">
        <f>TEXT(Table1[[#This Row],[Purchase_Date]],"DD")</f>
        <v>01</v>
      </c>
      <c r="O651" s="2" t="s">
        <v>30</v>
      </c>
      <c r="P651" s="3">
        <v>6</v>
      </c>
      <c r="Q651" s="2" t="s">
        <v>23</v>
      </c>
      <c r="R651" s="2" t="s">
        <v>24</v>
      </c>
      <c r="S651">
        <f>Table1[[#This Row],[Purchase_Amount]]*Table1[[#This Row],[Quantity]]</f>
        <v>1534.5</v>
      </c>
      <c r="T651" t="str">
        <f>IF(Table1[[#This Row],[Age]]&lt;25,"&lt;25",IF(Table1[[#This Row],[Age]]&lt;=35,"25-35",IF(Table1[[#This Row],[Age]]&lt;=50,"36-50","50+")))</f>
        <v>36-50</v>
      </c>
    </row>
    <row r="652" spans="1:20" x14ac:dyDescent="0.3">
      <c r="A652" s="2" t="s">
        <v>346</v>
      </c>
      <c r="B652" s="2" t="s">
        <v>26</v>
      </c>
      <c r="C652" s="3">
        <v>44</v>
      </c>
      <c r="D652" s="2" t="s">
        <v>60</v>
      </c>
      <c r="E652" s="2" t="s">
        <v>49</v>
      </c>
      <c r="F652" s="2" t="s">
        <v>44</v>
      </c>
      <c r="G652" t="s">
        <v>34</v>
      </c>
      <c r="H652" t="s">
        <v>347</v>
      </c>
      <c r="I652" s="4">
        <v>387.8</v>
      </c>
      <c r="J652" s="3">
        <v>5</v>
      </c>
      <c r="K652" s="1">
        <v>45296</v>
      </c>
      <c r="L652" s="1" t="str">
        <f>TEXT(Table1[[#This Row],[Purchase_Date]],"YYYY")</f>
        <v>2024</v>
      </c>
      <c r="M652" s="1" t="str">
        <f>TEXT(Table1[[#This Row],[Purchase_Date]],"MMM")</f>
        <v>Jan</v>
      </c>
      <c r="N652" s="1" t="str">
        <f>TEXT(Table1[[#This Row],[Purchase_Date]],"DD")</f>
        <v>05</v>
      </c>
      <c r="O652" s="2" t="s">
        <v>30</v>
      </c>
      <c r="P652" s="3">
        <v>5</v>
      </c>
      <c r="Q652" s="2" t="s">
        <v>23</v>
      </c>
      <c r="R652" s="2" t="s">
        <v>24</v>
      </c>
      <c r="S652">
        <f>Table1[[#This Row],[Purchase_Amount]]*Table1[[#This Row],[Quantity]]</f>
        <v>1939</v>
      </c>
      <c r="T652" t="str">
        <f>IF(Table1[[#This Row],[Age]]&lt;25,"&lt;25",IF(Table1[[#This Row],[Age]]&lt;=35,"25-35",IF(Table1[[#This Row],[Age]]&lt;=50,"36-50","50+")))</f>
        <v>36-50</v>
      </c>
    </row>
    <row r="653" spans="1:20" x14ac:dyDescent="0.3">
      <c r="A653" s="2" t="s">
        <v>1031</v>
      </c>
      <c r="B653" s="2" t="s">
        <v>26</v>
      </c>
      <c r="C653" s="3">
        <v>44</v>
      </c>
      <c r="D653" s="2" t="s">
        <v>78</v>
      </c>
      <c r="E653" s="2" t="s">
        <v>18</v>
      </c>
      <c r="F653" s="2" t="s">
        <v>27</v>
      </c>
      <c r="G653" t="s">
        <v>34</v>
      </c>
      <c r="H653" t="s">
        <v>56</v>
      </c>
      <c r="I653" s="4">
        <v>802.14</v>
      </c>
      <c r="J653" s="3">
        <v>5</v>
      </c>
      <c r="K653" s="1">
        <v>45449</v>
      </c>
      <c r="L653" s="1" t="str">
        <f>TEXT(Table1[[#This Row],[Purchase_Date]],"YYYY")</f>
        <v>2024</v>
      </c>
      <c r="M653" s="1" t="str">
        <f>TEXT(Table1[[#This Row],[Purchase_Date]],"MMM")</f>
        <v>Jun</v>
      </c>
      <c r="N653" s="1" t="str">
        <f>TEXT(Table1[[#This Row],[Purchase_Date]],"DD")</f>
        <v>06</v>
      </c>
      <c r="O653" s="2" t="s">
        <v>36</v>
      </c>
      <c r="P653" s="3">
        <v>6</v>
      </c>
      <c r="Q653" s="2" t="s">
        <v>46</v>
      </c>
      <c r="R653" s="2" t="s">
        <v>47</v>
      </c>
      <c r="S653">
        <f>Table1[[#This Row],[Purchase_Amount]]*Table1[[#This Row],[Quantity]]</f>
        <v>4010.7</v>
      </c>
      <c r="T653" t="str">
        <f>IF(Table1[[#This Row],[Age]]&lt;25,"&lt;25",IF(Table1[[#This Row],[Age]]&lt;=35,"25-35",IF(Table1[[#This Row],[Age]]&lt;=50,"36-50","50+")))</f>
        <v>36-50</v>
      </c>
    </row>
    <row r="654" spans="1:20" x14ac:dyDescent="0.3">
      <c r="A654" s="2" t="s">
        <v>705</v>
      </c>
      <c r="B654" s="2" t="s">
        <v>26</v>
      </c>
      <c r="C654" s="3">
        <v>46</v>
      </c>
      <c r="D654" s="2" t="s">
        <v>109</v>
      </c>
      <c r="E654" s="2" t="s">
        <v>33</v>
      </c>
      <c r="F654" s="2" t="s">
        <v>27</v>
      </c>
      <c r="G654" t="s">
        <v>34</v>
      </c>
      <c r="H654" t="s">
        <v>304</v>
      </c>
      <c r="I654" s="4">
        <v>909.74</v>
      </c>
      <c r="J654" s="3">
        <v>1</v>
      </c>
      <c r="K654" s="1">
        <v>44972</v>
      </c>
      <c r="L654" s="1" t="str">
        <f>TEXT(Table1[[#This Row],[Purchase_Date]],"YYYY")</f>
        <v>2023</v>
      </c>
      <c r="M654" s="1" t="str">
        <f>TEXT(Table1[[#This Row],[Purchase_Date]],"MMM")</f>
        <v>Feb</v>
      </c>
      <c r="N654" s="1" t="str">
        <f>TEXT(Table1[[#This Row],[Purchase_Date]],"DD")</f>
        <v>15</v>
      </c>
      <c r="O654" s="2" t="s">
        <v>30</v>
      </c>
      <c r="P654" s="3">
        <v>7</v>
      </c>
      <c r="Q654" s="2" t="s">
        <v>46</v>
      </c>
      <c r="R654" s="2" t="s">
        <v>24</v>
      </c>
      <c r="S654">
        <f>Table1[[#This Row],[Purchase_Amount]]*Table1[[#This Row],[Quantity]]</f>
        <v>909.74</v>
      </c>
      <c r="T654" t="str">
        <f>IF(Table1[[#This Row],[Age]]&lt;25,"&lt;25",IF(Table1[[#This Row],[Age]]&lt;=35,"25-35",IF(Table1[[#This Row],[Age]]&lt;=50,"36-50","50+")))</f>
        <v>36-50</v>
      </c>
    </row>
    <row r="655" spans="1:20" x14ac:dyDescent="0.3">
      <c r="A655" s="2" t="s">
        <v>818</v>
      </c>
      <c r="B655" s="2" t="s">
        <v>26</v>
      </c>
      <c r="C655" s="3">
        <v>47</v>
      </c>
      <c r="D655" s="2" t="s">
        <v>43</v>
      </c>
      <c r="E655" s="2" t="s">
        <v>49</v>
      </c>
      <c r="F655" s="2" t="s">
        <v>27</v>
      </c>
      <c r="G655" t="s">
        <v>34</v>
      </c>
      <c r="H655" t="s">
        <v>362</v>
      </c>
      <c r="I655" s="4">
        <v>554.22</v>
      </c>
      <c r="J655" s="3">
        <v>4</v>
      </c>
      <c r="K655" s="1">
        <v>45330</v>
      </c>
      <c r="L655" s="1" t="str">
        <f>TEXT(Table1[[#This Row],[Purchase_Date]],"YYYY")</f>
        <v>2024</v>
      </c>
      <c r="M655" s="1" t="str">
        <f>TEXT(Table1[[#This Row],[Purchase_Date]],"MMM")</f>
        <v>Feb</v>
      </c>
      <c r="N655" s="1" t="str">
        <f>TEXT(Table1[[#This Row],[Purchase_Date]],"DD")</f>
        <v>08</v>
      </c>
      <c r="O655" s="2" t="s">
        <v>36</v>
      </c>
      <c r="P655" s="3">
        <v>1</v>
      </c>
      <c r="Q655" s="2" t="s">
        <v>23</v>
      </c>
      <c r="R655" s="2" t="s">
        <v>24</v>
      </c>
      <c r="S655">
        <f>Table1[[#This Row],[Purchase_Amount]]*Table1[[#This Row],[Quantity]]</f>
        <v>2216.88</v>
      </c>
      <c r="T655" t="str">
        <f>IF(Table1[[#This Row],[Age]]&lt;25,"&lt;25",IF(Table1[[#This Row],[Age]]&lt;=35,"25-35",IF(Table1[[#This Row],[Age]]&lt;=50,"36-50","50+")))</f>
        <v>36-50</v>
      </c>
    </row>
    <row r="656" spans="1:20" x14ac:dyDescent="0.3">
      <c r="A656" s="2" t="s">
        <v>817</v>
      </c>
      <c r="B656" s="2" t="s">
        <v>26</v>
      </c>
      <c r="C656" s="3">
        <v>48</v>
      </c>
      <c r="D656" s="2" t="s">
        <v>60</v>
      </c>
      <c r="E656" s="2" t="s">
        <v>18</v>
      </c>
      <c r="F656" s="2" t="s">
        <v>27</v>
      </c>
      <c r="G656" t="s">
        <v>34</v>
      </c>
      <c r="H656" t="s">
        <v>358</v>
      </c>
      <c r="I656" s="4">
        <v>78.069999999999993</v>
      </c>
      <c r="J656" s="3">
        <v>5</v>
      </c>
      <c r="K656" s="1">
        <v>45120</v>
      </c>
      <c r="L656" s="1" t="str">
        <f>TEXT(Table1[[#This Row],[Purchase_Date]],"YYYY")</f>
        <v>2023</v>
      </c>
      <c r="M656" s="1" t="str">
        <f>TEXT(Table1[[#This Row],[Purchase_Date]],"MMM")</f>
        <v>Jul</v>
      </c>
      <c r="N656" s="1" t="str">
        <f>TEXT(Table1[[#This Row],[Purchase_Date]],"DD")</f>
        <v>13</v>
      </c>
      <c r="O656" s="2" t="s">
        <v>36</v>
      </c>
      <c r="P656" s="3">
        <v>2</v>
      </c>
      <c r="Q656" s="2" t="s">
        <v>23</v>
      </c>
      <c r="R656" s="2" t="s">
        <v>24</v>
      </c>
      <c r="S656">
        <f>Table1[[#This Row],[Purchase_Amount]]*Table1[[#This Row],[Quantity]]</f>
        <v>390.34999999999997</v>
      </c>
      <c r="T656" t="str">
        <f>IF(Table1[[#This Row],[Age]]&lt;25,"&lt;25",IF(Table1[[#This Row],[Age]]&lt;=35,"25-35",IF(Table1[[#This Row],[Age]]&lt;=50,"36-50","50+")))</f>
        <v>36-50</v>
      </c>
    </row>
    <row r="657" spans="1:20" x14ac:dyDescent="0.3">
      <c r="A657" s="2" t="s">
        <v>348</v>
      </c>
      <c r="B657" s="2" t="s">
        <v>26</v>
      </c>
      <c r="C657" s="3">
        <v>48</v>
      </c>
      <c r="D657" s="2" t="s">
        <v>64</v>
      </c>
      <c r="E657" s="2" t="s">
        <v>18</v>
      </c>
      <c r="F657" s="2" t="s">
        <v>44</v>
      </c>
      <c r="G657" t="s">
        <v>34</v>
      </c>
      <c r="H657" t="s">
        <v>349</v>
      </c>
      <c r="I657" s="4">
        <v>777.48</v>
      </c>
      <c r="J657" s="3">
        <v>3</v>
      </c>
      <c r="K657" s="1">
        <v>45466</v>
      </c>
      <c r="L657" s="1" t="str">
        <f>TEXT(Table1[[#This Row],[Purchase_Date]],"YYYY")</f>
        <v>2024</v>
      </c>
      <c r="M657" s="1" t="str">
        <f>TEXT(Table1[[#This Row],[Purchase_Date]],"MMM")</f>
        <v>Jun</v>
      </c>
      <c r="N657" s="1" t="str">
        <f>TEXT(Table1[[#This Row],[Purchase_Date]],"DD")</f>
        <v>23</v>
      </c>
      <c r="O657" s="2" t="s">
        <v>22</v>
      </c>
      <c r="P657" s="3">
        <v>8</v>
      </c>
      <c r="Q657" s="2" t="s">
        <v>23</v>
      </c>
      <c r="R657" s="2" t="s">
        <v>24</v>
      </c>
      <c r="S657">
        <f>Table1[[#This Row],[Purchase_Amount]]*Table1[[#This Row],[Quantity]]</f>
        <v>2332.44</v>
      </c>
      <c r="T657" t="str">
        <f>IF(Table1[[#This Row],[Age]]&lt;25,"&lt;25",IF(Table1[[#This Row],[Age]]&lt;=35,"25-35",IF(Table1[[#This Row],[Age]]&lt;=50,"36-50","50+")))</f>
        <v>36-50</v>
      </c>
    </row>
    <row r="658" spans="1:20" x14ac:dyDescent="0.3">
      <c r="A658" s="2" t="s">
        <v>1021</v>
      </c>
      <c r="B658" s="2" t="s">
        <v>26</v>
      </c>
      <c r="C658" s="3">
        <v>50</v>
      </c>
      <c r="D658" s="2" t="s">
        <v>64</v>
      </c>
      <c r="E658" s="2" t="s">
        <v>49</v>
      </c>
      <c r="F658" s="2" t="s">
        <v>27</v>
      </c>
      <c r="G658" t="s">
        <v>34</v>
      </c>
      <c r="H658" t="s">
        <v>253</v>
      </c>
      <c r="I658" s="4">
        <v>246.36</v>
      </c>
      <c r="J658" s="3">
        <v>1</v>
      </c>
      <c r="K658" s="1">
        <v>45569</v>
      </c>
      <c r="L658" s="1" t="str">
        <f>TEXT(Table1[[#This Row],[Purchase_Date]],"YYYY")</f>
        <v>2024</v>
      </c>
      <c r="M658" s="1" t="str">
        <f>TEXT(Table1[[#This Row],[Purchase_Date]],"MMM")</f>
        <v>Oct</v>
      </c>
      <c r="N658" s="1" t="str">
        <f>TEXT(Table1[[#This Row],[Purchase_Date]],"DD")</f>
        <v>04</v>
      </c>
      <c r="O658" s="2" t="s">
        <v>22</v>
      </c>
      <c r="P658" s="3">
        <v>6</v>
      </c>
      <c r="Q658" s="2" t="s">
        <v>46</v>
      </c>
      <c r="R658" s="2" t="s">
        <v>24</v>
      </c>
      <c r="S658">
        <f>Table1[[#This Row],[Purchase_Amount]]*Table1[[#This Row],[Quantity]]</f>
        <v>246.36</v>
      </c>
      <c r="T658" t="str">
        <f>IF(Table1[[#This Row],[Age]]&lt;25,"&lt;25",IF(Table1[[#This Row],[Age]]&lt;=35,"25-35",IF(Table1[[#This Row],[Age]]&lt;=50,"36-50","50+")))</f>
        <v>36-50</v>
      </c>
    </row>
    <row r="659" spans="1:20" x14ac:dyDescent="0.3">
      <c r="A659" s="2" t="s">
        <v>862</v>
      </c>
      <c r="B659" s="2" t="s">
        <v>26</v>
      </c>
      <c r="C659" s="3">
        <v>51</v>
      </c>
      <c r="D659" s="2" t="s">
        <v>64</v>
      </c>
      <c r="E659" s="2" t="s">
        <v>18</v>
      </c>
      <c r="F659" s="2" t="s">
        <v>27</v>
      </c>
      <c r="G659" t="s">
        <v>34</v>
      </c>
      <c r="H659" t="s">
        <v>200</v>
      </c>
      <c r="I659" s="4">
        <v>473.04</v>
      </c>
      <c r="J659" s="3">
        <v>4</v>
      </c>
      <c r="K659" s="1">
        <v>45074</v>
      </c>
      <c r="L659" s="1" t="str">
        <f>TEXT(Table1[[#This Row],[Purchase_Date]],"YYYY")</f>
        <v>2023</v>
      </c>
      <c r="M659" s="1" t="str">
        <f>TEXT(Table1[[#This Row],[Purchase_Date]],"MMM")</f>
        <v>May</v>
      </c>
      <c r="N659" s="1" t="str">
        <f>TEXT(Table1[[#This Row],[Purchase_Date]],"DD")</f>
        <v>28</v>
      </c>
      <c r="O659" s="2" t="s">
        <v>30</v>
      </c>
      <c r="P659" s="3">
        <v>9</v>
      </c>
      <c r="Q659" s="2" t="s">
        <v>23</v>
      </c>
      <c r="R659" s="2" t="s">
        <v>24</v>
      </c>
      <c r="S659">
        <f>Table1[[#This Row],[Purchase_Amount]]*Table1[[#This Row],[Quantity]]</f>
        <v>1892.16</v>
      </c>
      <c r="T659" t="str">
        <f>IF(Table1[[#This Row],[Age]]&lt;25,"&lt;25",IF(Table1[[#This Row],[Age]]&lt;=35,"25-35",IF(Table1[[#This Row],[Age]]&lt;=50,"36-50","50+")))</f>
        <v>50+</v>
      </c>
    </row>
    <row r="660" spans="1:20" x14ac:dyDescent="0.3">
      <c r="A660" s="2" t="s">
        <v>949</v>
      </c>
      <c r="B660" s="2" t="s">
        <v>26</v>
      </c>
      <c r="C660" s="3">
        <v>52</v>
      </c>
      <c r="D660" s="2" t="s">
        <v>109</v>
      </c>
      <c r="E660" s="2" t="s">
        <v>33</v>
      </c>
      <c r="F660" s="2" t="s">
        <v>27</v>
      </c>
      <c r="G660" t="s">
        <v>34</v>
      </c>
      <c r="H660" t="s">
        <v>586</v>
      </c>
      <c r="I660" s="4">
        <v>232.14</v>
      </c>
      <c r="J660" s="3">
        <v>5</v>
      </c>
      <c r="K660" s="1">
        <v>45446</v>
      </c>
      <c r="L660" s="1" t="str">
        <f>TEXT(Table1[[#This Row],[Purchase_Date]],"YYYY")</f>
        <v>2024</v>
      </c>
      <c r="M660" s="1" t="str">
        <f>TEXT(Table1[[#This Row],[Purchase_Date]],"MMM")</f>
        <v>Jun</v>
      </c>
      <c r="N660" s="1" t="str">
        <f>TEXT(Table1[[#This Row],[Purchase_Date]],"DD")</f>
        <v>03</v>
      </c>
      <c r="O660" s="2" t="s">
        <v>22</v>
      </c>
      <c r="P660" s="3">
        <v>1</v>
      </c>
      <c r="Q660" s="2" t="s">
        <v>23</v>
      </c>
      <c r="R660" s="2" t="s">
        <v>24</v>
      </c>
      <c r="S660">
        <f>Table1[[#This Row],[Purchase_Amount]]*Table1[[#This Row],[Quantity]]</f>
        <v>1160.6999999999998</v>
      </c>
      <c r="T660" t="str">
        <f>IF(Table1[[#This Row],[Age]]&lt;25,"&lt;25",IF(Table1[[#This Row],[Age]]&lt;=35,"25-35",IF(Table1[[#This Row],[Age]]&lt;=50,"36-50","50+")))</f>
        <v>50+</v>
      </c>
    </row>
    <row r="661" spans="1:20" x14ac:dyDescent="0.3">
      <c r="A661" s="2" t="s">
        <v>195</v>
      </c>
      <c r="B661" s="2" t="s">
        <v>26</v>
      </c>
      <c r="C661" s="3">
        <v>52</v>
      </c>
      <c r="D661" s="2" t="s">
        <v>78</v>
      </c>
      <c r="E661" s="2" t="s">
        <v>49</v>
      </c>
      <c r="F661" s="2" t="s">
        <v>44</v>
      </c>
      <c r="G661" t="s">
        <v>34</v>
      </c>
      <c r="H661" t="s">
        <v>196</v>
      </c>
      <c r="I661" s="4">
        <v>867.38</v>
      </c>
      <c r="J661" s="3">
        <v>2</v>
      </c>
      <c r="K661" s="1">
        <v>45132</v>
      </c>
      <c r="L661" s="1" t="str">
        <f>TEXT(Table1[[#This Row],[Purchase_Date]],"YYYY")</f>
        <v>2023</v>
      </c>
      <c r="M661" s="1" t="str">
        <f>TEXT(Table1[[#This Row],[Purchase_Date]],"MMM")</f>
        <v>Jul</v>
      </c>
      <c r="N661" s="1" t="str">
        <f>TEXT(Table1[[#This Row],[Purchase_Date]],"DD")</f>
        <v>25</v>
      </c>
      <c r="O661" s="2" t="s">
        <v>22</v>
      </c>
      <c r="P661" s="3">
        <v>10</v>
      </c>
      <c r="Q661" s="2" t="s">
        <v>23</v>
      </c>
      <c r="R661" s="2" t="s">
        <v>47</v>
      </c>
      <c r="S661">
        <f>Table1[[#This Row],[Purchase_Amount]]*Table1[[#This Row],[Quantity]]</f>
        <v>1734.76</v>
      </c>
      <c r="T661" t="str">
        <f>IF(Table1[[#This Row],[Age]]&lt;25,"&lt;25",IF(Table1[[#This Row],[Age]]&lt;=35,"25-35",IF(Table1[[#This Row],[Age]]&lt;=50,"36-50","50+")))</f>
        <v>50+</v>
      </c>
    </row>
    <row r="662" spans="1:20" x14ac:dyDescent="0.3">
      <c r="A662" s="2" t="s">
        <v>48</v>
      </c>
      <c r="B662" s="2" t="s">
        <v>26</v>
      </c>
      <c r="C662" s="3">
        <v>53</v>
      </c>
      <c r="D662" s="2" t="s">
        <v>32</v>
      </c>
      <c r="E662" s="2" t="s">
        <v>49</v>
      </c>
      <c r="F662" s="2" t="s">
        <v>27</v>
      </c>
      <c r="G662" t="s">
        <v>34</v>
      </c>
      <c r="H662" t="s">
        <v>50</v>
      </c>
      <c r="I662" s="4">
        <v>961.8</v>
      </c>
      <c r="J662" s="3">
        <v>5</v>
      </c>
      <c r="K662" s="1">
        <v>44969</v>
      </c>
      <c r="L662" s="1" t="str">
        <f>TEXT(Table1[[#This Row],[Purchase_Date]],"YYYY")</f>
        <v>2023</v>
      </c>
      <c r="M662" s="1" t="str">
        <f>TEXT(Table1[[#This Row],[Purchase_Date]],"MMM")</f>
        <v>Feb</v>
      </c>
      <c r="N662" s="1" t="str">
        <f>TEXT(Table1[[#This Row],[Purchase_Date]],"DD")</f>
        <v>12</v>
      </c>
      <c r="O662" s="2" t="s">
        <v>30</v>
      </c>
      <c r="P662" s="3">
        <v>9</v>
      </c>
      <c r="Q662" s="2" t="s">
        <v>23</v>
      </c>
      <c r="R662" s="2" t="s">
        <v>47</v>
      </c>
      <c r="S662">
        <f>Table1[[#This Row],[Purchase_Amount]]*Table1[[#This Row],[Quantity]]</f>
        <v>4809</v>
      </c>
      <c r="T662" t="str">
        <f>IF(Table1[[#This Row],[Age]]&lt;25,"&lt;25",IF(Table1[[#This Row],[Age]]&lt;=35,"25-35",IF(Table1[[#This Row],[Age]]&lt;=50,"36-50","50+")))</f>
        <v>50+</v>
      </c>
    </row>
    <row r="663" spans="1:20" x14ac:dyDescent="0.3">
      <c r="A663" s="2" t="s">
        <v>670</v>
      </c>
      <c r="B663" s="2" t="s">
        <v>26</v>
      </c>
      <c r="C663" s="3">
        <v>54</v>
      </c>
      <c r="D663" s="2" t="s">
        <v>38</v>
      </c>
      <c r="E663" s="2" t="s">
        <v>18</v>
      </c>
      <c r="F663" s="2" t="s">
        <v>44</v>
      </c>
      <c r="G663" t="s">
        <v>34</v>
      </c>
      <c r="H663" t="s">
        <v>671</v>
      </c>
      <c r="I663" s="4">
        <v>925.4</v>
      </c>
      <c r="J663" s="3">
        <v>5</v>
      </c>
      <c r="K663" s="1">
        <v>45529</v>
      </c>
      <c r="L663" s="1" t="str">
        <f>TEXT(Table1[[#This Row],[Purchase_Date]],"YYYY")</f>
        <v>2024</v>
      </c>
      <c r="M663" s="1" t="str">
        <f>TEXT(Table1[[#This Row],[Purchase_Date]],"MMM")</f>
        <v>Aug</v>
      </c>
      <c r="N663" s="1" t="str">
        <f>TEXT(Table1[[#This Row],[Purchase_Date]],"DD")</f>
        <v>25</v>
      </c>
      <c r="O663" s="2" t="s">
        <v>30</v>
      </c>
      <c r="P663" s="3">
        <v>10</v>
      </c>
      <c r="Q663" s="2" t="s">
        <v>46</v>
      </c>
      <c r="R663" s="2" t="s">
        <v>24</v>
      </c>
      <c r="S663">
        <f>Table1[[#This Row],[Purchase_Amount]]*Table1[[#This Row],[Quantity]]</f>
        <v>4627</v>
      </c>
      <c r="T663" t="str">
        <f>IF(Table1[[#This Row],[Age]]&lt;25,"&lt;25",IF(Table1[[#This Row],[Age]]&lt;=35,"25-35",IF(Table1[[#This Row],[Age]]&lt;=50,"36-50","50+")))</f>
        <v>50+</v>
      </c>
    </row>
    <row r="664" spans="1:20" x14ac:dyDescent="0.3">
      <c r="A664" s="2" t="s">
        <v>446</v>
      </c>
      <c r="B664" s="2" t="s">
        <v>26</v>
      </c>
      <c r="C664" s="3">
        <v>55</v>
      </c>
      <c r="D664" s="2" t="s">
        <v>60</v>
      </c>
      <c r="E664" s="2" t="s">
        <v>33</v>
      </c>
      <c r="F664" s="2" t="s">
        <v>19</v>
      </c>
      <c r="G664" t="s">
        <v>34</v>
      </c>
      <c r="H664" t="s">
        <v>345</v>
      </c>
      <c r="I664" s="4">
        <v>920.02</v>
      </c>
      <c r="J664" s="3">
        <v>5</v>
      </c>
      <c r="K664" s="1">
        <v>44999</v>
      </c>
      <c r="L664" s="1" t="str">
        <f>TEXT(Table1[[#This Row],[Purchase_Date]],"YYYY")</f>
        <v>2023</v>
      </c>
      <c r="M664" s="1" t="str">
        <f>TEXT(Table1[[#This Row],[Purchase_Date]],"MMM")</f>
        <v>Mar</v>
      </c>
      <c r="N664" s="1" t="str">
        <f>TEXT(Table1[[#This Row],[Purchase_Date]],"DD")</f>
        <v>14</v>
      </c>
      <c r="O664" s="2" t="s">
        <v>22</v>
      </c>
      <c r="P664" s="3">
        <v>4</v>
      </c>
      <c r="Q664" s="2" t="s">
        <v>23</v>
      </c>
      <c r="R664" s="2" t="s">
        <v>24</v>
      </c>
      <c r="S664">
        <f>Table1[[#This Row],[Purchase_Amount]]*Table1[[#This Row],[Quantity]]</f>
        <v>4600.1000000000004</v>
      </c>
      <c r="T664" t="str">
        <f>IF(Table1[[#This Row],[Age]]&lt;25,"&lt;25",IF(Table1[[#This Row],[Age]]&lt;=35,"25-35",IF(Table1[[#This Row],[Age]]&lt;=50,"36-50","50+")))</f>
        <v>50+</v>
      </c>
    </row>
    <row r="665" spans="1:20" x14ac:dyDescent="0.3">
      <c r="A665" s="2" t="s">
        <v>712</v>
      </c>
      <c r="B665" s="2" t="s">
        <v>26</v>
      </c>
      <c r="C665" s="3">
        <v>56</v>
      </c>
      <c r="D665" s="2" t="s">
        <v>38</v>
      </c>
      <c r="E665" s="2" t="s">
        <v>49</v>
      </c>
      <c r="F665" s="2" t="s">
        <v>27</v>
      </c>
      <c r="G665" t="s">
        <v>34</v>
      </c>
      <c r="H665" t="s">
        <v>273</v>
      </c>
      <c r="I665" s="4">
        <v>233.53</v>
      </c>
      <c r="J665" s="3">
        <v>5</v>
      </c>
      <c r="K665" s="1">
        <v>45177</v>
      </c>
      <c r="L665" s="1" t="str">
        <f>TEXT(Table1[[#This Row],[Purchase_Date]],"YYYY")</f>
        <v>2023</v>
      </c>
      <c r="M665" s="1" t="str">
        <f>TEXT(Table1[[#This Row],[Purchase_Date]],"MMM")</f>
        <v>Sep</v>
      </c>
      <c r="N665" s="1" t="str">
        <f>TEXT(Table1[[#This Row],[Purchase_Date]],"DD")</f>
        <v>08</v>
      </c>
      <c r="O665" s="2" t="s">
        <v>36</v>
      </c>
      <c r="P665" s="3">
        <v>1</v>
      </c>
      <c r="Q665" s="2" t="s">
        <v>46</v>
      </c>
      <c r="R665" s="2" t="s">
        <v>47</v>
      </c>
      <c r="S665">
        <f>Table1[[#This Row],[Purchase_Amount]]*Table1[[#This Row],[Quantity]]</f>
        <v>1167.6500000000001</v>
      </c>
      <c r="T665" t="str">
        <f>IF(Table1[[#This Row],[Age]]&lt;25,"&lt;25",IF(Table1[[#This Row],[Age]]&lt;=35,"25-35",IF(Table1[[#This Row],[Age]]&lt;=50,"36-50","50+")))</f>
        <v>50+</v>
      </c>
    </row>
    <row r="666" spans="1:20" x14ac:dyDescent="0.3">
      <c r="A666" s="2" t="s">
        <v>367</v>
      </c>
      <c r="B666" s="2" t="s">
        <v>26</v>
      </c>
      <c r="C666" s="3">
        <v>57</v>
      </c>
      <c r="D666" s="2" t="s">
        <v>38</v>
      </c>
      <c r="E666" s="2" t="s">
        <v>18</v>
      </c>
      <c r="F666" s="2" t="s">
        <v>44</v>
      </c>
      <c r="G666" t="s">
        <v>34</v>
      </c>
      <c r="H666" t="s">
        <v>232</v>
      </c>
      <c r="I666" s="4">
        <v>320.57</v>
      </c>
      <c r="J666" s="3">
        <v>4</v>
      </c>
      <c r="K666" s="1">
        <v>44981</v>
      </c>
      <c r="L666" s="1" t="str">
        <f>TEXT(Table1[[#This Row],[Purchase_Date]],"YYYY")</f>
        <v>2023</v>
      </c>
      <c r="M666" s="1" t="str">
        <f>TEXT(Table1[[#This Row],[Purchase_Date]],"MMM")</f>
        <v>Feb</v>
      </c>
      <c r="N666" s="1" t="str">
        <f>TEXT(Table1[[#This Row],[Purchase_Date]],"DD")</f>
        <v>24</v>
      </c>
      <c r="O666" s="2" t="s">
        <v>22</v>
      </c>
      <c r="P666" s="3">
        <v>1</v>
      </c>
      <c r="Q666" s="2" t="s">
        <v>23</v>
      </c>
      <c r="R666" s="2" t="s">
        <v>24</v>
      </c>
      <c r="S666">
        <f>Table1[[#This Row],[Purchase_Amount]]*Table1[[#This Row],[Quantity]]</f>
        <v>1282.28</v>
      </c>
      <c r="T666" t="str">
        <f>IF(Table1[[#This Row],[Age]]&lt;25,"&lt;25",IF(Table1[[#This Row],[Age]]&lt;=35,"25-35",IF(Table1[[#This Row],[Age]]&lt;=50,"36-50","50+")))</f>
        <v>50+</v>
      </c>
    </row>
    <row r="667" spans="1:20" x14ac:dyDescent="0.3">
      <c r="A667" s="2" t="s">
        <v>1065</v>
      </c>
      <c r="B667" s="2" t="s">
        <v>26</v>
      </c>
      <c r="C667" s="3">
        <v>57</v>
      </c>
      <c r="D667" s="2" t="s">
        <v>64</v>
      </c>
      <c r="E667" s="2" t="s">
        <v>49</v>
      </c>
      <c r="F667" s="2" t="s">
        <v>44</v>
      </c>
      <c r="G667" t="s">
        <v>34</v>
      </c>
      <c r="H667" t="s">
        <v>683</v>
      </c>
      <c r="I667" s="4">
        <v>572.59</v>
      </c>
      <c r="J667" s="3">
        <v>5</v>
      </c>
      <c r="K667" s="1">
        <v>45223</v>
      </c>
      <c r="L667" s="1" t="str">
        <f>TEXT(Table1[[#This Row],[Purchase_Date]],"YYYY")</f>
        <v>2023</v>
      </c>
      <c r="M667" s="1" t="str">
        <f>TEXT(Table1[[#This Row],[Purchase_Date]],"MMM")</f>
        <v>Oct</v>
      </c>
      <c r="N667" s="1" t="str">
        <f>TEXT(Table1[[#This Row],[Purchase_Date]],"DD")</f>
        <v>24</v>
      </c>
      <c r="O667" s="2" t="s">
        <v>22</v>
      </c>
      <c r="P667" s="3">
        <v>3</v>
      </c>
      <c r="Q667" s="2" t="s">
        <v>46</v>
      </c>
      <c r="R667" s="2" t="s">
        <v>24</v>
      </c>
      <c r="S667">
        <f>Table1[[#This Row],[Purchase_Amount]]*Table1[[#This Row],[Quantity]]</f>
        <v>2862.9500000000003</v>
      </c>
      <c r="T667" t="str">
        <f>IF(Table1[[#This Row],[Age]]&lt;25,"&lt;25",IF(Table1[[#This Row],[Age]]&lt;=35,"25-35",IF(Table1[[#This Row],[Age]]&lt;=50,"36-50","50+")))</f>
        <v>50+</v>
      </c>
    </row>
    <row r="668" spans="1:20" x14ac:dyDescent="0.3">
      <c r="A668" s="2" t="s">
        <v>1131</v>
      </c>
      <c r="B668" s="2" t="s">
        <v>26</v>
      </c>
      <c r="C668" s="3">
        <v>58</v>
      </c>
      <c r="D668" s="2" t="s">
        <v>43</v>
      </c>
      <c r="E668" s="2" t="s">
        <v>18</v>
      </c>
      <c r="F668" s="2" t="s">
        <v>44</v>
      </c>
      <c r="G668" t="s">
        <v>34</v>
      </c>
      <c r="H668" t="s">
        <v>91</v>
      </c>
      <c r="I668" s="4">
        <v>282.35000000000002</v>
      </c>
      <c r="J668" s="3">
        <v>4</v>
      </c>
      <c r="K668" s="1">
        <v>45229</v>
      </c>
      <c r="L668" s="1" t="str">
        <f>TEXT(Table1[[#This Row],[Purchase_Date]],"YYYY")</f>
        <v>2023</v>
      </c>
      <c r="M668" s="1" t="str">
        <f>TEXT(Table1[[#This Row],[Purchase_Date]],"MMM")</f>
        <v>Oct</v>
      </c>
      <c r="N668" s="1" t="str">
        <f>TEXT(Table1[[#This Row],[Purchase_Date]],"DD")</f>
        <v>30</v>
      </c>
      <c r="O668" s="2" t="s">
        <v>41</v>
      </c>
      <c r="P668" s="3">
        <v>4</v>
      </c>
      <c r="Q668" s="2" t="s">
        <v>23</v>
      </c>
      <c r="R668" s="2" t="s">
        <v>47</v>
      </c>
      <c r="S668">
        <f>Table1[[#This Row],[Purchase_Amount]]*Table1[[#This Row],[Quantity]]</f>
        <v>1129.4000000000001</v>
      </c>
      <c r="T668" t="str">
        <f>IF(Table1[[#This Row],[Age]]&lt;25,"&lt;25",IF(Table1[[#This Row],[Age]]&lt;=35,"25-35",IF(Table1[[#This Row],[Age]]&lt;=50,"36-50","50+")))</f>
        <v>50+</v>
      </c>
    </row>
    <row r="669" spans="1:20" x14ac:dyDescent="0.3">
      <c r="A669" s="2" t="s">
        <v>838</v>
      </c>
      <c r="B669" s="2" t="s">
        <v>26</v>
      </c>
      <c r="C669" s="3">
        <v>60</v>
      </c>
      <c r="D669" s="2" t="s">
        <v>43</v>
      </c>
      <c r="E669" s="2" t="s">
        <v>18</v>
      </c>
      <c r="F669" s="2" t="s">
        <v>27</v>
      </c>
      <c r="G669" t="s">
        <v>34</v>
      </c>
      <c r="H669" t="s">
        <v>65</v>
      </c>
      <c r="I669" s="4">
        <v>476.91</v>
      </c>
      <c r="J669" s="3">
        <v>4</v>
      </c>
      <c r="K669" s="1">
        <v>45218</v>
      </c>
      <c r="L669" s="1" t="str">
        <f>TEXT(Table1[[#This Row],[Purchase_Date]],"YYYY")</f>
        <v>2023</v>
      </c>
      <c r="M669" s="1" t="str">
        <f>TEXT(Table1[[#This Row],[Purchase_Date]],"MMM")</f>
        <v>Oct</v>
      </c>
      <c r="N669" s="1" t="str">
        <f>TEXT(Table1[[#This Row],[Purchase_Date]],"DD")</f>
        <v>19</v>
      </c>
      <c r="O669" s="2" t="s">
        <v>41</v>
      </c>
      <c r="P669" s="3">
        <v>9</v>
      </c>
      <c r="Q669" s="2" t="s">
        <v>23</v>
      </c>
      <c r="R669" s="2" t="s">
        <v>24</v>
      </c>
      <c r="S669">
        <f>Table1[[#This Row],[Purchase_Amount]]*Table1[[#This Row],[Quantity]]</f>
        <v>1907.64</v>
      </c>
      <c r="T669" t="str">
        <f>IF(Table1[[#This Row],[Age]]&lt;25,"&lt;25",IF(Table1[[#This Row],[Age]]&lt;=35,"25-35",IF(Table1[[#This Row],[Age]]&lt;=50,"36-50","50+")))</f>
        <v>50+</v>
      </c>
    </row>
    <row r="670" spans="1:20" x14ac:dyDescent="0.3">
      <c r="A670" s="2" t="s">
        <v>753</v>
      </c>
      <c r="B670" s="2" t="s">
        <v>26</v>
      </c>
      <c r="C670" s="3">
        <v>61</v>
      </c>
      <c r="D670" s="2" t="s">
        <v>38</v>
      </c>
      <c r="E670" s="2" t="s">
        <v>49</v>
      </c>
      <c r="F670" s="2" t="s">
        <v>44</v>
      </c>
      <c r="G670" t="s">
        <v>34</v>
      </c>
      <c r="H670" t="s">
        <v>364</v>
      </c>
      <c r="I670" s="4">
        <v>73.16</v>
      </c>
      <c r="J670" s="3">
        <v>5</v>
      </c>
      <c r="K670" s="1">
        <v>45176</v>
      </c>
      <c r="L670" s="1" t="str">
        <f>TEXT(Table1[[#This Row],[Purchase_Date]],"YYYY")</f>
        <v>2023</v>
      </c>
      <c r="M670" s="1" t="str">
        <f>TEXT(Table1[[#This Row],[Purchase_Date]],"MMM")</f>
        <v>Sep</v>
      </c>
      <c r="N670" s="1" t="str">
        <f>TEXT(Table1[[#This Row],[Purchase_Date]],"DD")</f>
        <v>07</v>
      </c>
      <c r="O670" s="2" t="s">
        <v>41</v>
      </c>
      <c r="P670" s="3">
        <v>1</v>
      </c>
      <c r="Q670" s="2" t="s">
        <v>23</v>
      </c>
      <c r="R670" s="2" t="s">
        <v>47</v>
      </c>
      <c r="S670">
        <f>Table1[[#This Row],[Purchase_Amount]]*Table1[[#This Row],[Quantity]]</f>
        <v>365.79999999999995</v>
      </c>
      <c r="T670" t="str">
        <f>IF(Table1[[#This Row],[Age]]&lt;25,"&lt;25",IF(Table1[[#This Row],[Age]]&lt;=35,"25-35",IF(Table1[[#This Row],[Age]]&lt;=50,"36-50","50+")))</f>
        <v>50+</v>
      </c>
    </row>
    <row r="671" spans="1:20" x14ac:dyDescent="0.3">
      <c r="A671" s="2" t="s">
        <v>833</v>
      </c>
      <c r="B671" s="2" t="s">
        <v>26</v>
      </c>
      <c r="C671" s="3">
        <v>61</v>
      </c>
      <c r="D671" s="2" t="s">
        <v>64</v>
      </c>
      <c r="E671" s="2" t="s">
        <v>33</v>
      </c>
      <c r="F671" s="2" t="s">
        <v>44</v>
      </c>
      <c r="G671" t="s">
        <v>34</v>
      </c>
      <c r="H671" t="s">
        <v>223</v>
      </c>
      <c r="I671" s="4">
        <v>311.85000000000002</v>
      </c>
      <c r="J671" s="3">
        <v>2</v>
      </c>
      <c r="K671" s="1">
        <v>45107</v>
      </c>
      <c r="L671" s="1" t="str">
        <f>TEXT(Table1[[#This Row],[Purchase_Date]],"YYYY")</f>
        <v>2023</v>
      </c>
      <c r="M671" s="1" t="str">
        <f>TEXT(Table1[[#This Row],[Purchase_Date]],"MMM")</f>
        <v>Jun</v>
      </c>
      <c r="N671" s="1" t="str">
        <f>TEXT(Table1[[#This Row],[Purchase_Date]],"DD")</f>
        <v>30</v>
      </c>
      <c r="O671" s="2" t="s">
        <v>22</v>
      </c>
      <c r="P671" s="3">
        <v>9</v>
      </c>
      <c r="Q671" s="2" t="s">
        <v>46</v>
      </c>
      <c r="R671" s="2" t="s">
        <v>47</v>
      </c>
      <c r="S671">
        <f>Table1[[#This Row],[Purchase_Amount]]*Table1[[#This Row],[Quantity]]</f>
        <v>623.70000000000005</v>
      </c>
      <c r="T671" t="str">
        <f>IF(Table1[[#This Row],[Age]]&lt;25,"&lt;25",IF(Table1[[#This Row],[Age]]&lt;=35,"25-35",IF(Table1[[#This Row],[Age]]&lt;=50,"36-50","50+")))</f>
        <v>50+</v>
      </c>
    </row>
    <row r="672" spans="1:20" x14ac:dyDescent="0.3">
      <c r="A672" s="2" t="s">
        <v>765</v>
      </c>
      <c r="B672" s="2" t="s">
        <v>26</v>
      </c>
      <c r="C672" s="3">
        <v>61</v>
      </c>
      <c r="D672" s="2" t="s">
        <v>78</v>
      </c>
      <c r="E672" s="2" t="s">
        <v>49</v>
      </c>
      <c r="F672" s="2" t="s">
        <v>19</v>
      </c>
      <c r="G672" t="s">
        <v>34</v>
      </c>
      <c r="H672" t="s">
        <v>766</v>
      </c>
      <c r="I672" s="4">
        <v>803.82</v>
      </c>
      <c r="J672" s="3">
        <v>4</v>
      </c>
      <c r="K672" s="1">
        <v>45034</v>
      </c>
      <c r="L672" s="1" t="str">
        <f>TEXT(Table1[[#This Row],[Purchase_Date]],"YYYY")</f>
        <v>2023</v>
      </c>
      <c r="M672" s="1" t="str">
        <f>TEXT(Table1[[#This Row],[Purchase_Date]],"MMM")</f>
        <v>Apr</v>
      </c>
      <c r="N672" s="1" t="str">
        <f>TEXT(Table1[[#This Row],[Purchase_Date]],"DD")</f>
        <v>18</v>
      </c>
      <c r="O672" s="2" t="s">
        <v>36</v>
      </c>
      <c r="P672" s="3">
        <v>8</v>
      </c>
      <c r="Q672" s="2" t="s">
        <v>46</v>
      </c>
      <c r="R672" s="2" t="s">
        <v>24</v>
      </c>
      <c r="S672">
        <f>Table1[[#This Row],[Purchase_Amount]]*Table1[[#This Row],[Quantity]]</f>
        <v>3215.28</v>
      </c>
      <c r="T672" t="str">
        <f>IF(Table1[[#This Row],[Age]]&lt;25,"&lt;25",IF(Table1[[#This Row],[Age]]&lt;=35,"25-35",IF(Table1[[#This Row],[Age]]&lt;=50,"36-50","50+")))</f>
        <v>50+</v>
      </c>
    </row>
    <row r="673" spans="1:20" x14ac:dyDescent="0.3">
      <c r="A673" s="2" t="s">
        <v>544</v>
      </c>
      <c r="B673" s="2" t="s">
        <v>26</v>
      </c>
      <c r="C673" s="3">
        <v>63</v>
      </c>
      <c r="D673" s="2" t="s">
        <v>32</v>
      </c>
      <c r="E673" s="2" t="s">
        <v>49</v>
      </c>
      <c r="F673" s="2" t="s">
        <v>44</v>
      </c>
      <c r="G673" t="s">
        <v>34</v>
      </c>
      <c r="H673" t="s">
        <v>91</v>
      </c>
      <c r="I673" s="4">
        <v>849.07</v>
      </c>
      <c r="J673" s="3">
        <v>3</v>
      </c>
      <c r="K673" s="1">
        <v>45250</v>
      </c>
      <c r="L673" s="1" t="str">
        <f>TEXT(Table1[[#This Row],[Purchase_Date]],"YYYY")</f>
        <v>2023</v>
      </c>
      <c r="M673" s="1" t="str">
        <f>TEXT(Table1[[#This Row],[Purchase_Date]],"MMM")</f>
        <v>Nov</v>
      </c>
      <c r="N673" s="1" t="str">
        <f>TEXT(Table1[[#This Row],[Purchase_Date]],"DD")</f>
        <v>20</v>
      </c>
      <c r="O673" s="2" t="s">
        <v>41</v>
      </c>
      <c r="P673" s="3">
        <v>10</v>
      </c>
      <c r="Q673" s="2" t="s">
        <v>23</v>
      </c>
      <c r="R673" s="2" t="s">
        <v>24</v>
      </c>
      <c r="S673">
        <f>Table1[[#This Row],[Purchase_Amount]]*Table1[[#This Row],[Quantity]]</f>
        <v>2547.21</v>
      </c>
      <c r="T673" t="str">
        <f>IF(Table1[[#This Row],[Age]]&lt;25,"&lt;25",IF(Table1[[#This Row],[Age]]&lt;=35,"25-35",IF(Table1[[#This Row],[Age]]&lt;=50,"36-50","50+")))</f>
        <v>50+</v>
      </c>
    </row>
    <row r="674" spans="1:20" x14ac:dyDescent="0.3">
      <c r="A674" s="2" t="s">
        <v>902</v>
      </c>
      <c r="B674" s="2" t="s">
        <v>26</v>
      </c>
      <c r="C674" s="3">
        <v>63</v>
      </c>
      <c r="D674" s="2" t="s">
        <v>32</v>
      </c>
      <c r="E674" s="2" t="s">
        <v>33</v>
      </c>
      <c r="F674" s="2" t="s">
        <v>27</v>
      </c>
      <c r="G674" t="s">
        <v>34</v>
      </c>
      <c r="H674" t="s">
        <v>185</v>
      </c>
      <c r="I674" s="4">
        <v>966.89</v>
      </c>
      <c r="J674" s="3">
        <v>2</v>
      </c>
      <c r="K674" s="1">
        <v>45560</v>
      </c>
      <c r="L674" s="1" t="str">
        <f>TEXT(Table1[[#This Row],[Purchase_Date]],"YYYY")</f>
        <v>2024</v>
      </c>
      <c r="M674" s="1" t="str">
        <f>TEXT(Table1[[#This Row],[Purchase_Date]],"MMM")</f>
        <v>Sep</v>
      </c>
      <c r="N674" s="1" t="str">
        <f>TEXT(Table1[[#This Row],[Purchase_Date]],"DD")</f>
        <v>25</v>
      </c>
      <c r="O674" s="2" t="s">
        <v>36</v>
      </c>
      <c r="P674" s="3">
        <v>9</v>
      </c>
      <c r="Q674" s="2" t="s">
        <v>46</v>
      </c>
      <c r="R674" s="2" t="s">
        <v>24</v>
      </c>
      <c r="S674">
        <f>Table1[[#This Row],[Purchase_Amount]]*Table1[[#This Row],[Quantity]]</f>
        <v>1933.78</v>
      </c>
      <c r="T674" t="str">
        <f>IF(Table1[[#This Row],[Age]]&lt;25,"&lt;25",IF(Table1[[#This Row],[Age]]&lt;=35,"25-35",IF(Table1[[#This Row],[Age]]&lt;=50,"36-50","50+")))</f>
        <v>50+</v>
      </c>
    </row>
    <row r="675" spans="1:20" x14ac:dyDescent="0.3">
      <c r="A675" s="2" t="s">
        <v>1104</v>
      </c>
      <c r="B675" s="2" t="s">
        <v>26</v>
      </c>
      <c r="C675" s="3">
        <v>64</v>
      </c>
      <c r="D675" s="2" t="s">
        <v>109</v>
      </c>
      <c r="E675" s="2" t="s">
        <v>18</v>
      </c>
      <c r="F675" s="2" t="s">
        <v>27</v>
      </c>
      <c r="G675" t="s">
        <v>34</v>
      </c>
      <c r="H675" t="s">
        <v>215</v>
      </c>
      <c r="I675" s="4">
        <v>142.08000000000001</v>
      </c>
      <c r="J675" s="3">
        <v>5</v>
      </c>
      <c r="K675" s="1">
        <v>45246</v>
      </c>
      <c r="L675" s="1" t="str">
        <f>TEXT(Table1[[#This Row],[Purchase_Date]],"YYYY")</f>
        <v>2023</v>
      </c>
      <c r="M675" s="1" t="str">
        <f>TEXT(Table1[[#This Row],[Purchase_Date]],"MMM")</f>
        <v>Nov</v>
      </c>
      <c r="N675" s="1" t="str">
        <f>TEXT(Table1[[#This Row],[Purchase_Date]],"DD")</f>
        <v>16</v>
      </c>
      <c r="O675" s="2" t="s">
        <v>22</v>
      </c>
      <c r="P675" s="3">
        <v>8</v>
      </c>
      <c r="Q675" s="2" t="s">
        <v>23</v>
      </c>
      <c r="R675" s="2" t="s">
        <v>24</v>
      </c>
      <c r="S675">
        <f>Table1[[#This Row],[Purchase_Amount]]*Table1[[#This Row],[Quantity]]</f>
        <v>710.40000000000009</v>
      </c>
      <c r="T675" t="str">
        <f>IF(Table1[[#This Row],[Age]]&lt;25,"&lt;25",IF(Table1[[#This Row],[Age]]&lt;=35,"25-35",IF(Table1[[#This Row],[Age]]&lt;=50,"36-50","50+")))</f>
        <v>50+</v>
      </c>
    </row>
    <row r="676" spans="1:20" x14ac:dyDescent="0.3">
      <c r="A676" s="2" t="s">
        <v>959</v>
      </c>
      <c r="B676" s="2" t="s">
        <v>26</v>
      </c>
      <c r="C676" s="3">
        <v>64</v>
      </c>
      <c r="D676" s="2" t="s">
        <v>64</v>
      </c>
      <c r="E676" s="2" t="s">
        <v>33</v>
      </c>
      <c r="F676" s="2" t="s">
        <v>27</v>
      </c>
      <c r="G676" t="s">
        <v>34</v>
      </c>
      <c r="H676" t="s">
        <v>349</v>
      </c>
      <c r="I676" s="4">
        <v>148.06</v>
      </c>
      <c r="J676" s="3">
        <v>1</v>
      </c>
      <c r="K676" s="1">
        <v>45205</v>
      </c>
      <c r="L676" s="1" t="str">
        <f>TEXT(Table1[[#This Row],[Purchase_Date]],"YYYY")</f>
        <v>2023</v>
      </c>
      <c r="M676" s="1" t="str">
        <f>TEXT(Table1[[#This Row],[Purchase_Date]],"MMM")</f>
        <v>Oct</v>
      </c>
      <c r="N676" s="1" t="str">
        <f>TEXT(Table1[[#This Row],[Purchase_Date]],"DD")</f>
        <v>06</v>
      </c>
      <c r="O676" s="2" t="s">
        <v>41</v>
      </c>
      <c r="P676" s="3">
        <v>1</v>
      </c>
      <c r="Q676" s="2" t="s">
        <v>46</v>
      </c>
      <c r="R676" s="2" t="s">
        <v>47</v>
      </c>
      <c r="S676">
        <f>Table1[[#This Row],[Purchase_Amount]]*Table1[[#This Row],[Quantity]]</f>
        <v>148.06</v>
      </c>
      <c r="T676" t="str">
        <f>IF(Table1[[#This Row],[Age]]&lt;25,"&lt;25",IF(Table1[[#This Row],[Age]]&lt;=35,"25-35",IF(Table1[[#This Row],[Age]]&lt;=50,"36-50","50+")))</f>
        <v>50+</v>
      </c>
    </row>
    <row r="677" spans="1:20" x14ac:dyDescent="0.3">
      <c r="A677" s="2" t="s">
        <v>879</v>
      </c>
      <c r="B677" s="2" t="s">
        <v>26</v>
      </c>
      <c r="C677" s="3">
        <v>64</v>
      </c>
      <c r="D677" s="2" t="s">
        <v>43</v>
      </c>
      <c r="E677" s="2" t="s">
        <v>49</v>
      </c>
      <c r="F677" s="2" t="s">
        <v>19</v>
      </c>
      <c r="G677" t="s">
        <v>34</v>
      </c>
      <c r="H677" t="s">
        <v>280</v>
      </c>
      <c r="I677" s="4">
        <v>962.44</v>
      </c>
      <c r="J677" s="3">
        <v>4</v>
      </c>
      <c r="K677" s="1">
        <v>44977</v>
      </c>
      <c r="L677" s="1" t="str">
        <f>TEXT(Table1[[#This Row],[Purchase_Date]],"YYYY")</f>
        <v>2023</v>
      </c>
      <c r="M677" s="1" t="str">
        <f>TEXT(Table1[[#This Row],[Purchase_Date]],"MMM")</f>
        <v>Feb</v>
      </c>
      <c r="N677" s="1" t="str">
        <f>TEXT(Table1[[#This Row],[Purchase_Date]],"DD")</f>
        <v>20</v>
      </c>
      <c r="O677" s="2" t="s">
        <v>41</v>
      </c>
      <c r="P677" s="3">
        <v>8</v>
      </c>
      <c r="Q677" s="2" t="s">
        <v>23</v>
      </c>
      <c r="R677" s="2" t="s">
        <v>24</v>
      </c>
      <c r="S677">
        <f>Table1[[#This Row],[Purchase_Amount]]*Table1[[#This Row],[Quantity]]</f>
        <v>3849.76</v>
      </c>
      <c r="T677" t="str">
        <f>IF(Table1[[#This Row],[Age]]&lt;25,"&lt;25",IF(Table1[[#This Row],[Age]]&lt;=35,"25-35",IF(Table1[[#This Row],[Age]]&lt;=50,"36-50","50+")))</f>
        <v>50+</v>
      </c>
    </row>
    <row r="678" spans="1:20" x14ac:dyDescent="0.3">
      <c r="A678" s="2" t="s">
        <v>811</v>
      </c>
      <c r="B678" s="2" t="s">
        <v>26</v>
      </c>
      <c r="C678" s="3">
        <v>65</v>
      </c>
      <c r="D678" s="2" t="s">
        <v>43</v>
      </c>
      <c r="E678" s="2" t="s">
        <v>49</v>
      </c>
      <c r="F678" s="2" t="s">
        <v>27</v>
      </c>
      <c r="G678" t="s">
        <v>34</v>
      </c>
      <c r="H678" t="s">
        <v>125</v>
      </c>
      <c r="I678" s="4">
        <v>392.19</v>
      </c>
      <c r="J678" s="3">
        <v>1</v>
      </c>
      <c r="K678" s="1">
        <v>45588</v>
      </c>
      <c r="L678" s="1" t="str">
        <f>TEXT(Table1[[#This Row],[Purchase_Date]],"YYYY")</f>
        <v>2024</v>
      </c>
      <c r="M678" s="1" t="str">
        <f>TEXT(Table1[[#This Row],[Purchase_Date]],"MMM")</f>
        <v>Oct</v>
      </c>
      <c r="N678" s="1" t="str">
        <f>TEXT(Table1[[#This Row],[Purchase_Date]],"DD")</f>
        <v>23</v>
      </c>
      <c r="O678" s="2" t="s">
        <v>22</v>
      </c>
      <c r="P678" s="3">
        <v>1</v>
      </c>
      <c r="Q678" s="2" t="s">
        <v>46</v>
      </c>
      <c r="R678" s="2" t="s">
        <v>24</v>
      </c>
      <c r="S678">
        <f>Table1[[#This Row],[Purchase_Amount]]*Table1[[#This Row],[Quantity]]</f>
        <v>392.19</v>
      </c>
      <c r="T678" t="str">
        <f>IF(Table1[[#This Row],[Age]]&lt;25,"&lt;25",IF(Table1[[#This Row],[Age]]&lt;=35,"25-35",IF(Table1[[#This Row],[Age]]&lt;=50,"36-50","50+")))</f>
        <v>50+</v>
      </c>
    </row>
    <row r="679" spans="1:20" x14ac:dyDescent="0.3">
      <c r="A679" s="2" t="s">
        <v>402</v>
      </c>
      <c r="B679" s="2" t="s">
        <v>26</v>
      </c>
      <c r="C679" s="3">
        <v>66</v>
      </c>
      <c r="D679" s="2" t="s">
        <v>17</v>
      </c>
      <c r="E679" s="2" t="s">
        <v>18</v>
      </c>
      <c r="F679" s="2" t="s">
        <v>19</v>
      </c>
      <c r="G679" t="s">
        <v>34</v>
      </c>
      <c r="H679" t="s">
        <v>105</v>
      </c>
      <c r="I679" s="4">
        <v>613.71</v>
      </c>
      <c r="J679" s="3">
        <v>2</v>
      </c>
      <c r="K679" s="1">
        <v>45055</v>
      </c>
      <c r="L679" s="1" t="str">
        <f>TEXT(Table1[[#This Row],[Purchase_Date]],"YYYY")</f>
        <v>2023</v>
      </c>
      <c r="M679" s="1" t="str">
        <f>TEXT(Table1[[#This Row],[Purchase_Date]],"MMM")</f>
        <v>May</v>
      </c>
      <c r="N679" s="1" t="str">
        <f>TEXT(Table1[[#This Row],[Purchase_Date]],"DD")</f>
        <v>09</v>
      </c>
      <c r="O679" s="2" t="s">
        <v>36</v>
      </c>
      <c r="P679" s="3">
        <v>8</v>
      </c>
      <c r="Q679" s="2" t="s">
        <v>46</v>
      </c>
      <c r="R679" s="2" t="s">
        <v>47</v>
      </c>
      <c r="S679">
        <f>Table1[[#This Row],[Purchase_Amount]]*Table1[[#This Row],[Quantity]]</f>
        <v>1227.42</v>
      </c>
      <c r="T679" t="str">
        <f>IF(Table1[[#This Row],[Age]]&lt;25,"&lt;25",IF(Table1[[#This Row],[Age]]&lt;=35,"25-35",IF(Table1[[#This Row],[Age]]&lt;=50,"36-50","50+")))</f>
        <v>50+</v>
      </c>
    </row>
    <row r="680" spans="1:20" x14ac:dyDescent="0.3">
      <c r="A680" s="2" t="s">
        <v>469</v>
      </c>
      <c r="B680" s="2" t="s">
        <v>26</v>
      </c>
      <c r="C680" s="3">
        <v>66</v>
      </c>
      <c r="D680" s="2" t="s">
        <v>60</v>
      </c>
      <c r="E680" s="2" t="s">
        <v>33</v>
      </c>
      <c r="F680" s="2" t="s">
        <v>19</v>
      </c>
      <c r="G680" t="s">
        <v>34</v>
      </c>
      <c r="H680" t="s">
        <v>164</v>
      </c>
      <c r="I680" s="4">
        <v>744.21</v>
      </c>
      <c r="J680" s="3">
        <v>5</v>
      </c>
      <c r="K680" s="1">
        <v>45025</v>
      </c>
      <c r="L680" s="1" t="str">
        <f>TEXT(Table1[[#This Row],[Purchase_Date]],"YYYY")</f>
        <v>2023</v>
      </c>
      <c r="M680" s="1" t="str">
        <f>TEXT(Table1[[#This Row],[Purchase_Date]],"MMM")</f>
        <v>Apr</v>
      </c>
      <c r="N680" s="1" t="str">
        <f>TEXT(Table1[[#This Row],[Purchase_Date]],"DD")</f>
        <v>09</v>
      </c>
      <c r="O680" s="2" t="s">
        <v>22</v>
      </c>
      <c r="P680" s="3">
        <v>6</v>
      </c>
      <c r="Q680" s="2" t="s">
        <v>23</v>
      </c>
      <c r="R680" s="2" t="s">
        <v>24</v>
      </c>
      <c r="S680">
        <f>Table1[[#This Row],[Purchase_Amount]]*Table1[[#This Row],[Quantity]]</f>
        <v>3721.05</v>
      </c>
      <c r="T680" t="str">
        <f>IF(Table1[[#This Row],[Age]]&lt;25,"&lt;25",IF(Table1[[#This Row],[Age]]&lt;=35,"25-35",IF(Table1[[#This Row],[Age]]&lt;=50,"36-50","50+")))</f>
        <v>50+</v>
      </c>
    </row>
    <row r="681" spans="1:20" x14ac:dyDescent="0.3">
      <c r="A681" s="2" t="s">
        <v>406</v>
      </c>
      <c r="B681" s="2" t="s">
        <v>26</v>
      </c>
      <c r="C681" s="3">
        <v>68</v>
      </c>
      <c r="D681" s="2" t="s">
        <v>38</v>
      </c>
      <c r="E681" s="2" t="s">
        <v>18</v>
      </c>
      <c r="F681" s="2" t="s">
        <v>44</v>
      </c>
      <c r="G681" t="s">
        <v>34</v>
      </c>
      <c r="H681" t="s">
        <v>45</v>
      </c>
      <c r="I681" s="4">
        <v>155.69</v>
      </c>
      <c r="J681" s="3">
        <v>1</v>
      </c>
      <c r="K681" s="1">
        <v>45156</v>
      </c>
      <c r="L681" s="1" t="str">
        <f>TEXT(Table1[[#This Row],[Purchase_Date]],"YYYY")</f>
        <v>2023</v>
      </c>
      <c r="M681" s="1" t="str">
        <f>TEXT(Table1[[#This Row],[Purchase_Date]],"MMM")</f>
        <v>Aug</v>
      </c>
      <c r="N681" s="1" t="str">
        <f>TEXT(Table1[[#This Row],[Purchase_Date]],"DD")</f>
        <v>18</v>
      </c>
      <c r="O681" s="2" t="s">
        <v>30</v>
      </c>
      <c r="P681" s="3">
        <v>4</v>
      </c>
      <c r="Q681" s="2" t="s">
        <v>46</v>
      </c>
      <c r="R681" s="2" t="s">
        <v>24</v>
      </c>
      <c r="S681">
        <f>Table1[[#This Row],[Purchase_Amount]]*Table1[[#This Row],[Quantity]]</f>
        <v>155.69</v>
      </c>
      <c r="T681" t="str">
        <f>IF(Table1[[#This Row],[Age]]&lt;25,"&lt;25",IF(Table1[[#This Row],[Age]]&lt;=35,"25-35",IF(Table1[[#This Row],[Age]]&lt;=50,"36-50","50+")))</f>
        <v>50+</v>
      </c>
    </row>
    <row r="682" spans="1:20" x14ac:dyDescent="0.3">
      <c r="A682" s="2" t="s">
        <v>703</v>
      </c>
      <c r="B682" s="2" t="s">
        <v>26</v>
      </c>
      <c r="C682" s="3">
        <v>68</v>
      </c>
      <c r="D682" s="2" t="s">
        <v>60</v>
      </c>
      <c r="E682" s="2" t="s">
        <v>33</v>
      </c>
      <c r="F682" s="2" t="s">
        <v>44</v>
      </c>
      <c r="G682" t="s">
        <v>34</v>
      </c>
      <c r="H682" t="s">
        <v>502</v>
      </c>
      <c r="I682" s="4">
        <v>316.58999999999997</v>
      </c>
      <c r="J682" s="3">
        <v>1</v>
      </c>
      <c r="K682" s="1">
        <v>45505</v>
      </c>
      <c r="L682" s="1" t="str">
        <f>TEXT(Table1[[#This Row],[Purchase_Date]],"YYYY")</f>
        <v>2024</v>
      </c>
      <c r="M682" s="1" t="str">
        <f>TEXT(Table1[[#This Row],[Purchase_Date]],"MMM")</f>
        <v>Aug</v>
      </c>
      <c r="N682" s="1" t="str">
        <f>TEXT(Table1[[#This Row],[Purchase_Date]],"DD")</f>
        <v>01</v>
      </c>
      <c r="O682" s="2" t="s">
        <v>41</v>
      </c>
      <c r="P682" s="3">
        <v>10</v>
      </c>
      <c r="Q682" s="2" t="s">
        <v>23</v>
      </c>
      <c r="R682" s="2" t="s">
        <v>24</v>
      </c>
      <c r="S682">
        <f>Table1[[#This Row],[Purchase_Amount]]*Table1[[#This Row],[Quantity]]</f>
        <v>316.58999999999997</v>
      </c>
      <c r="T682" t="str">
        <f>IF(Table1[[#This Row],[Age]]&lt;25,"&lt;25",IF(Table1[[#This Row],[Age]]&lt;=35,"25-35",IF(Table1[[#This Row],[Age]]&lt;=50,"36-50","50+")))</f>
        <v>50+</v>
      </c>
    </row>
    <row r="683" spans="1:20" x14ac:dyDescent="0.3">
      <c r="A683" s="2" t="s">
        <v>1191</v>
      </c>
      <c r="B683" s="2" t="s">
        <v>16</v>
      </c>
      <c r="C683" s="3">
        <v>20</v>
      </c>
      <c r="D683" s="2" t="s">
        <v>32</v>
      </c>
      <c r="E683" s="2" t="s">
        <v>49</v>
      </c>
      <c r="F683" s="2" t="s">
        <v>19</v>
      </c>
      <c r="G683" t="s">
        <v>55</v>
      </c>
      <c r="H683" t="s">
        <v>330</v>
      </c>
      <c r="I683" s="4">
        <v>250.75</v>
      </c>
      <c r="J683" s="3">
        <v>4</v>
      </c>
      <c r="K683" s="1">
        <v>45304</v>
      </c>
      <c r="L683" s="1" t="str">
        <f>TEXT(Table1[[#This Row],[Purchase_Date]],"YYYY")</f>
        <v>2024</v>
      </c>
      <c r="M683" s="1" t="str">
        <f>TEXT(Table1[[#This Row],[Purchase_Date]],"MMM")</f>
        <v>Jan</v>
      </c>
      <c r="N683" s="1" t="str">
        <f>TEXT(Table1[[#This Row],[Purchase_Date]],"DD")</f>
        <v>13</v>
      </c>
      <c r="O683" s="2" t="s">
        <v>22</v>
      </c>
      <c r="P683" s="3">
        <v>8</v>
      </c>
      <c r="Q683" s="2" t="s">
        <v>23</v>
      </c>
      <c r="R683" s="2" t="s">
        <v>24</v>
      </c>
      <c r="S683">
        <f>Table1[[#This Row],[Purchase_Amount]]*Table1[[#This Row],[Quantity]]</f>
        <v>1003</v>
      </c>
      <c r="T683" t="str">
        <f>IF(Table1[[#This Row],[Age]]&lt;25,"&lt;25",IF(Table1[[#This Row],[Age]]&lt;=35,"25-35",IF(Table1[[#This Row],[Age]]&lt;=50,"36-50","50+")))</f>
        <v>&lt;25</v>
      </c>
    </row>
    <row r="684" spans="1:20" x14ac:dyDescent="0.3">
      <c r="A684" s="2" t="s">
        <v>71</v>
      </c>
      <c r="B684" s="2" t="s">
        <v>16</v>
      </c>
      <c r="C684" s="3">
        <v>21</v>
      </c>
      <c r="D684" s="2" t="s">
        <v>38</v>
      </c>
      <c r="E684" s="2" t="s">
        <v>18</v>
      </c>
      <c r="F684" s="2" t="s">
        <v>27</v>
      </c>
      <c r="G684" t="s">
        <v>55</v>
      </c>
      <c r="H684" t="s">
        <v>72</v>
      </c>
      <c r="I684" s="4">
        <v>399.19</v>
      </c>
      <c r="J684" s="3">
        <v>2</v>
      </c>
      <c r="K684" s="1">
        <v>45138</v>
      </c>
      <c r="L684" s="1" t="str">
        <f>TEXT(Table1[[#This Row],[Purchase_Date]],"YYYY")</f>
        <v>2023</v>
      </c>
      <c r="M684" s="1" t="str">
        <f>TEXT(Table1[[#This Row],[Purchase_Date]],"MMM")</f>
        <v>Jul</v>
      </c>
      <c r="N684" s="1" t="str">
        <f>TEXT(Table1[[#This Row],[Purchase_Date]],"DD")</f>
        <v>31</v>
      </c>
      <c r="O684" s="2" t="s">
        <v>22</v>
      </c>
      <c r="P684" s="3">
        <v>2</v>
      </c>
      <c r="Q684" s="2" t="s">
        <v>23</v>
      </c>
      <c r="R684" s="2" t="s">
        <v>47</v>
      </c>
      <c r="S684">
        <f>Table1[[#This Row],[Purchase_Amount]]*Table1[[#This Row],[Quantity]]</f>
        <v>798.38</v>
      </c>
      <c r="T684" t="str">
        <f>IF(Table1[[#This Row],[Age]]&lt;25,"&lt;25",IF(Table1[[#This Row],[Age]]&lt;=35,"25-35",IF(Table1[[#This Row],[Age]]&lt;=50,"36-50","50+")))</f>
        <v>&lt;25</v>
      </c>
    </row>
    <row r="685" spans="1:20" x14ac:dyDescent="0.3">
      <c r="A685" s="2" t="s">
        <v>108</v>
      </c>
      <c r="B685" s="2" t="s">
        <v>16</v>
      </c>
      <c r="C685" s="3">
        <v>21</v>
      </c>
      <c r="D685" s="2" t="s">
        <v>109</v>
      </c>
      <c r="E685" s="2" t="s">
        <v>18</v>
      </c>
      <c r="F685" s="2" t="s">
        <v>27</v>
      </c>
      <c r="G685" t="s">
        <v>55</v>
      </c>
      <c r="H685" t="s">
        <v>110</v>
      </c>
      <c r="I685" s="4">
        <v>599.41</v>
      </c>
      <c r="J685" s="3">
        <v>5</v>
      </c>
      <c r="K685" s="1">
        <v>45309</v>
      </c>
      <c r="L685" s="1" t="str">
        <f>TEXT(Table1[[#This Row],[Purchase_Date]],"YYYY")</f>
        <v>2024</v>
      </c>
      <c r="M685" s="1" t="str">
        <f>TEXT(Table1[[#This Row],[Purchase_Date]],"MMM")</f>
        <v>Jan</v>
      </c>
      <c r="N685" s="1" t="str">
        <f>TEXT(Table1[[#This Row],[Purchase_Date]],"DD")</f>
        <v>18</v>
      </c>
      <c r="O685" s="2" t="s">
        <v>30</v>
      </c>
      <c r="P685" s="3">
        <v>3</v>
      </c>
      <c r="Q685" s="2" t="s">
        <v>23</v>
      </c>
      <c r="R685" s="2" t="s">
        <v>24</v>
      </c>
      <c r="S685">
        <f>Table1[[#This Row],[Purchase_Amount]]*Table1[[#This Row],[Quantity]]</f>
        <v>2997.0499999999997</v>
      </c>
      <c r="T685" t="str">
        <f>IF(Table1[[#This Row],[Age]]&lt;25,"&lt;25",IF(Table1[[#This Row],[Age]]&lt;=35,"25-35",IF(Table1[[#This Row],[Age]]&lt;=50,"36-50","50+")))</f>
        <v>&lt;25</v>
      </c>
    </row>
    <row r="686" spans="1:20" x14ac:dyDescent="0.3">
      <c r="A686" s="2" t="s">
        <v>1015</v>
      </c>
      <c r="B686" s="2" t="s">
        <v>16</v>
      </c>
      <c r="C686" s="3">
        <v>23</v>
      </c>
      <c r="D686" s="2" t="s">
        <v>32</v>
      </c>
      <c r="E686" s="2" t="s">
        <v>18</v>
      </c>
      <c r="F686" s="2" t="s">
        <v>27</v>
      </c>
      <c r="G686" t="s">
        <v>55</v>
      </c>
      <c r="H686" t="s">
        <v>164</v>
      </c>
      <c r="I686" s="4">
        <v>207.1</v>
      </c>
      <c r="J686" s="3">
        <v>1</v>
      </c>
      <c r="K686" s="1">
        <v>45120</v>
      </c>
      <c r="L686" s="1" t="str">
        <f>TEXT(Table1[[#This Row],[Purchase_Date]],"YYYY")</f>
        <v>2023</v>
      </c>
      <c r="M686" s="1" t="str">
        <f>TEXT(Table1[[#This Row],[Purchase_Date]],"MMM")</f>
        <v>Jul</v>
      </c>
      <c r="N686" s="1" t="str">
        <f>TEXT(Table1[[#This Row],[Purchase_Date]],"DD")</f>
        <v>13</v>
      </c>
      <c r="O686" s="2" t="s">
        <v>36</v>
      </c>
      <c r="P686" s="3">
        <v>1</v>
      </c>
      <c r="Q686" s="2" t="s">
        <v>23</v>
      </c>
      <c r="R686" s="2" t="s">
        <v>24</v>
      </c>
      <c r="S686">
        <f>Table1[[#This Row],[Purchase_Amount]]*Table1[[#This Row],[Quantity]]</f>
        <v>207.1</v>
      </c>
      <c r="T686" t="str">
        <f>IF(Table1[[#This Row],[Age]]&lt;25,"&lt;25",IF(Table1[[#This Row],[Age]]&lt;=35,"25-35",IF(Table1[[#This Row],[Age]]&lt;=50,"36-50","50+")))</f>
        <v>&lt;25</v>
      </c>
    </row>
    <row r="687" spans="1:20" x14ac:dyDescent="0.3">
      <c r="A687" s="2" t="s">
        <v>57</v>
      </c>
      <c r="B687" s="2" t="s">
        <v>16</v>
      </c>
      <c r="C687" s="3">
        <v>23</v>
      </c>
      <c r="D687" s="2" t="s">
        <v>43</v>
      </c>
      <c r="E687" s="2" t="s">
        <v>18</v>
      </c>
      <c r="F687" s="2" t="s">
        <v>27</v>
      </c>
      <c r="G687" t="s">
        <v>55</v>
      </c>
      <c r="H687" t="s">
        <v>58</v>
      </c>
      <c r="I687" s="4">
        <v>277.85000000000002</v>
      </c>
      <c r="J687" s="3">
        <v>1</v>
      </c>
      <c r="K687" s="1">
        <v>45083</v>
      </c>
      <c r="L687" s="1" t="str">
        <f>TEXT(Table1[[#This Row],[Purchase_Date]],"YYYY")</f>
        <v>2023</v>
      </c>
      <c r="M687" s="1" t="str">
        <f>TEXT(Table1[[#This Row],[Purchase_Date]],"MMM")</f>
        <v>Jun</v>
      </c>
      <c r="N687" s="1" t="str">
        <f>TEXT(Table1[[#This Row],[Purchase_Date]],"DD")</f>
        <v>06</v>
      </c>
      <c r="O687" s="2" t="s">
        <v>30</v>
      </c>
      <c r="P687" s="3">
        <v>4</v>
      </c>
      <c r="Q687" s="2" t="s">
        <v>23</v>
      </c>
      <c r="R687" s="2" t="s">
        <v>24</v>
      </c>
      <c r="S687">
        <f>Table1[[#This Row],[Purchase_Amount]]*Table1[[#This Row],[Quantity]]</f>
        <v>277.85000000000002</v>
      </c>
      <c r="T687" t="str">
        <f>IF(Table1[[#This Row],[Age]]&lt;25,"&lt;25",IF(Table1[[#This Row],[Age]]&lt;=35,"25-35",IF(Table1[[#This Row],[Age]]&lt;=50,"36-50","50+")))</f>
        <v>&lt;25</v>
      </c>
    </row>
    <row r="688" spans="1:20" x14ac:dyDescent="0.3">
      <c r="A688" s="2" t="s">
        <v>434</v>
      </c>
      <c r="B688" s="2" t="s">
        <v>16</v>
      </c>
      <c r="C688" s="3">
        <v>26</v>
      </c>
      <c r="D688" s="2" t="s">
        <v>43</v>
      </c>
      <c r="E688" s="2" t="s">
        <v>33</v>
      </c>
      <c r="F688" s="2" t="s">
        <v>44</v>
      </c>
      <c r="G688" t="s">
        <v>55</v>
      </c>
      <c r="H688" t="s">
        <v>362</v>
      </c>
      <c r="I688" s="4">
        <v>345.44</v>
      </c>
      <c r="J688" s="3">
        <v>3</v>
      </c>
      <c r="K688" s="1">
        <v>45311</v>
      </c>
      <c r="L688" s="1" t="str">
        <f>TEXT(Table1[[#This Row],[Purchase_Date]],"YYYY")</f>
        <v>2024</v>
      </c>
      <c r="M688" s="1" t="str">
        <f>TEXT(Table1[[#This Row],[Purchase_Date]],"MMM")</f>
        <v>Jan</v>
      </c>
      <c r="N688" s="1" t="str">
        <f>TEXT(Table1[[#This Row],[Purchase_Date]],"DD")</f>
        <v>20</v>
      </c>
      <c r="O688" s="2" t="s">
        <v>41</v>
      </c>
      <c r="P688" s="3">
        <v>8</v>
      </c>
      <c r="Q688" s="2" t="s">
        <v>46</v>
      </c>
      <c r="R688" s="2" t="s">
        <v>47</v>
      </c>
      <c r="S688">
        <f>Table1[[#This Row],[Purchase_Amount]]*Table1[[#This Row],[Quantity]]</f>
        <v>1036.32</v>
      </c>
      <c r="T688" t="str">
        <f>IF(Table1[[#This Row],[Age]]&lt;25,"&lt;25",IF(Table1[[#This Row],[Age]]&lt;=35,"25-35",IF(Table1[[#This Row],[Age]]&lt;=50,"36-50","50+")))</f>
        <v>25-35</v>
      </c>
    </row>
    <row r="689" spans="1:20" x14ac:dyDescent="0.3">
      <c r="A689" s="2" t="s">
        <v>621</v>
      </c>
      <c r="B689" s="2" t="s">
        <v>16</v>
      </c>
      <c r="C689" s="3">
        <v>26</v>
      </c>
      <c r="D689" s="2" t="s">
        <v>78</v>
      </c>
      <c r="E689" s="2" t="s">
        <v>18</v>
      </c>
      <c r="F689" s="2" t="s">
        <v>27</v>
      </c>
      <c r="G689" t="s">
        <v>55</v>
      </c>
      <c r="H689" t="s">
        <v>62</v>
      </c>
      <c r="I689" s="4">
        <v>522.83000000000004</v>
      </c>
      <c r="J689" s="3">
        <v>3</v>
      </c>
      <c r="K689" s="1">
        <v>45326</v>
      </c>
      <c r="L689" s="1" t="str">
        <f>TEXT(Table1[[#This Row],[Purchase_Date]],"YYYY")</f>
        <v>2024</v>
      </c>
      <c r="M689" s="1" t="str">
        <f>TEXT(Table1[[#This Row],[Purchase_Date]],"MMM")</f>
        <v>Feb</v>
      </c>
      <c r="N689" s="1" t="str">
        <f>TEXT(Table1[[#This Row],[Purchase_Date]],"DD")</f>
        <v>04</v>
      </c>
      <c r="O689" s="2" t="s">
        <v>22</v>
      </c>
      <c r="P689" s="3">
        <v>1</v>
      </c>
      <c r="Q689" s="2" t="s">
        <v>23</v>
      </c>
      <c r="R689" s="2" t="s">
        <v>24</v>
      </c>
      <c r="S689">
        <f>Table1[[#This Row],[Purchase_Amount]]*Table1[[#This Row],[Quantity]]</f>
        <v>1568.4900000000002</v>
      </c>
      <c r="T689" t="str">
        <f>IF(Table1[[#This Row],[Age]]&lt;25,"&lt;25",IF(Table1[[#This Row],[Age]]&lt;=35,"25-35",IF(Table1[[#This Row],[Age]]&lt;=50,"36-50","50+")))</f>
        <v>25-35</v>
      </c>
    </row>
    <row r="690" spans="1:20" x14ac:dyDescent="0.3">
      <c r="A690" s="2" t="s">
        <v>190</v>
      </c>
      <c r="B690" s="2" t="s">
        <v>16</v>
      </c>
      <c r="C690" s="3">
        <v>26</v>
      </c>
      <c r="D690" s="2" t="s">
        <v>109</v>
      </c>
      <c r="E690" s="2" t="s">
        <v>18</v>
      </c>
      <c r="F690" s="2" t="s">
        <v>27</v>
      </c>
      <c r="G690" t="s">
        <v>55</v>
      </c>
      <c r="H690" t="s">
        <v>191</v>
      </c>
      <c r="I690" s="4">
        <v>678.83</v>
      </c>
      <c r="J690" s="3">
        <v>2</v>
      </c>
      <c r="K690" s="1">
        <v>45556</v>
      </c>
      <c r="L690" s="1" t="str">
        <f>TEXT(Table1[[#This Row],[Purchase_Date]],"YYYY")</f>
        <v>2024</v>
      </c>
      <c r="M690" s="1" t="str">
        <f>TEXT(Table1[[#This Row],[Purchase_Date]],"MMM")</f>
        <v>Sep</v>
      </c>
      <c r="N690" s="1" t="str">
        <f>TEXT(Table1[[#This Row],[Purchase_Date]],"DD")</f>
        <v>21</v>
      </c>
      <c r="O690" s="2" t="s">
        <v>36</v>
      </c>
      <c r="P690" s="3">
        <v>4</v>
      </c>
      <c r="Q690" s="2" t="s">
        <v>46</v>
      </c>
      <c r="R690" s="2" t="s">
        <v>24</v>
      </c>
      <c r="S690">
        <f>Table1[[#This Row],[Purchase_Amount]]*Table1[[#This Row],[Quantity]]</f>
        <v>1357.66</v>
      </c>
      <c r="T690" t="str">
        <f>IF(Table1[[#This Row],[Age]]&lt;25,"&lt;25",IF(Table1[[#This Row],[Age]]&lt;=35,"25-35",IF(Table1[[#This Row],[Age]]&lt;=50,"36-50","50+")))</f>
        <v>25-35</v>
      </c>
    </row>
    <row r="691" spans="1:20" x14ac:dyDescent="0.3">
      <c r="A691" s="2" t="s">
        <v>433</v>
      </c>
      <c r="B691" s="2" t="s">
        <v>16</v>
      </c>
      <c r="C691" s="3">
        <v>26</v>
      </c>
      <c r="D691" s="2" t="s">
        <v>43</v>
      </c>
      <c r="E691" s="2" t="s">
        <v>49</v>
      </c>
      <c r="F691" s="2" t="s">
        <v>44</v>
      </c>
      <c r="G691" t="s">
        <v>55</v>
      </c>
      <c r="H691" t="s">
        <v>125</v>
      </c>
      <c r="I691" s="4">
        <v>762.23</v>
      </c>
      <c r="J691" s="3">
        <v>1</v>
      </c>
      <c r="K691" s="1">
        <v>45510</v>
      </c>
      <c r="L691" s="1" t="str">
        <f>TEXT(Table1[[#This Row],[Purchase_Date]],"YYYY")</f>
        <v>2024</v>
      </c>
      <c r="M691" s="1" t="str">
        <f>TEXT(Table1[[#This Row],[Purchase_Date]],"MMM")</f>
        <v>Aug</v>
      </c>
      <c r="N691" s="1" t="str">
        <f>TEXT(Table1[[#This Row],[Purchase_Date]],"DD")</f>
        <v>06</v>
      </c>
      <c r="O691" s="2" t="s">
        <v>22</v>
      </c>
      <c r="P691" s="3">
        <v>10</v>
      </c>
      <c r="Q691" s="2" t="s">
        <v>23</v>
      </c>
      <c r="R691" s="2" t="s">
        <v>24</v>
      </c>
      <c r="S691">
        <f>Table1[[#This Row],[Purchase_Amount]]*Table1[[#This Row],[Quantity]]</f>
        <v>762.23</v>
      </c>
      <c r="T691" t="str">
        <f>IF(Table1[[#This Row],[Age]]&lt;25,"&lt;25",IF(Table1[[#This Row],[Age]]&lt;=35,"25-35",IF(Table1[[#This Row],[Age]]&lt;=50,"36-50","50+")))</f>
        <v>25-35</v>
      </c>
    </row>
    <row r="692" spans="1:20" x14ac:dyDescent="0.3">
      <c r="A692" s="2" t="s">
        <v>735</v>
      </c>
      <c r="B692" s="2" t="s">
        <v>16</v>
      </c>
      <c r="C692" s="3">
        <v>26</v>
      </c>
      <c r="D692" s="2" t="s">
        <v>109</v>
      </c>
      <c r="E692" s="2" t="s">
        <v>33</v>
      </c>
      <c r="F692" s="2" t="s">
        <v>19</v>
      </c>
      <c r="G692" t="s">
        <v>55</v>
      </c>
      <c r="H692" t="s">
        <v>302</v>
      </c>
      <c r="I692" s="4">
        <v>914.1</v>
      </c>
      <c r="J692" s="3">
        <v>5</v>
      </c>
      <c r="K692" s="1">
        <v>45456</v>
      </c>
      <c r="L692" s="1" t="str">
        <f>TEXT(Table1[[#This Row],[Purchase_Date]],"YYYY")</f>
        <v>2024</v>
      </c>
      <c r="M692" s="1" t="str">
        <f>TEXT(Table1[[#This Row],[Purchase_Date]],"MMM")</f>
        <v>Jun</v>
      </c>
      <c r="N692" s="1" t="str">
        <f>TEXT(Table1[[#This Row],[Purchase_Date]],"DD")</f>
        <v>13</v>
      </c>
      <c r="O692" s="2" t="s">
        <v>36</v>
      </c>
      <c r="P692" s="3">
        <v>8</v>
      </c>
      <c r="Q692" s="2" t="s">
        <v>46</v>
      </c>
      <c r="R692" s="2" t="s">
        <v>24</v>
      </c>
      <c r="S692">
        <f>Table1[[#This Row],[Purchase_Amount]]*Table1[[#This Row],[Quantity]]</f>
        <v>4570.5</v>
      </c>
      <c r="T692" t="str">
        <f>IF(Table1[[#This Row],[Age]]&lt;25,"&lt;25",IF(Table1[[#This Row],[Age]]&lt;=35,"25-35",IF(Table1[[#This Row],[Age]]&lt;=50,"36-50","50+")))</f>
        <v>25-35</v>
      </c>
    </row>
    <row r="693" spans="1:20" x14ac:dyDescent="0.3">
      <c r="A693" s="2" t="s">
        <v>930</v>
      </c>
      <c r="B693" s="2" t="s">
        <v>16</v>
      </c>
      <c r="C693" s="3">
        <v>27</v>
      </c>
      <c r="D693" s="2" t="s">
        <v>32</v>
      </c>
      <c r="E693" s="2" t="s">
        <v>18</v>
      </c>
      <c r="F693" s="2" t="s">
        <v>44</v>
      </c>
      <c r="G693" t="s">
        <v>55</v>
      </c>
      <c r="H693" t="s">
        <v>56</v>
      </c>
      <c r="I693" s="4">
        <v>548.35</v>
      </c>
      <c r="J693" s="3">
        <v>2</v>
      </c>
      <c r="K693" s="1">
        <v>45488</v>
      </c>
      <c r="L693" s="1" t="str">
        <f>TEXT(Table1[[#This Row],[Purchase_Date]],"YYYY")</f>
        <v>2024</v>
      </c>
      <c r="M693" s="1" t="str">
        <f>TEXT(Table1[[#This Row],[Purchase_Date]],"MMM")</f>
        <v>Jul</v>
      </c>
      <c r="N693" s="1" t="str">
        <f>TEXT(Table1[[#This Row],[Purchase_Date]],"DD")</f>
        <v>15</v>
      </c>
      <c r="O693" s="2" t="s">
        <v>30</v>
      </c>
      <c r="P693" s="3">
        <v>10</v>
      </c>
      <c r="Q693" s="2" t="s">
        <v>23</v>
      </c>
      <c r="R693" s="2" t="s">
        <v>47</v>
      </c>
      <c r="S693">
        <f>Table1[[#This Row],[Purchase_Amount]]*Table1[[#This Row],[Quantity]]</f>
        <v>1096.7</v>
      </c>
      <c r="T693" t="str">
        <f>IF(Table1[[#This Row],[Age]]&lt;25,"&lt;25",IF(Table1[[#This Row],[Age]]&lt;=35,"25-35",IF(Table1[[#This Row],[Age]]&lt;=50,"36-50","50+")))</f>
        <v>25-35</v>
      </c>
    </row>
    <row r="694" spans="1:20" x14ac:dyDescent="0.3">
      <c r="A694" s="2" t="s">
        <v>146</v>
      </c>
      <c r="B694" s="2" t="s">
        <v>16</v>
      </c>
      <c r="C694" s="3">
        <v>27</v>
      </c>
      <c r="D694" s="2" t="s">
        <v>78</v>
      </c>
      <c r="E694" s="2" t="s">
        <v>49</v>
      </c>
      <c r="F694" s="2" t="s">
        <v>44</v>
      </c>
      <c r="G694" t="s">
        <v>55</v>
      </c>
      <c r="H694" t="s">
        <v>147</v>
      </c>
      <c r="I694" s="4">
        <v>845.44</v>
      </c>
      <c r="J694" s="3">
        <v>4</v>
      </c>
      <c r="K694" s="1">
        <v>45257</v>
      </c>
      <c r="L694" s="1" t="str">
        <f>TEXT(Table1[[#This Row],[Purchase_Date]],"YYYY")</f>
        <v>2023</v>
      </c>
      <c r="M694" s="1" t="str">
        <f>TEXT(Table1[[#This Row],[Purchase_Date]],"MMM")</f>
        <v>Nov</v>
      </c>
      <c r="N694" s="1" t="str">
        <f>TEXT(Table1[[#This Row],[Purchase_Date]],"DD")</f>
        <v>27</v>
      </c>
      <c r="O694" s="2" t="s">
        <v>36</v>
      </c>
      <c r="P694" s="3">
        <v>3</v>
      </c>
      <c r="Q694" s="2" t="s">
        <v>23</v>
      </c>
      <c r="R694" s="2" t="s">
        <v>47</v>
      </c>
      <c r="S694">
        <f>Table1[[#This Row],[Purchase_Amount]]*Table1[[#This Row],[Quantity]]</f>
        <v>3381.76</v>
      </c>
      <c r="T694" t="str">
        <f>IF(Table1[[#This Row],[Age]]&lt;25,"&lt;25",IF(Table1[[#This Row],[Age]]&lt;=35,"25-35",IF(Table1[[#This Row],[Age]]&lt;=50,"36-50","50+")))</f>
        <v>25-35</v>
      </c>
    </row>
    <row r="695" spans="1:20" x14ac:dyDescent="0.3">
      <c r="A695" s="2" t="s">
        <v>413</v>
      </c>
      <c r="B695" s="2" t="s">
        <v>16</v>
      </c>
      <c r="C695" s="3">
        <v>28</v>
      </c>
      <c r="D695" s="2" t="s">
        <v>17</v>
      </c>
      <c r="E695" s="2" t="s">
        <v>49</v>
      </c>
      <c r="F695" s="2" t="s">
        <v>27</v>
      </c>
      <c r="G695" t="s">
        <v>55</v>
      </c>
      <c r="H695" t="s">
        <v>414</v>
      </c>
      <c r="I695" s="4">
        <v>132.01</v>
      </c>
      <c r="J695" s="3">
        <v>2</v>
      </c>
      <c r="K695" s="1">
        <v>45414</v>
      </c>
      <c r="L695" s="1" t="str">
        <f>TEXT(Table1[[#This Row],[Purchase_Date]],"YYYY")</f>
        <v>2024</v>
      </c>
      <c r="M695" s="1" t="str">
        <f>TEXT(Table1[[#This Row],[Purchase_Date]],"MMM")</f>
        <v>May</v>
      </c>
      <c r="N695" s="1" t="str">
        <f>TEXT(Table1[[#This Row],[Purchase_Date]],"DD")</f>
        <v>02</v>
      </c>
      <c r="O695" s="2" t="s">
        <v>22</v>
      </c>
      <c r="P695" s="3">
        <v>3</v>
      </c>
      <c r="Q695" s="2" t="s">
        <v>23</v>
      </c>
      <c r="R695" s="2" t="s">
        <v>47</v>
      </c>
      <c r="S695">
        <f>Table1[[#This Row],[Purchase_Amount]]*Table1[[#This Row],[Quantity]]</f>
        <v>264.02</v>
      </c>
      <c r="T695" t="str">
        <f>IF(Table1[[#This Row],[Age]]&lt;25,"&lt;25",IF(Table1[[#This Row],[Age]]&lt;=35,"25-35",IF(Table1[[#This Row],[Age]]&lt;=50,"36-50","50+")))</f>
        <v>25-35</v>
      </c>
    </row>
    <row r="696" spans="1:20" x14ac:dyDescent="0.3">
      <c r="A696" s="2" t="s">
        <v>118</v>
      </c>
      <c r="B696" s="2" t="s">
        <v>16</v>
      </c>
      <c r="C696" s="3">
        <v>29</v>
      </c>
      <c r="D696" s="2" t="s">
        <v>64</v>
      </c>
      <c r="E696" s="2" t="s">
        <v>49</v>
      </c>
      <c r="F696" s="2" t="s">
        <v>19</v>
      </c>
      <c r="G696" t="s">
        <v>55</v>
      </c>
      <c r="H696" t="s">
        <v>119</v>
      </c>
      <c r="I696" s="4">
        <v>652.26</v>
      </c>
      <c r="J696" s="3">
        <v>2</v>
      </c>
      <c r="K696" s="1">
        <v>45438</v>
      </c>
      <c r="L696" s="1" t="str">
        <f>TEXT(Table1[[#This Row],[Purchase_Date]],"YYYY")</f>
        <v>2024</v>
      </c>
      <c r="M696" s="1" t="str">
        <f>TEXT(Table1[[#This Row],[Purchase_Date]],"MMM")</f>
        <v>May</v>
      </c>
      <c r="N696" s="1" t="str">
        <f>TEXT(Table1[[#This Row],[Purchase_Date]],"DD")</f>
        <v>26</v>
      </c>
      <c r="O696" s="2" t="s">
        <v>22</v>
      </c>
      <c r="P696" s="3">
        <v>2</v>
      </c>
      <c r="Q696" s="2" t="s">
        <v>23</v>
      </c>
      <c r="R696" s="2" t="s">
        <v>24</v>
      </c>
      <c r="S696">
        <f>Table1[[#This Row],[Purchase_Amount]]*Table1[[#This Row],[Quantity]]</f>
        <v>1304.52</v>
      </c>
      <c r="T696" t="str">
        <f>IF(Table1[[#This Row],[Age]]&lt;25,"&lt;25",IF(Table1[[#This Row],[Age]]&lt;=35,"25-35",IF(Table1[[#This Row],[Age]]&lt;=50,"36-50","50+")))</f>
        <v>25-35</v>
      </c>
    </row>
    <row r="697" spans="1:20" x14ac:dyDescent="0.3">
      <c r="A697" s="2" t="s">
        <v>212</v>
      </c>
      <c r="B697" s="2" t="s">
        <v>16</v>
      </c>
      <c r="C697" s="3">
        <v>31</v>
      </c>
      <c r="D697" s="2" t="s">
        <v>109</v>
      </c>
      <c r="E697" s="2" t="s">
        <v>33</v>
      </c>
      <c r="F697" s="2" t="s">
        <v>44</v>
      </c>
      <c r="G697" t="s">
        <v>55</v>
      </c>
      <c r="H697" t="s">
        <v>193</v>
      </c>
      <c r="I697" s="4">
        <v>992.21</v>
      </c>
      <c r="J697" s="3">
        <v>1</v>
      </c>
      <c r="K697" s="1">
        <v>45477</v>
      </c>
      <c r="L697" s="1" t="str">
        <f>TEXT(Table1[[#This Row],[Purchase_Date]],"YYYY")</f>
        <v>2024</v>
      </c>
      <c r="M697" s="1" t="str">
        <f>TEXT(Table1[[#This Row],[Purchase_Date]],"MMM")</f>
        <v>Jul</v>
      </c>
      <c r="N697" s="1" t="str">
        <f>TEXT(Table1[[#This Row],[Purchase_Date]],"DD")</f>
        <v>04</v>
      </c>
      <c r="O697" s="2" t="s">
        <v>30</v>
      </c>
      <c r="P697" s="3">
        <v>9</v>
      </c>
      <c r="Q697" s="2" t="s">
        <v>23</v>
      </c>
      <c r="R697" s="2" t="s">
        <v>24</v>
      </c>
      <c r="S697">
        <f>Table1[[#This Row],[Purchase_Amount]]*Table1[[#This Row],[Quantity]]</f>
        <v>992.21</v>
      </c>
      <c r="T697" t="str">
        <f>IF(Table1[[#This Row],[Age]]&lt;25,"&lt;25",IF(Table1[[#This Row],[Age]]&lt;=35,"25-35",IF(Table1[[#This Row],[Age]]&lt;=50,"36-50","50+")))</f>
        <v>25-35</v>
      </c>
    </row>
    <row r="698" spans="1:20" x14ac:dyDescent="0.3">
      <c r="A698" s="2" t="s">
        <v>1181</v>
      </c>
      <c r="B698" s="2" t="s">
        <v>16</v>
      </c>
      <c r="C698" s="3">
        <v>32</v>
      </c>
      <c r="D698" s="2" t="s">
        <v>78</v>
      </c>
      <c r="E698" s="2" t="s">
        <v>33</v>
      </c>
      <c r="F698" s="2" t="s">
        <v>19</v>
      </c>
      <c r="G698" t="s">
        <v>55</v>
      </c>
      <c r="H698" t="s">
        <v>153</v>
      </c>
      <c r="I698" s="4">
        <v>891.92</v>
      </c>
      <c r="J698" s="3">
        <v>4</v>
      </c>
      <c r="K698" s="1">
        <v>45397</v>
      </c>
      <c r="L698" s="1" t="str">
        <f>TEXT(Table1[[#This Row],[Purchase_Date]],"YYYY")</f>
        <v>2024</v>
      </c>
      <c r="M698" s="1" t="str">
        <f>TEXT(Table1[[#This Row],[Purchase_Date]],"MMM")</f>
        <v>Apr</v>
      </c>
      <c r="N698" s="1" t="str">
        <f>TEXT(Table1[[#This Row],[Purchase_Date]],"DD")</f>
        <v>15</v>
      </c>
      <c r="O698" s="2" t="s">
        <v>36</v>
      </c>
      <c r="P698" s="3">
        <v>10</v>
      </c>
      <c r="Q698" s="2" t="s">
        <v>46</v>
      </c>
      <c r="R698" s="2" t="s">
        <v>24</v>
      </c>
      <c r="S698">
        <f>Table1[[#This Row],[Purchase_Amount]]*Table1[[#This Row],[Quantity]]</f>
        <v>3567.68</v>
      </c>
      <c r="T698" t="str">
        <f>IF(Table1[[#This Row],[Age]]&lt;25,"&lt;25",IF(Table1[[#This Row],[Age]]&lt;=35,"25-35",IF(Table1[[#This Row],[Age]]&lt;=50,"36-50","50+")))</f>
        <v>25-35</v>
      </c>
    </row>
    <row r="699" spans="1:20" x14ac:dyDescent="0.3">
      <c r="A699" s="2" t="s">
        <v>844</v>
      </c>
      <c r="B699" s="2" t="s">
        <v>16</v>
      </c>
      <c r="C699" s="3">
        <v>32</v>
      </c>
      <c r="D699" s="2" t="s">
        <v>32</v>
      </c>
      <c r="E699" s="2" t="s">
        <v>49</v>
      </c>
      <c r="F699" s="2" t="s">
        <v>27</v>
      </c>
      <c r="G699" t="s">
        <v>55</v>
      </c>
      <c r="H699" t="s">
        <v>206</v>
      </c>
      <c r="I699" s="4">
        <v>988.24</v>
      </c>
      <c r="J699" s="3">
        <v>3</v>
      </c>
      <c r="K699" s="1">
        <v>45341</v>
      </c>
      <c r="L699" s="1" t="str">
        <f>TEXT(Table1[[#This Row],[Purchase_Date]],"YYYY")</f>
        <v>2024</v>
      </c>
      <c r="M699" s="1" t="str">
        <f>TEXT(Table1[[#This Row],[Purchase_Date]],"MMM")</f>
        <v>Feb</v>
      </c>
      <c r="N699" s="1" t="str">
        <f>TEXT(Table1[[#This Row],[Purchase_Date]],"DD")</f>
        <v>19</v>
      </c>
      <c r="O699" s="2" t="s">
        <v>41</v>
      </c>
      <c r="P699" s="3">
        <v>3</v>
      </c>
      <c r="Q699" s="2" t="s">
        <v>23</v>
      </c>
      <c r="R699" s="2" t="s">
        <v>47</v>
      </c>
      <c r="S699">
        <f>Table1[[#This Row],[Purchase_Amount]]*Table1[[#This Row],[Quantity]]</f>
        <v>2964.7200000000003</v>
      </c>
      <c r="T699" t="str">
        <f>IF(Table1[[#This Row],[Age]]&lt;25,"&lt;25",IF(Table1[[#This Row],[Age]]&lt;=35,"25-35",IF(Table1[[#This Row],[Age]]&lt;=50,"36-50","50+")))</f>
        <v>25-35</v>
      </c>
    </row>
    <row r="700" spans="1:20" x14ac:dyDescent="0.3">
      <c r="A700" s="2" t="s">
        <v>1178</v>
      </c>
      <c r="B700" s="2" t="s">
        <v>16</v>
      </c>
      <c r="C700" s="3">
        <v>34</v>
      </c>
      <c r="D700" s="2" t="s">
        <v>78</v>
      </c>
      <c r="E700" s="2" t="s">
        <v>33</v>
      </c>
      <c r="F700" s="2" t="s">
        <v>27</v>
      </c>
      <c r="G700" t="s">
        <v>55</v>
      </c>
      <c r="H700" t="s">
        <v>273</v>
      </c>
      <c r="I700" s="4">
        <v>49.4</v>
      </c>
      <c r="J700" s="3">
        <v>2</v>
      </c>
      <c r="K700" s="1">
        <v>45548</v>
      </c>
      <c r="L700" s="1" t="str">
        <f>TEXT(Table1[[#This Row],[Purchase_Date]],"YYYY")</f>
        <v>2024</v>
      </c>
      <c r="M700" s="1" t="str">
        <f>TEXT(Table1[[#This Row],[Purchase_Date]],"MMM")</f>
        <v>Sep</v>
      </c>
      <c r="N700" s="1" t="str">
        <f>TEXT(Table1[[#This Row],[Purchase_Date]],"DD")</f>
        <v>13</v>
      </c>
      <c r="O700" s="2" t="s">
        <v>41</v>
      </c>
      <c r="P700" s="3">
        <v>5</v>
      </c>
      <c r="Q700" s="2" t="s">
        <v>23</v>
      </c>
      <c r="R700" s="2" t="s">
        <v>24</v>
      </c>
      <c r="S700">
        <f>Table1[[#This Row],[Purchase_Amount]]*Table1[[#This Row],[Quantity]]</f>
        <v>98.8</v>
      </c>
      <c r="T700" t="str">
        <f>IF(Table1[[#This Row],[Age]]&lt;25,"&lt;25",IF(Table1[[#This Row],[Age]]&lt;=35,"25-35",IF(Table1[[#This Row],[Age]]&lt;=50,"36-50","50+")))</f>
        <v>25-35</v>
      </c>
    </row>
    <row r="701" spans="1:20" x14ac:dyDescent="0.3">
      <c r="A701" s="2" t="s">
        <v>897</v>
      </c>
      <c r="B701" s="2" t="s">
        <v>16</v>
      </c>
      <c r="C701" s="3">
        <v>35</v>
      </c>
      <c r="D701" s="2" t="s">
        <v>32</v>
      </c>
      <c r="E701" s="2" t="s">
        <v>49</v>
      </c>
      <c r="F701" s="2" t="s">
        <v>44</v>
      </c>
      <c r="G701" t="s">
        <v>55</v>
      </c>
      <c r="H701" t="s">
        <v>89</v>
      </c>
      <c r="I701" s="4">
        <v>515.36</v>
      </c>
      <c r="J701" s="3">
        <v>3</v>
      </c>
      <c r="K701" s="1">
        <v>45295</v>
      </c>
      <c r="L701" s="1" t="str">
        <f>TEXT(Table1[[#This Row],[Purchase_Date]],"YYYY")</f>
        <v>2024</v>
      </c>
      <c r="M701" s="1" t="str">
        <f>TEXT(Table1[[#This Row],[Purchase_Date]],"MMM")</f>
        <v>Jan</v>
      </c>
      <c r="N701" s="1" t="str">
        <f>TEXT(Table1[[#This Row],[Purchase_Date]],"DD")</f>
        <v>04</v>
      </c>
      <c r="O701" s="2" t="s">
        <v>30</v>
      </c>
      <c r="P701" s="3">
        <v>4</v>
      </c>
      <c r="Q701" s="2" t="s">
        <v>23</v>
      </c>
      <c r="R701" s="2" t="s">
        <v>24</v>
      </c>
      <c r="S701">
        <f>Table1[[#This Row],[Purchase_Amount]]*Table1[[#This Row],[Quantity]]</f>
        <v>1546.08</v>
      </c>
      <c r="T701" t="str">
        <f>IF(Table1[[#This Row],[Age]]&lt;25,"&lt;25",IF(Table1[[#This Row],[Age]]&lt;=35,"25-35",IF(Table1[[#This Row],[Age]]&lt;=50,"36-50","50+")))</f>
        <v>25-35</v>
      </c>
    </row>
    <row r="702" spans="1:20" x14ac:dyDescent="0.3">
      <c r="A702" s="2" t="s">
        <v>597</v>
      </c>
      <c r="B702" s="2" t="s">
        <v>16</v>
      </c>
      <c r="C702" s="3">
        <v>36</v>
      </c>
      <c r="D702" s="2" t="s">
        <v>60</v>
      </c>
      <c r="E702" s="2" t="s">
        <v>33</v>
      </c>
      <c r="F702" s="2" t="s">
        <v>19</v>
      </c>
      <c r="G702" t="s">
        <v>55</v>
      </c>
      <c r="H702" t="s">
        <v>326</v>
      </c>
      <c r="I702" s="4">
        <v>94.12</v>
      </c>
      <c r="J702" s="3">
        <v>5</v>
      </c>
      <c r="K702" s="1">
        <v>45542</v>
      </c>
      <c r="L702" s="1" t="str">
        <f>TEXT(Table1[[#This Row],[Purchase_Date]],"YYYY")</f>
        <v>2024</v>
      </c>
      <c r="M702" s="1" t="str">
        <f>TEXT(Table1[[#This Row],[Purchase_Date]],"MMM")</f>
        <v>Sep</v>
      </c>
      <c r="N702" s="1" t="str">
        <f>TEXT(Table1[[#This Row],[Purchase_Date]],"DD")</f>
        <v>07</v>
      </c>
      <c r="O702" s="2" t="s">
        <v>22</v>
      </c>
      <c r="P702" s="3">
        <v>5</v>
      </c>
      <c r="Q702" s="2" t="s">
        <v>46</v>
      </c>
      <c r="R702" s="2" t="s">
        <v>24</v>
      </c>
      <c r="S702">
        <f>Table1[[#This Row],[Purchase_Amount]]*Table1[[#This Row],[Quantity]]</f>
        <v>470.6</v>
      </c>
      <c r="T702" t="str">
        <f>IF(Table1[[#This Row],[Age]]&lt;25,"&lt;25",IF(Table1[[#This Row],[Age]]&lt;=35,"25-35",IF(Table1[[#This Row],[Age]]&lt;=50,"36-50","50+")))</f>
        <v>36-50</v>
      </c>
    </row>
    <row r="703" spans="1:20" x14ac:dyDescent="0.3">
      <c r="A703" s="2" t="s">
        <v>718</v>
      </c>
      <c r="B703" s="2" t="s">
        <v>16</v>
      </c>
      <c r="C703" s="3">
        <v>39</v>
      </c>
      <c r="D703" s="2" t="s">
        <v>109</v>
      </c>
      <c r="E703" s="2" t="s">
        <v>33</v>
      </c>
      <c r="F703" s="2" t="s">
        <v>19</v>
      </c>
      <c r="G703" t="s">
        <v>55</v>
      </c>
      <c r="H703" t="s">
        <v>719</v>
      </c>
      <c r="I703" s="4">
        <v>984.81</v>
      </c>
      <c r="J703" s="3">
        <v>5</v>
      </c>
      <c r="K703" s="1">
        <v>45540</v>
      </c>
      <c r="L703" s="1" t="str">
        <f>TEXT(Table1[[#This Row],[Purchase_Date]],"YYYY")</f>
        <v>2024</v>
      </c>
      <c r="M703" s="1" t="str">
        <f>TEXT(Table1[[#This Row],[Purchase_Date]],"MMM")</f>
        <v>Sep</v>
      </c>
      <c r="N703" s="1" t="str">
        <f>TEXT(Table1[[#This Row],[Purchase_Date]],"DD")</f>
        <v>05</v>
      </c>
      <c r="O703" s="2" t="s">
        <v>30</v>
      </c>
      <c r="P703" s="3">
        <v>10</v>
      </c>
      <c r="Q703" s="2" t="s">
        <v>46</v>
      </c>
      <c r="R703" s="2" t="s">
        <v>24</v>
      </c>
      <c r="S703">
        <f>Table1[[#This Row],[Purchase_Amount]]*Table1[[#This Row],[Quantity]]</f>
        <v>4924.0499999999993</v>
      </c>
      <c r="T703" t="str">
        <f>IF(Table1[[#This Row],[Age]]&lt;25,"&lt;25",IF(Table1[[#This Row],[Age]]&lt;=35,"25-35",IF(Table1[[#This Row],[Age]]&lt;=50,"36-50","50+")))</f>
        <v>36-50</v>
      </c>
    </row>
    <row r="704" spans="1:20" x14ac:dyDescent="0.3">
      <c r="A704" s="2" t="s">
        <v>250</v>
      </c>
      <c r="B704" s="2" t="s">
        <v>16</v>
      </c>
      <c r="C704" s="3">
        <v>40</v>
      </c>
      <c r="D704" s="2" t="s">
        <v>38</v>
      </c>
      <c r="E704" s="2" t="s">
        <v>49</v>
      </c>
      <c r="F704" s="2" t="s">
        <v>27</v>
      </c>
      <c r="G704" t="s">
        <v>55</v>
      </c>
      <c r="H704" t="s">
        <v>229</v>
      </c>
      <c r="I704" s="4">
        <v>336.85</v>
      </c>
      <c r="J704" s="3">
        <v>5</v>
      </c>
      <c r="K704" s="1">
        <v>45057</v>
      </c>
      <c r="L704" s="1" t="str">
        <f>TEXT(Table1[[#This Row],[Purchase_Date]],"YYYY")</f>
        <v>2023</v>
      </c>
      <c r="M704" s="1" t="str">
        <f>TEXT(Table1[[#This Row],[Purchase_Date]],"MMM")</f>
        <v>May</v>
      </c>
      <c r="N704" s="1" t="str">
        <f>TEXT(Table1[[#This Row],[Purchase_Date]],"DD")</f>
        <v>11</v>
      </c>
      <c r="O704" s="2" t="s">
        <v>41</v>
      </c>
      <c r="P704" s="3">
        <v>9</v>
      </c>
      <c r="Q704" s="2" t="s">
        <v>23</v>
      </c>
      <c r="R704" s="2" t="s">
        <v>47</v>
      </c>
      <c r="S704">
        <f>Table1[[#This Row],[Purchase_Amount]]*Table1[[#This Row],[Quantity]]</f>
        <v>1684.25</v>
      </c>
      <c r="T704" t="str">
        <f>IF(Table1[[#This Row],[Age]]&lt;25,"&lt;25",IF(Table1[[#This Row],[Age]]&lt;=35,"25-35",IF(Table1[[#This Row],[Age]]&lt;=50,"36-50","50+")))</f>
        <v>36-50</v>
      </c>
    </row>
    <row r="705" spans="1:20" x14ac:dyDescent="0.3">
      <c r="A705" s="2" t="s">
        <v>595</v>
      </c>
      <c r="B705" s="2" t="s">
        <v>16</v>
      </c>
      <c r="C705" s="3">
        <v>40</v>
      </c>
      <c r="D705" s="2" t="s">
        <v>38</v>
      </c>
      <c r="E705" s="2" t="s">
        <v>49</v>
      </c>
      <c r="F705" s="2" t="s">
        <v>27</v>
      </c>
      <c r="G705" t="s">
        <v>55</v>
      </c>
      <c r="H705" t="s">
        <v>187</v>
      </c>
      <c r="I705" s="4">
        <v>807.12</v>
      </c>
      <c r="J705" s="3">
        <v>1</v>
      </c>
      <c r="K705" s="1">
        <v>44994</v>
      </c>
      <c r="L705" s="1" t="str">
        <f>TEXT(Table1[[#This Row],[Purchase_Date]],"YYYY")</f>
        <v>2023</v>
      </c>
      <c r="M705" s="1" t="str">
        <f>TEXT(Table1[[#This Row],[Purchase_Date]],"MMM")</f>
        <v>Mar</v>
      </c>
      <c r="N705" s="1" t="str">
        <f>TEXT(Table1[[#This Row],[Purchase_Date]],"DD")</f>
        <v>09</v>
      </c>
      <c r="O705" s="2" t="s">
        <v>22</v>
      </c>
      <c r="P705" s="3">
        <v>2</v>
      </c>
      <c r="Q705" s="2" t="s">
        <v>23</v>
      </c>
      <c r="R705" s="2" t="s">
        <v>47</v>
      </c>
      <c r="S705">
        <f>Table1[[#This Row],[Purchase_Amount]]*Table1[[#This Row],[Quantity]]</f>
        <v>807.12</v>
      </c>
      <c r="T705" t="str">
        <f>IF(Table1[[#This Row],[Age]]&lt;25,"&lt;25",IF(Table1[[#This Row],[Age]]&lt;=35,"25-35",IF(Table1[[#This Row],[Age]]&lt;=50,"36-50","50+")))</f>
        <v>36-50</v>
      </c>
    </row>
    <row r="706" spans="1:20" x14ac:dyDescent="0.3">
      <c r="A706" s="2" t="s">
        <v>1190</v>
      </c>
      <c r="B706" s="2" t="s">
        <v>16</v>
      </c>
      <c r="C706" s="3">
        <v>41</v>
      </c>
      <c r="D706" s="2" t="s">
        <v>60</v>
      </c>
      <c r="E706" s="2" t="s">
        <v>49</v>
      </c>
      <c r="F706" s="2" t="s">
        <v>19</v>
      </c>
      <c r="G706" t="s">
        <v>55</v>
      </c>
      <c r="H706" t="s">
        <v>961</v>
      </c>
      <c r="I706" s="4">
        <v>878.35</v>
      </c>
      <c r="J706" s="3">
        <v>3</v>
      </c>
      <c r="K706" s="1">
        <v>45368</v>
      </c>
      <c r="L706" s="1" t="str">
        <f>TEXT(Table1[[#This Row],[Purchase_Date]],"YYYY")</f>
        <v>2024</v>
      </c>
      <c r="M706" s="1" t="str">
        <f>TEXT(Table1[[#This Row],[Purchase_Date]],"MMM")</f>
        <v>Mar</v>
      </c>
      <c r="N706" s="1" t="str">
        <f>TEXT(Table1[[#This Row],[Purchase_Date]],"DD")</f>
        <v>17</v>
      </c>
      <c r="O706" s="2" t="s">
        <v>36</v>
      </c>
      <c r="P706" s="3">
        <v>1</v>
      </c>
      <c r="Q706" s="2" t="s">
        <v>23</v>
      </c>
      <c r="R706" s="2" t="s">
        <v>24</v>
      </c>
      <c r="S706">
        <f>Table1[[#This Row],[Purchase_Amount]]*Table1[[#This Row],[Quantity]]</f>
        <v>2635.05</v>
      </c>
      <c r="T706" t="str">
        <f>IF(Table1[[#This Row],[Age]]&lt;25,"&lt;25",IF(Table1[[#This Row],[Age]]&lt;=35,"25-35",IF(Table1[[#This Row],[Age]]&lt;=50,"36-50","50+")))</f>
        <v>36-50</v>
      </c>
    </row>
    <row r="707" spans="1:20" x14ac:dyDescent="0.3">
      <c r="A707" s="2" t="s">
        <v>1061</v>
      </c>
      <c r="B707" s="2" t="s">
        <v>16</v>
      </c>
      <c r="C707" s="3">
        <v>44</v>
      </c>
      <c r="D707" s="2" t="s">
        <v>38</v>
      </c>
      <c r="E707" s="2" t="s">
        <v>49</v>
      </c>
      <c r="F707" s="2" t="s">
        <v>27</v>
      </c>
      <c r="G707" t="s">
        <v>55</v>
      </c>
      <c r="H707" t="s">
        <v>208</v>
      </c>
      <c r="I707" s="4">
        <v>613.59</v>
      </c>
      <c r="J707" s="3">
        <v>1</v>
      </c>
      <c r="K707" s="1">
        <v>45557</v>
      </c>
      <c r="L707" s="1" t="str">
        <f>TEXT(Table1[[#This Row],[Purchase_Date]],"YYYY")</f>
        <v>2024</v>
      </c>
      <c r="M707" s="1" t="str">
        <f>TEXT(Table1[[#This Row],[Purchase_Date]],"MMM")</f>
        <v>Sep</v>
      </c>
      <c r="N707" s="1" t="str">
        <f>TEXT(Table1[[#This Row],[Purchase_Date]],"DD")</f>
        <v>22</v>
      </c>
      <c r="O707" s="2" t="s">
        <v>41</v>
      </c>
      <c r="P707" s="3">
        <v>8</v>
      </c>
      <c r="Q707" s="2" t="s">
        <v>46</v>
      </c>
      <c r="R707" s="2" t="s">
        <v>24</v>
      </c>
      <c r="S707">
        <f>Table1[[#This Row],[Purchase_Amount]]*Table1[[#This Row],[Quantity]]</f>
        <v>613.59</v>
      </c>
      <c r="T707" t="str">
        <f>IF(Table1[[#This Row],[Age]]&lt;25,"&lt;25",IF(Table1[[#This Row],[Age]]&lt;=35,"25-35",IF(Table1[[#This Row],[Age]]&lt;=50,"36-50","50+")))</f>
        <v>36-50</v>
      </c>
    </row>
    <row r="708" spans="1:20" x14ac:dyDescent="0.3">
      <c r="A708" s="2" t="s">
        <v>1146</v>
      </c>
      <c r="B708" s="2" t="s">
        <v>16</v>
      </c>
      <c r="C708" s="3">
        <v>44</v>
      </c>
      <c r="D708" s="2" t="s">
        <v>64</v>
      </c>
      <c r="E708" s="2" t="s">
        <v>33</v>
      </c>
      <c r="F708" s="2" t="s">
        <v>44</v>
      </c>
      <c r="G708" t="s">
        <v>55</v>
      </c>
      <c r="H708" t="s">
        <v>497</v>
      </c>
      <c r="I708" s="4">
        <v>823.62</v>
      </c>
      <c r="J708" s="3">
        <v>5</v>
      </c>
      <c r="K708" s="1">
        <v>45566</v>
      </c>
      <c r="L708" s="1" t="str">
        <f>TEXT(Table1[[#This Row],[Purchase_Date]],"YYYY")</f>
        <v>2024</v>
      </c>
      <c r="M708" s="1" t="str">
        <f>TEXT(Table1[[#This Row],[Purchase_Date]],"MMM")</f>
        <v>Oct</v>
      </c>
      <c r="N708" s="1" t="str">
        <f>TEXT(Table1[[#This Row],[Purchase_Date]],"DD")</f>
        <v>01</v>
      </c>
      <c r="O708" s="2" t="s">
        <v>41</v>
      </c>
      <c r="P708" s="3">
        <v>3</v>
      </c>
      <c r="Q708" s="2" t="s">
        <v>46</v>
      </c>
      <c r="R708" s="2" t="s">
        <v>24</v>
      </c>
      <c r="S708">
        <f>Table1[[#This Row],[Purchase_Amount]]*Table1[[#This Row],[Quantity]]</f>
        <v>4118.1000000000004</v>
      </c>
      <c r="T708" t="str">
        <f>IF(Table1[[#This Row],[Age]]&lt;25,"&lt;25",IF(Table1[[#This Row],[Age]]&lt;=35,"25-35",IF(Table1[[#This Row],[Age]]&lt;=50,"36-50","50+")))</f>
        <v>36-50</v>
      </c>
    </row>
    <row r="709" spans="1:20" x14ac:dyDescent="0.3">
      <c r="A709" s="2" t="s">
        <v>297</v>
      </c>
      <c r="B709" s="2" t="s">
        <v>16</v>
      </c>
      <c r="C709" s="3">
        <v>44</v>
      </c>
      <c r="D709" s="2" t="s">
        <v>78</v>
      </c>
      <c r="E709" s="2" t="s">
        <v>18</v>
      </c>
      <c r="F709" s="2" t="s">
        <v>44</v>
      </c>
      <c r="G709" t="s">
        <v>55</v>
      </c>
      <c r="H709" t="s">
        <v>298</v>
      </c>
      <c r="I709" s="4">
        <v>889.31</v>
      </c>
      <c r="J709" s="3">
        <v>1</v>
      </c>
      <c r="K709" s="1">
        <v>45345</v>
      </c>
      <c r="L709" s="1" t="str">
        <f>TEXT(Table1[[#This Row],[Purchase_Date]],"YYYY")</f>
        <v>2024</v>
      </c>
      <c r="M709" s="1" t="str">
        <f>TEXT(Table1[[#This Row],[Purchase_Date]],"MMM")</f>
        <v>Feb</v>
      </c>
      <c r="N709" s="1" t="str">
        <f>TEXT(Table1[[#This Row],[Purchase_Date]],"DD")</f>
        <v>23</v>
      </c>
      <c r="O709" s="2" t="s">
        <v>22</v>
      </c>
      <c r="P709" s="3">
        <v>8</v>
      </c>
      <c r="Q709" s="2" t="s">
        <v>23</v>
      </c>
      <c r="R709" s="2" t="s">
        <v>24</v>
      </c>
      <c r="S709">
        <f>Table1[[#This Row],[Purchase_Amount]]*Table1[[#This Row],[Quantity]]</f>
        <v>889.31</v>
      </c>
      <c r="T709" t="str">
        <f>IF(Table1[[#This Row],[Age]]&lt;25,"&lt;25",IF(Table1[[#This Row],[Age]]&lt;=35,"25-35",IF(Table1[[#This Row],[Age]]&lt;=50,"36-50","50+")))</f>
        <v>36-50</v>
      </c>
    </row>
    <row r="710" spans="1:20" x14ac:dyDescent="0.3">
      <c r="A710" s="2" t="s">
        <v>403</v>
      </c>
      <c r="B710" s="2" t="s">
        <v>16</v>
      </c>
      <c r="C710" s="3">
        <v>45</v>
      </c>
      <c r="D710" s="2" t="s">
        <v>32</v>
      </c>
      <c r="E710" s="2" t="s">
        <v>49</v>
      </c>
      <c r="F710" s="2" t="s">
        <v>44</v>
      </c>
      <c r="G710" t="s">
        <v>55</v>
      </c>
      <c r="H710" t="s">
        <v>91</v>
      </c>
      <c r="I710" s="4">
        <v>248.4</v>
      </c>
      <c r="J710" s="3">
        <v>1</v>
      </c>
      <c r="K710" s="1">
        <v>45271</v>
      </c>
      <c r="L710" s="1" t="str">
        <f>TEXT(Table1[[#This Row],[Purchase_Date]],"YYYY")</f>
        <v>2023</v>
      </c>
      <c r="M710" s="1" t="str">
        <f>TEXT(Table1[[#This Row],[Purchase_Date]],"MMM")</f>
        <v>Dec</v>
      </c>
      <c r="N710" s="1" t="str">
        <f>TEXT(Table1[[#This Row],[Purchase_Date]],"DD")</f>
        <v>11</v>
      </c>
      <c r="O710" s="2" t="s">
        <v>41</v>
      </c>
      <c r="P710" s="3">
        <v>6</v>
      </c>
      <c r="Q710" s="2" t="s">
        <v>23</v>
      </c>
      <c r="R710" s="2" t="s">
        <v>47</v>
      </c>
      <c r="S710">
        <f>Table1[[#This Row],[Purchase_Amount]]*Table1[[#This Row],[Quantity]]</f>
        <v>248.4</v>
      </c>
      <c r="T710" t="str">
        <f>IF(Table1[[#This Row],[Age]]&lt;25,"&lt;25",IF(Table1[[#This Row],[Age]]&lt;=35,"25-35",IF(Table1[[#This Row],[Age]]&lt;=50,"36-50","50+")))</f>
        <v>36-50</v>
      </c>
    </row>
    <row r="711" spans="1:20" x14ac:dyDescent="0.3">
      <c r="A711" s="2" t="s">
        <v>1020</v>
      </c>
      <c r="B711" s="2" t="s">
        <v>16</v>
      </c>
      <c r="C711" s="3">
        <v>45</v>
      </c>
      <c r="D711" s="2" t="s">
        <v>32</v>
      </c>
      <c r="E711" s="2" t="s">
        <v>49</v>
      </c>
      <c r="F711" s="2" t="s">
        <v>27</v>
      </c>
      <c r="G711" t="s">
        <v>55</v>
      </c>
      <c r="H711" t="s">
        <v>465</v>
      </c>
      <c r="I711" s="4">
        <v>296.83</v>
      </c>
      <c r="J711" s="3">
        <v>4</v>
      </c>
      <c r="K711" s="1">
        <v>45091</v>
      </c>
      <c r="L711" s="1" t="str">
        <f>TEXT(Table1[[#This Row],[Purchase_Date]],"YYYY")</f>
        <v>2023</v>
      </c>
      <c r="M711" s="1" t="str">
        <f>TEXT(Table1[[#This Row],[Purchase_Date]],"MMM")</f>
        <v>Jun</v>
      </c>
      <c r="N711" s="1" t="str">
        <f>TEXT(Table1[[#This Row],[Purchase_Date]],"DD")</f>
        <v>14</v>
      </c>
      <c r="O711" s="2" t="s">
        <v>41</v>
      </c>
      <c r="P711" s="3">
        <v>1</v>
      </c>
      <c r="Q711" s="2" t="s">
        <v>23</v>
      </c>
      <c r="R711" s="2" t="s">
        <v>24</v>
      </c>
      <c r="S711">
        <f>Table1[[#This Row],[Purchase_Amount]]*Table1[[#This Row],[Quantity]]</f>
        <v>1187.32</v>
      </c>
      <c r="T711" t="str">
        <f>IF(Table1[[#This Row],[Age]]&lt;25,"&lt;25",IF(Table1[[#This Row],[Age]]&lt;=35,"25-35",IF(Table1[[#This Row],[Age]]&lt;=50,"36-50","50+")))</f>
        <v>36-50</v>
      </c>
    </row>
    <row r="712" spans="1:20" x14ac:dyDescent="0.3">
      <c r="A712" s="2" t="s">
        <v>887</v>
      </c>
      <c r="B712" s="2" t="s">
        <v>16</v>
      </c>
      <c r="C712" s="3">
        <v>47</v>
      </c>
      <c r="D712" s="2" t="s">
        <v>60</v>
      </c>
      <c r="E712" s="2" t="s">
        <v>33</v>
      </c>
      <c r="F712" s="2" t="s">
        <v>27</v>
      </c>
      <c r="G712" t="s">
        <v>55</v>
      </c>
      <c r="H712" t="s">
        <v>667</v>
      </c>
      <c r="I712" s="4">
        <v>286.22000000000003</v>
      </c>
      <c r="J712" s="3">
        <v>2</v>
      </c>
      <c r="K712" s="1">
        <v>45254</v>
      </c>
      <c r="L712" s="1" t="str">
        <f>TEXT(Table1[[#This Row],[Purchase_Date]],"YYYY")</f>
        <v>2023</v>
      </c>
      <c r="M712" s="1" t="str">
        <f>TEXT(Table1[[#This Row],[Purchase_Date]],"MMM")</f>
        <v>Nov</v>
      </c>
      <c r="N712" s="1" t="str">
        <f>TEXT(Table1[[#This Row],[Purchase_Date]],"DD")</f>
        <v>24</v>
      </c>
      <c r="O712" s="2" t="s">
        <v>36</v>
      </c>
      <c r="P712" s="3">
        <v>2</v>
      </c>
      <c r="Q712" s="2" t="s">
        <v>23</v>
      </c>
      <c r="R712" s="2" t="s">
        <v>47</v>
      </c>
      <c r="S712">
        <f>Table1[[#This Row],[Purchase_Amount]]*Table1[[#This Row],[Quantity]]</f>
        <v>572.44000000000005</v>
      </c>
      <c r="T712" t="str">
        <f>IF(Table1[[#This Row],[Age]]&lt;25,"&lt;25",IF(Table1[[#This Row],[Age]]&lt;=35,"25-35",IF(Table1[[#This Row],[Age]]&lt;=50,"36-50","50+")))</f>
        <v>36-50</v>
      </c>
    </row>
    <row r="713" spans="1:20" x14ac:dyDescent="0.3">
      <c r="A713" s="2" t="s">
        <v>1058</v>
      </c>
      <c r="B713" s="2" t="s">
        <v>16</v>
      </c>
      <c r="C713" s="3">
        <v>49</v>
      </c>
      <c r="D713" s="2" t="s">
        <v>64</v>
      </c>
      <c r="E713" s="2" t="s">
        <v>33</v>
      </c>
      <c r="F713" s="2" t="s">
        <v>19</v>
      </c>
      <c r="G713" t="s">
        <v>55</v>
      </c>
      <c r="H713" t="s">
        <v>441</v>
      </c>
      <c r="I713" s="4">
        <v>987.49</v>
      </c>
      <c r="J713" s="3">
        <v>1</v>
      </c>
      <c r="K713" s="1">
        <v>45099</v>
      </c>
      <c r="L713" s="1" t="str">
        <f>TEXT(Table1[[#This Row],[Purchase_Date]],"YYYY")</f>
        <v>2023</v>
      </c>
      <c r="M713" s="1" t="str">
        <f>TEXT(Table1[[#This Row],[Purchase_Date]],"MMM")</f>
        <v>Jun</v>
      </c>
      <c r="N713" s="1" t="str">
        <f>TEXT(Table1[[#This Row],[Purchase_Date]],"DD")</f>
        <v>22</v>
      </c>
      <c r="O713" s="2" t="s">
        <v>41</v>
      </c>
      <c r="P713" s="3">
        <v>1</v>
      </c>
      <c r="Q713" s="2" t="s">
        <v>46</v>
      </c>
      <c r="R713" s="2" t="s">
        <v>24</v>
      </c>
      <c r="S713">
        <f>Table1[[#This Row],[Purchase_Amount]]*Table1[[#This Row],[Quantity]]</f>
        <v>987.49</v>
      </c>
      <c r="T713" t="str">
        <f>IF(Table1[[#This Row],[Age]]&lt;25,"&lt;25",IF(Table1[[#This Row],[Age]]&lt;=35,"25-35",IF(Table1[[#This Row],[Age]]&lt;=50,"36-50","50+")))</f>
        <v>36-50</v>
      </c>
    </row>
    <row r="714" spans="1:20" x14ac:dyDescent="0.3">
      <c r="A714" s="2" t="s">
        <v>852</v>
      </c>
      <c r="B714" s="2" t="s">
        <v>16</v>
      </c>
      <c r="C714" s="3">
        <v>50</v>
      </c>
      <c r="D714" s="2" t="s">
        <v>109</v>
      </c>
      <c r="E714" s="2" t="s">
        <v>18</v>
      </c>
      <c r="F714" s="2" t="s">
        <v>44</v>
      </c>
      <c r="G714" t="s">
        <v>55</v>
      </c>
      <c r="H714" t="s">
        <v>853</v>
      </c>
      <c r="I714" s="4">
        <v>105.73</v>
      </c>
      <c r="J714" s="3">
        <v>2</v>
      </c>
      <c r="K714" s="1">
        <v>45566</v>
      </c>
      <c r="L714" s="1" t="str">
        <f>TEXT(Table1[[#This Row],[Purchase_Date]],"YYYY")</f>
        <v>2024</v>
      </c>
      <c r="M714" s="1" t="str">
        <f>TEXT(Table1[[#This Row],[Purchase_Date]],"MMM")</f>
        <v>Oct</v>
      </c>
      <c r="N714" s="1" t="str">
        <f>TEXT(Table1[[#This Row],[Purchase_Date]],"DD")</f>
        <v>01</v>
      </c>
      <c r="O714" s="2" t="s">
        <v>22</v>
      </c>
      <c r="P714" s="3">
        <v>7</v>
      </c>
      <c r="Q714" s="2" t="s">
        <v>23</v>
      </c>
      <c r="R714" s="2" t="s">
        <v>47</v>
      </c>
      <c r="S714">
        <f>Table1[[#This Row],[Purchase_Amount]]*Table1[[#This Row],[Quantity]]</f>
        <v>211.46</v>
      </c>
      <c r="T714" t="str">
        <f>IF(Table1[[#This Row],[Age]]&lt;25,"&lt;25",IF(Table1[[#This Row],[Age]]&lt;=35,"25-35",IF(Table1[[#This Row],[Age]]&lt;=50,"36-50","50+")))</f>
        <v>36-50</v>
      </c>
    </row>
    <row r="715" spans="1:20" x14ac:dyDescent="0.3">
      <c r="A715" s="2" t="s">
        <v>387</v>
      </c>
      <c r="B715" s="2" t="s">
        <v>16</v>
      </c>
      <c r="C715" s="3">
        <v>50</v>
      </c>
      <c r="D715" s="2" t="s">
        <v>17</v>
      </c>
      <c r="E715" s="2" t="s">
        <v>18</v>
      </c>
      <c r="F715" s="2" t="s">
        <v>27</v>
      </c>
      <c r="G715" t="s">
        <v>55</v>
      </c>
      <c r="H715" t="s">
        <v>67</v>
      </c>
      <c r="I715" s="4">
        <v>825.76</v>
      </c>
      <c r="J715" s="3">
        <v>2</v>
      </c>
      <c r="K715" s="1">
        <v>45041</v>
      </c>
      <c r="L715" s="1" t="str">
        <f>TEXT(Table1[[#This Row],[Purchase_Date]],"YYYY")</f>
        <v>2023</v>
      </c>
      <c r="M715" s="1" t="str">
        <f>TEXT(Table1[[#This Row],[Purchase_Date]],"MMM")</f>
        <v>Apr</v>
      </c>
      <c r="N715" s="1" t="str">
        <f>TEXT(Table1[[#This Row],[Purchase_Date]],"DD")</f>
        <v>25</v>
      </c>
      <c r="O715" s="2" t="s">
        <v>41</v>
      </c>
      <c r="P715" s="3">
        <v>9</v>
      </c>
      <c r="Q715" s="2" t="s">
        <v>46</v>
      </c>
      <c r="R715" s="2" t="s">
        <v>24</v>
      </c>
      <c r="S715">
        <f>Table1[[#This Row],[Purchase_Amount]]*Table1[[#This Row],[Quantity]]</f>
        <v>1651.52</v>
      </c>
      <c r="T715" t="str">
        <f>IF(Table1[[#This Row],[Age]]&lt;25,"&lt;25",IF(Table1[[#This Row],[Age]]&lt;=35,"25-35",IF(Table1[[#This Row],[Age]]&lt;=50,"36-50","50+")))</f>
        <v>36-50</v>
      </c>
    </row>
    <row r="716" spans="1:20" x14ac:dyDescent="0.3">
      <c r="A716" s="2" t="s">
        <v>1049</v>
      </c>
      <c r="B716" s="2" t="s">
        <v>16</v>
      </c>
      <c r="C716" s="3">
        <v>53</v>
      </c>
      <c r="D716" s="2" t="s">
        <v>64</v>
      </c>
      <c r="E716" s="2" t="s">
        <v>49</v>
      </c>
      <c r="F716" s="2" t="s">
        <v>27</v>
      </c>
      <c r="G716" t="s">
        <v>55</v>
      </c>
      <c r="H716" t="s">
        <v>296</v>
      </c>
      <c r="I716" s="4">
        <v>696.44</v>
      </c>
      <c r="J716" s="3">
        <v>3</v>
      </c>
      <c r="K716" s="1">
        <v>45019</v>
      </c>
      <c r="L716" s="1" t="str">
        <f>TEXT(Table1[[#This Row],[Purchase_Date]],"YYYY")</f>
        <v>2023</v>
      </c>
      <c r="M716" s="1" t="str">
        <f>TEXT(Table1[[#This Row],[Purchase_Date]],"MMM")</f>
        <v>Apr</v>
      </c>
      <c r="N716" s="1" t="str">
        <f>TEXT(Table1[[#This Row],[Purchase_Date]],"DD")</f>
        <v>03</v>
      </c>
      <c r="O716" s="2" t="s">
        <v>30</v>
      </c>
      <c r="P716" s="3">
        <v>6</v>
      </c>
      <c r="Q716" s="2" t="s">
        <v>23</v>
      </c>
      <c r="R716" s="2" t="s">
        <v>47</v>
      </c>
      <c r="S716">
        <f>Table1[[#This Row],[Purchase_Amount]]*Table1[[#This Row],[Quantity]]</f>
        <v>2089.3200000000002</v>
      </c>
      <c r="T716" t="str">
        <f>IF(Table1[[#This Row],[Age]]&lt;25,"&lt;25",IF(Table1[[#This Row],[Age]]&lt;=35,"25-35",IF(Table1[[#This Row],[Age]]&lt;=50,"36-50","50+")))</f>
        <v>50+</v>
      </c>
    </row>
    <row r="717" spans="1:20" x14ac:dyDescent="0.3">
      <c r="A717" s="2" t="s">
        <v>1089</v>
      </c>
      <c r="B717" s="2" t="s">
        <v>16</v>
      </c>
      <c r="C717" s="3">
        <v>53</v>
      </c>
      <c r="D717" s="2" t="s">
        <v>60</v>
      </c>
      <c r="E717" s="2" t="s">
        <v>33</v>
      </c>
      <c r="F717" s="2" t="s">
        <v>27</v>
      </c>
      <c r="G717" t="s">
        <v>55</v>
      </c>
      <c r="H717" t="s">
        <v>896</v>
      </c>
      <c r="I717" s="4">
        <v>809.88</v>
      </c>
      <c r="J717" s="3">
        <v>1</v>
      </c>
      <c r="K717" s="1">
        <v>45224</v>
      </c>
      <c r="L717" s="1" t="str">
        <f>TEXT(Table1[[#This Row],[Purchase_Date]],"YYYY")</f>
        <v>2023</v>
      </c>
      <c r="M717" s="1" t="str">
        <f>TEXT(Table1[[#This Row],[Purchase_Date]],"MMM")</f>
        <v>Oct</v>
      </c>
      <c r="N717" s="1" t="str">
        <f>TEXT(Table1[[#This Row],[Purchase_Date]],"DD")</f>
        <v>25</v>
      </c>
      <c r="O717" s="2" t="s">
        <v>30</v>
      </c>
      <c r="P717" s="3">
        <v>10</v>
      </c>
      <c r="Q717" s="2" t="s">
        <v>46</v>
      </c>
      <c r="R717" s="2" t="s">
        <v>47</v>
      </c>
      <c r="S717">
        <f>Table1[[#This Row],[Purchase_Amount]]*Table1[[#This Row],[Quantity]]</f>
        <v>809.88</v>
      </c>
      <c r="T717" t="str">
        <f>IF(Table1[[#This Row],[Age]]&lt;25,"&lt;25",IF(Table1[[#This Row],[Age]]&lt;=35,"25-35",IF(Table1[[#This Row],[Age]]&lt;=50,"36-50","50+")))</f>
        <v>50+</v>
      </c>
    </row>
    <row r="718" spans="1:20" x14ac:dyDescent="0.3">
      <c r="A718" s="2" t="s">
        <v>424</v>
      </c>
      <c r="B718" s="2" t="s">
        <v>16</v>
      </c>
      <c r="C718" s="3">
        <v>53</v>
      </c>
      <c r="D718" s="2" t="s">
        <v>38</v>
      </c>
      <c r="E718" s="2" t="s">
        <v>49</v>
      </c>
      <c r="F718" s="2" t="s">
        <v>27</v>
      </c>
      <c r="G718" t="s">
        <v>55</v>
      </c>
      <c r="H718" t="s">
        <v>296</v>
      </c>
      <c r="I718" s="4">
        <v>885.63</v>
      </c>
      <c r="J718" s="3">
        <v>3</v>
      </c>
      <c r="K718" s="1">
        <v>45470</v>
      </c>
      <c r="L718" s="1" t="str">
        <f>TEXT(Table1[[#This Row],[Purchase_Date]],"YYYY")</f>
        <v>2024</v>
      </c>
      <c r="M718" s="1" t="str">
        <f>TEXT(Table1[[#This Row],[Purchase_Date]],"MMM")</f>
        <v>Jun</v>
      </c>
      <c r="N718" s="1" t="str">
        <f>TEXT(Table1[[#This Row],[Purchase_Date]],"DD")</f>
        <v>27</v>
      </c>
      <c r="O718" s="2" t="s">
        <v>36</v>
      </c>
      <c r="P718" s="3">
        <v>10</v>
      </c>
      <c r="Q718" s="2" t="s">
        <v>46</v>
      </c>
      <c r="R718" s="2" t="s">
        <v>47</v>
      </c>
      <c r="S718">
        <f>Table1[[#This Row],[Purchase_Amount]]*Table1[[#This Row],[Quantity]]</f>
        <v>2656.89</v>
      </c>
      <c r="T718" t="str">
        <f>IF(Table1[[#This Row],[Age]]&lt;25,"&lt;25",IF(Table1[[#This Row],[Age]]&lt;=35,"25-35",IF(Table1[[#This Row],[Age]]&lt;=50,"36-50","50+")))</f>
        <v>50+</v>
      </c>
    </row>
    <row r="719" spans="1:20" x14ac:dyDescent="0.3">
      <c r="A719" s="2" t="s">
        <v>132</v>
      </c>
      <c r="B719" s="2" t="s">
        <v>16</v>
      </c>
      <c r="C719" s="3">
        <v>53</v>
      </c>
      <c r="D719" s="2" t="s">
        <v>17</v>
      </c>
      <c r="E719" s="2" t="s">
        <v>18</v>
      </c>
      <c r="F719" s="2" t="s">
        <v>19</v>
      </c>
      <c r="G719" t="s">
        <v>55</v>
      </c>
      <c r="H719" t="s">
        <v>129</v>
      </c>
      <c r="I719" s="4">
        <v>995.78</v>
      </c>
      <c r="J719" s="3">
        <v>2</v>
      </c>
      <c r="K719" s="1">
        <v>45042</v>
      </c>
      <c r="L719" s="1" t="str">
        <f>TEXT(Table1[[#This Row],[Purchase_Date]],"YYYY")</f>
        <v>2023</v>
      </c>
      <c r="M719" s="1" t="str">
        <f>TEXT(Table1[[#This Row],[Purchase_Date]],"MMM")</f>
        <v>Apr</v>
      </c>
      <c r="N719" s="1" t="str">
        <f>TEXT(Table1[[#This Row],[Purchase_Date]],"DD")</f>
        <v>26</v>
      </c>
      <c r="O719" s="2" t="s">
        <v>41</v>
      </c>
      <c r="P719" s="3">
        <v>5</v>
      </c>
      <c r="Q719" s="2" t="s">
        <v>23</v>
      </c>
      <c r="R719" s="2" t="s">
        <v>47</v>
      </c>
      <c r="S719">
        <f>Table1[[#This Row],[Purchase_Amount]]*Table1[[#This Row],[Quantity]]</f>
        <v>1991.56</v>
      </c>
      <c r="T719" t="str">
        <f>IF(Table1[[#This Row],[Age]]&lt;25,"&lt;25",IF(Table1[[#This Row],[Age]]&lt;=35,"25-35",IF(Table1[[#This Row],[Age]]&lt;=50,"36-50","50+")))</f>
        <v>50+</v>
      </c>
    </row>
    <row r="720" spans="1:20" x14ac:dyDescent="0.3">
      <c r="A720" s="2" t="s">
        <v>898</v>
      </c>
      <c r="B720" s="2" t="s">
        <v>16</v>
      </c>
      <c r="C720" s="3">
        <v>54</v>
      </c>
      <c r="D720" s="2" t="s">
        <v>109</v>
      </c>
      <c r="E720" s="2" t="s">
        <v>18</v>
      </c>
      <c r="F720" s="2" t="s">
        <v>44</v>
      </c>
      <c r="G720" t="s">
        <v>55</v>
      </c>
      <c r="H720" t="s">
        <v>351</v>
      </c>
      <c r="I720" s="4">
        <v>266.2</v>
      </c>
      <c r="J720" s="3">
        <v>4</v>
      </c>
      <c r="K720" s="1">
        <v>45190</v>
      </c>
      <c r="L720" s="1" t="str">
        <f>TEXT(Table1[[#This Row],[Purchase_Date]],"YYYY")</f>
        <v>2023</v>
      </c>
      <c r="M720" s="1" t="str">
        <f>TEXT(Table1[[#This Row],[Purchase_Date]],"MMM")</f>
        <v>Sep</v>
      </c>
      <c r="N720" s="1" t="str">
        <f>TEXT(Table1[[#This Row],[Purchase_Date]],"DD")</f>
        <v>21</v>
      </c>
      <c r="O720" s="2" t="s">
        <v>30</v>
      </c>
      <c r="P720" s="3">
        <v>4</v>
      </c>
      <c r="Q720" s="2" t="s">
        <v>23</v>
      </c>
      <c r="R720" s="2" t="s">
        <v>47</v>
      </c>
      <c r="S720">
        <f>Table1[[#This Row],[Purchase_Amount]]*Table1[[#This Row],[Quantity]]</f>
        <v>1064.8</v>
      </c>
      <c r="T720" t="str">
        <f>IF(Table1[[#This Row],[Age]]&lt;25,"&lt;25",IF(Table1[[#This Row],[Age]]&lt;=35,"25-35",IF(Table1[[#This Row],[Age]]&lt;=50,"36-50","50+")))</f>
        <v>50+</v>
      </c>
    </row>
    <row r="721" spans="1:20" x14ac:dyDescent="0.3">
      <c r="A721" s="2" t="s">
        <v>763</v>
      </c>
      <c r="B721" s="2" t="s">
        <v>16</v>
      </c>
      <c r="C721" s="3">
        <v>54</v>
      </c>
      <c r="D721" s="2" t="s">
        <v>32</v>
      </c>
      <c r="E721" s="2" t="s">
        <v>33</v>
      </c>
      <c r="F721" s="2" t="s">
        <v>44</v>
      </c>
      <c r="G721" t="s">
        <v>55</v>
      </c>
      <c r="H721" t="s">
        <v>764</v>
      </c>
      <c r="I721" s="4">
        <v>383.43</v>
      </c>
      <c r="J721" s="3">
        <v>2</v>
      </c>
      <c r="K721" s="1">
        <v>45168</v>
      </c>
      <c r="L721" s="1" t="str">
        <f>TEXT(Table1[[#This Row],[Purchase_Date]],"YYYY")</f>
        <v>2023</v>
      </c>
      <c r="M721" s="1" t="str">
        <f>TEXT(Table1[[#This Row],[Purchase_Date]],"MMM")</f>
        <v>Aug</v>
      </c>
      <c r="N721" s="1" t="str">
        <f>TEXT(Table1[[#This Row],[Purchase_Date]],"DD")</f>
        <v>30</v>
      </c>
      <c r="O721" s="2" t="s">
        <v>41</v>
      </c>
      <c r="P721" s="3">
        <v>10</v>
      </c>
      <c r="Q721" s="2" t="s">
        <v>46</v>
      </c>
      <c r="R721" s="2" t="s">
        <v>24</v>
      </c>
      <c r="S721">
        <f>Table1[[#This Row],[Purchase_Amount]]*Table1[[#This Row],[Quantity]]</f>
        <v>766.86</v>
      </c>
      <c r="T721" t="str">
        <f>IF(Table1[[#This Row],[Age]]&lt;25,"&lt;25",IF(Table1[[#This Row],[Age]]&lt;=35,"25-35",IF(Table1[[#This Row],[Age]]&lt;=50,"36-50","50+")))</f>
        <v>50+</v>
      </c>
    </row>
    <row r="722" spans="1:20" x14ac:dyDescent="0.3">
      <c r="A722" s="2" t="s">
        <v>825</v>
      </c>
      <c r="B722" s="2" t="s">
        <v>16</v>
      </c>
      <c r="C722" s="3">
        <v>56</v>
      </c>
      <c r="D722" s="2" t="s">
        <v>38</v>
      </c>
      <c r="E722" s="2" t="s">
        <v>18</v>
      </c>
      <c r="F722" s="2" t="s">
        <v>44</v>
      </c>
      <c r="G722" t="s">
        <v>55</v>
      </c>
      <c r="H722" t="s">
        <v>162</v>
      </c>
      <c r="I722" s="4">
        <v>64.06</v>
      </c>
      <c r="J722" s="3">
        <v>3</v>
      </c>
      <c r="K722" s="1">
        <v>45028</v>
      </c>
      <c r="L722" s="1" t="str">
        <f>TEXT(Table1[[#This Row],[Purchase_Date]],"YYYY")</f>
        <v>2023</v>
      </c>
      <c r="M722" s="1" t="str">
        <f>TEXT(Table1[[#This Row],[Purchase_Date]],"MMM")</f>
        <v>Apr</v>
      </c>
      <c r="N722" s="1" t="str">
        <f>TEXT(Table1[[#This Row],[Purchase_Date]],"DD")</f>
        <v>12</v>
      </c>
      <c r="O722" s="2" t="s">
        <v>30</v>
      </c>
      <c r="P722" s="3">
        <v>7</v>
      </c>
      <c r="Q722" s="2" t="s">
        <v>23</v>
      </c>
      <c r="R722" s="2" t="s">
        <v>24</v>
      </c>
      <c r="S722">
        <f>Table1[[#This Row],[Purchase_Amount]]*Table1[[#This Row],[Quantity]]</f>
        <v>192.18</v>
      </c>
      <c r="T722" t="str">
        <f>IF(Table1[[#This Row],[Age]]&lt;25,"&lt;25",IF(Table1[[#This Row],[Age]]&lt;=35,"25-35",IF(Table1[[#This Row],[Age]]&lt;=50,"36-50","50+")))</f>
        <v>50+</v>
      </c>
    </row>
    <row r="723" spans="1:20" x14ac:dyDescent="0.3">
      <c r="A723" s="2" t="s">
        <v>295</v>
      </c>
      <c r="B723" s="2" t="s">
        <v>16</v>
      </c>
      <c r="C723" s="3">
        <v>56</v>
      </c>
      <c r="D723" s="2" t="s">
        <v>32</v>
      </c>
      <c r="E723" s="2" t="s">
        <v>49</v>
      </c>
      <c r="F723" s="2" t="s">
        <v>44</v>
      </c>
      <c r="G723" t="s">
        <v>55</v>
      </c>
      <c r="H723" t="s">
        <v>296</v>
      </c>
      <c r="I723" s="4">
        <v>821.43</v>
      </c>
      <c r="J723" s="3">
        <v>1</v>
      </c>
      <c r="K723" s="1">
        <v>45019</v>
      </c>
      <c r="L723" s="1" t="str">
        <f>TEXT(Table1[[#This Row],[Purchase_Date]],"YYYY")</f>
        <v>2023</v>
      </c>
      <c r="M723" s="1" t="str">
        <f>TEXT(Table1[[#This Row],[Purchase_Date]],"MMM")</f>
        <v>Apr</v>
      </c>
      <c r="N723" s="1" t="str">
        <f>TEXT(Table1[[#This Row],[Purchase_Date]],"DD")</f>
        <v>03</v>
      </c>
      <c r="O723" s="2" t="s">
        <v>22</v>
      </c>
      <c r="P723" s="3">
        <v>8</v>
      </c>
      <c r="Q723" s="2" t="s">
        <v>23</v>
      </c>
      <c r="R723" s="2" t="s">
        <v>24</v>
      </c>
      <c r="S723">
        <f>Table1[[#This Row],[Purchase_Amount]]*Table1[[#This Row],[Quantity]]</f>
        <v>821.43</v>
      </c>
      <c r="T723" t="str">
        <f>IF(Table1[[#This Row],[Age]]&lt;25,"&lt;25",IF(Table1[[#This Row],[Age]]&lt;=35,"25-35",IF(Table1[[#This Row],[Age]]&lt;=50,"36-50","50+")))</f>
        <v>50+</v>
      </c>
    </row>
    <row r="724" spans="1:20" x14ac:dyDescent="0.3">
      <c r="A724" s="2" t="s">
        <v>428</v>
      </c>
      <c r="B724" s="2" t="s">
        <v>16</v>
      </c>
      <c r="C724" s="3">
        <v>57</v>
      </c>
      <c r="D724" s="2" t="s">
        <v>78</v>
      </c>
      <c r="E724" s="2" t="s">
        <v>18</v>
      </c>
      <c r="F724" s="2" t="s">
        <v>44</v>
      </c>
      <c r="G724" t="s">
        <v>55</v>
      </c>
      <c r="H724" t="s">
        <v>85</v>
      </c>
      <c r="I724" s="4">
        <v>174.57</v>
      </c>
      <c r="J724" s="3">
        <v>1</v>
      </c>
      <c r="K724" s="1">
        <v>45512</v>
      </c>
      <c r="L724" s="1" t="str">
        <f>TEXT(Table1[[#This Row],[Purchase_Date]],"YYYY")</f>
        <v>2024</v>
      </c>
      <c r="M724" s="1" t="str">
        <f>TEXT(Table1[[#This Row],[Purchase_Date]],"MMM")</f>
        <v>Aug</v>
      </c>
      <c r="N724" s="1" t="str">
        <f>TEXT(Table1[[#This Row],[Purchase_Date]],"DD")</f>
        <v>08</v>
      </c>
      <c r="O724" s="2" t="s">
        <v>36</v>
      </c>
      <c r="P724" s="3">
        <v>9</v>
      </c>
      <c r="Q724" s="2" t="s">
        <v>46</v>
      </c>
      <c r="R724" s="2" t="s">
        <v>24</v>
      </c>
      <c r="S724">
        <f>Table1[[#This Row],[Purchase_Amount]]*Table1[[#This Row],[Quantity]]</f>
        <v>174.57</v>
      </c>
      <c r="T724" t="str">
        <f>IF(Table1[[#This Row],[Age]]&lt;25,"&lt;25",IF(Table1[[#This Row],[Age]]&lt;=35,"25-35",IF(Table1[[#This Row],[Age]]&lt;=50,"36-50","50+")))</f>
        <v>50+</v>
      </c>
    </row>
    <row r="725" spans="1:20" x14ac:dyDescent="0.3">
      <c r="A725" s="2" t="s">
        <v>740</v>
      </c>
      <c r="B725" s="2" t="s">
        <v>16</v>
      </c>
      <c r="C725" s="3">
        <v>57</v>
      </c>
      <c r="D725" s="2" t="s">
        <v>78</v>
      </c>
      <c r="E725" s="2" t="s">
        <v>18</v>
      </c>
      <c r="F725" s="2" t="s">
        <v>27</v>
      </c>
      <c r="G725" t="s">
        <v>55</v>
      </c>
      <c r="H725" t="s">
        <v>582</v>
      </c>
      <c r="I725" s="4">
        <v>753.91</v>
      </c>
      <c r="J725" s="3">
        <v>1</v>
      </c>
      <c r="K725" s="1">
        <v>44966</v>
      </c>
      <c r="L725" s="1" t="str">
        <f>TEXT(Table1[[#This Row],[Purchase_Date]],"YYYY")</f>
        <v>2023</v>
      </c>
      <c r="M725" s="1" t="str">
        <f>TEXT(Table1[[#This Row],[Purchase_Date]],"MMM")</f>
        <v>Feb</v>
      </c>
      <c r="N725" s="1" t="str">
        <f>TEXT(Table1[[#This Row],[Purchase_Date]],"DD")</f>
        <v>09</v>
      </c>
      <c r="O725" s="2" t="s">
        <v>36</v>
      </c>
      <c r="P725" s="3">
        <v>2</v>
      </c>
      <c r="Q725" s="2" t="s">
        <v>46</v>
      </c>
      <c r="R725" s="2" t="s">
        <v>24</v>
      </c>
      <c r="S725">
        <f>Table1[[#This Row],[Purchase_Amount]]*Table1[[#This Row],[Quantity]]</f>
        <v>753.91</v>
      </c>
      <c r="T725" t="str">
        <f>IF(Table1[[#This Row],[Age]]&lt;25,"&lt;25",IF(Table1[[#This Row],[Age]]&lt;=35,"25-35",IF(Table1[[#This Row],[Age]]&lt;=50,"36-50","50+")))</f>
        <v>50+</v>
      </c>
    </row>
    <row r="726" spans="1:20" x14ac:dyDescent="0.3">
      <c r="A726" s="2" t="s">
        <v>410</v>
      </c>
      <c r="B726" s="2" t="s">
        <v>16</v>
      </c>
      <c r="C726" s="3">
        <v>58</v>
      </c>
      <c r="D726" s="2" t="s">
        <v>60</v>
      </c>
      <c r="E726" s="2" t="s">
        <v>33</v>
      </c>
      <c r="F726" s="2" t="s">
        <v>27</v>
      </c>
      <c r="G726" t="s">
        <v>55</v>
      </c>
      <c r="H726" t="s">
        <v>411</v>
      </c>
      <c r="I726" s="4">
        <v>15.99</v>
      </c>
      <c r="J726" s="3">
        <v>2</v>
      </c>
      <c r="K726" s="1">
        <v>45546</v>
      </c>
      <c r="L726" s="1" t="str">
        <f>TEXT(Table1[[#This Row],[Purchase_Date]],"YYYY")</f>
        <v>2024</v>
      </c>
      <c r="M726" s="1" t="str">
        <f>TEXT(Table1[[#This Row],[Purchase_Date]],"MMM")</f>
        <v>Sep</v>
      </c>
      <c r="N726" s="1" t="str">
        <f>TEXT(Table1[[#This Row],[Purchase_Date]],"DD")</f>
        <v>11</v>
      </c>
      <c r="O726" s="2" t="s">
        <v>22</v>
      </c>
      <c r="P726" s="3">
        <v>6</v>
      </c>
      <c r="Q726" s="2" t="s">
        <v>23</v>
      </c>
      <c r="R726" s="2" t="s">
        <v>47</v>
      </c>
      <c r="S726">
        <f>Table1[[#This Row],[Purchase_Amount]]*Table1[[#This Row],[Quantity]]</f>
        <v>31.98</v>
      </c>
      <c r="T726" t="str">
        <f>IF(Table1[[#This Row],[Age]]&lt;25,"&lt;25",IF(Table1[[#This Row],[Age]]&lt;=35,"25-35",IF(Table1[[#This Row],[Age]]&lt;=50,"36-50","50+")))</f>
        <v>50+</v>
      </c>
    </row>
    <row r="727" spans="1:20" x14ac:dyDescent="0.3">
      <c r="A727" s="2" t="s">
        <v>1063</v>
      </c>
      <c r="B727" s="2" t="s">
        <v>16</v>
      </c>
      <c r="C727" s="3">
        <v>58</v>
      </c>
      <c r="D727" s="2" t="s">
        <v>109</v>
      </c>
      <c r="E727" s="2" t="s">
        <v>33</v>
      </c>
      <c r="F727" s="2" t="s">
        <v>27</v>
      </c>
      <c r="G727" t="s">
        <v>55</v>
      </c>
      <c r="H727" t="s">
        <v>253</v>
      </c>
      <c r="I727" s="4">
        <v>164.8</v>
      </c>
      <c r="J727" s="3">
        <v>4</v>
      </c>
      <c r="K727" s="1">
        <v>44981</v>
      </c>
      <c r="L727" s="1" t="str">
        <f>TEXT(Table1[[#This Row],[Purchase_Date]],"YYYY")</f>
        <v>2023</v>
      </c>
      <c r="M727" s="1" t="str">
        <f>TEXT(Table1[[#This Row],[Purchase_Date]],"MMM")</f>
        <v>Feb</v>
      </c>
      <c r="N727" s="1" t="str">
        <f>TEXT(Table1[[#This Row],[Purchase_Date]],"DD")</f>
        <v>24</v>
      </c>
      <c r="O727" s="2" t="s">
        <v>22</v>
      </c>
      <c r="P727" s="3">
        <v>5</v>
      </c>
      <c r="Q727" s="2" t="s">
        <v>46</v>
      </c>
      <c r="R727" s="2" t="s">
        <v>24</v>
      </c>
      <c r="S727">
        <f>Table1[[#This Row],[Purchase_Amount]]*Table1[[#This Row],[Quantity]]</f>
        <v>659.2</v>
      </c>
      <c r="T727" t="str">
        <f>IF(Table1[[#This Row],[Age]]&lt;25,"&lt;25",IF(Table1[[#This Row],[Age]]&lt;=35,"25-35",IF(Table1[[#This Row],[Age]]&lt;=50,"36-50","50+")))</f>
        <v>50+</v>
      </c>
    </row>
    <row r="728" spans="1:20" x14ac:dyDescent="0.3">
      <c r="A728" s="2" t="s">
        <v>948</v>
      </c>
      <c r="B728" s="2" t="s">
        <v>16</v>
      </c>
      <c r="C728" s="3">
        <v>59</v>
      </c>
      <c r="D728" s="2" t="s">
        <v>38</v>
      </c>
      <c r="E728" s="2" t="s">
        <v>18</v>
      </c>
      <c r="F728" s="2" t="s">
        <v>27</v>
      </c>
      <c r="G728" t="s">
        <v>55</v>
      </c>
      <c r="H728" t="s">
        <v>485</v>
      </c>
      <c r="I728" s="4">
        <v>245.91</v>
      </c>
      <c r="J728" s="3">
        <v>1</v>
      </c>
      <c r="K728" s="1">
        <v>45255</v>
      </c>
      <c r="L728" s="1" t="str">
        <f>TEXT(Table1[[#This Row],[Purchase_Date]],"YYYY")</f>
        <v>2023</v>
      </c>
      <c r="M728" s="1" t="str">
        <f>TEXT(Table1[[#This Row],[Purchase_Date]],"MMM")</f>
        <v>Nov</v>
      </c>
      <c r="N728" s="1" t="str">
        <f>TEXT(Table1[[#This Row],[Purchase_Date]],"DD")</f>
        <v>25</v>
      </c>
      <c r="O728" s="2" t="s">
        <v>22</v>
      </c>
      <c r="P728" s="3">
        <v>6</v>
      </c>
      <c r="Q728" s="2" t="s">
        <v>46</v>
      </c>
      <c r="R728" s="2" t="s">
        <v>24</v>
      </c>
      <c r="S728">
        <f>Table1[[#This Row],[Purchase_Amount]]*Table1[[#This Row],[Quantity]]</f>
        <v>245.91</v>
      </c>
      <c r="T728" t="str">
        <f>IF(Table1[[#This Row],[Age]]&lt;25,"&lt;25",IF(Table1[[#This Row],[Age]]&lt;=35,"25-35",IF(Table1[[#This Row],[Age]]&lt;=50,"36-50","50+")))</f>
        <v>50+</v>
      </c>
    </row>
    <row r="729" spans="1:20" x14ac:dyDescent="0.3">
      <c r="A729" s="2" t="s">
        <v>100</v>
      </c>
      <c r="B729" s="2" t="s">
        <v>16</v>
      </c>
      <c r="C729" s="3">
        <v>61</v>
      </c>
      <c r="D729" s="2" t="s">
        <v>78</v>
      </c>
      <c r="E729" s="2" t="s">
        <v>18</v>
      </c>
      <c r="F729" s="2" t="s">
        <v>27</v>
      </c>
      <c r="G729" t="s">
        <v>55</v>
      </c>
      <c r="H729" t="s">
        <v>101</v>
      </c>
      <c r="I729" s="4">
        <v>982.91</v>
      </c>
      <c r="J729" s="3">
        <v>2</v>
      </c>
      <c r="K729" s="1">
        <v>45241</v>
      </c>
      <c r="L729" s="1" t="str">
        <f>TEXT(Table1[[#This Row],[Purchase_Date]],"YYYY")</f>
        <v>2023</v>
      </c>
      <c r="M729" s="1" t="str">
        <f>TEXT(Table1[[#This Row],[Purchase_Date]],"MMM")</f>
        <v>Nov</v>
      </c>
      <c r="N729" s="1" t="str">
        <f>TEXT(Table1[[#This Row],[Purchase_Date]],"DD")</f>
        <v>11</v>
      </c>
      <c r="O729" s="2" t="s">
        <v>22</v>
      </c>
      <c r="P729" s="3">
        <v>6</v>
      </c>
      <c r="Q729" s="2" t="s">
        <v>23</v>
      </c>
      <c r="R729" s="2" t="s">
        <v>47</v>
      </c>
      <c r="S729">
        <f>Table1[[#This Row],[Purchase_Amount]]*Table1[[#This Row],[Quantity]]</f>
        <v>1965.82</v>
      </c>
      <c r="T729" t="str">
        <f>IF(Table1[[#This Row],[Age]]&lt;25,"&lt;25",IF(Table1[[#This Row],[Age]]&lt;=35,"25-35",IF(Table1[[#This Row],[Age]]&lt;=50,"36-50","50+")))</f>
        <v>50+</v>
      </c>
    </row>
    <row r="730" spans="1:20" x14ac:dyDescent="0.3">
      <c r="A730" s="2" t="s">
        <v>230</v>
      </c>
      <c r="B730" s="2" t="s">
        <v>16</v>
      </c>
      <c r="C730" s="3">
        <v>62</v>
      </c>
      <c r="D730" s="2" t="s">
        <v>109</v>
      </c>
      <c r="E730" s="2" t="s">
        <v>49</v>
      </c>
      <c r="F730" s="2" t="s">
        <v>44</v>
      </c>
      <c r="G730" t="s">
        <v>55</v>
      </c>
      <c r="H730" t="s">
        <v>45</v>
      </c>
      <c r="I730" s="4">
        <v>10.59</v>
      </c>
      <c r="J730" s="3">
        <v>4</v>
      </c>
      <c r="K730" s="1">
        <v>45450</v>
      </c>
      <c r="L730" s="1" t="str">
        <f>TEXT(Table1[[#This Row],[Purchase_Date]],"YYYY")</f>
        <v>2024</v>
      </c>
      <c r="M730" s="1" t="str">
        <f>TEXT(Table1[[#This Row],[Purchase_Date]],"MMM")</f>
        <v>Jun</v>
      </c>
      <c r="N730" s="1" t="str">
        <f>TEXT(Table1[[#This Row],[Purchase_Date]],"DD")</f>
        <v>07</v>
      </c>
      <c r="O730" s="2" t="s">
        <v>22</v>
      </c>
      <c r="P730" s="3">
        <v>5</v>
      </c>
      <c r="Q730" s="2" t="s">
        <v>23</v>
      </c>
      <c r="R730" s="2" t="s">
        <v>47</v>
      </c>
      <c r="S730">
        <f>Table1[[#This Row],[Purchase_Amount]]*Table1[[#This Row],[Quantity]]</f>
        <v>42.36</v>
      </c>
      <c r="T730" t="str">
        <f>IF(Table1[[#This Row],[Age]]&lt;25,"&lt;25",IF(Table1[[#This Row],[Age]]&lt;=35,"25-35",IF(Table1[[#This Row],[Age]]&lt;=50,"36-50","50+")))</f>
        <v>50+</v>
      </c>
    </row>
    <row r="731" spans="1:20" x14ac:dyDescent="0.3">
      <c r="A731" s="2" t="s">
        <v>651</v>
      </c>
      <c r="B731" s="2" t="s">
        <v>16</v>
      </c>
      <c r="C731" s="3">
        <v>63</v>
      </c>
      <c r="D731" s="2" t="s">
        <v>109</v>
      </c>
      <c r="E731" s="2" t="s">
        <v>49</v>
      </c>
      <c r="F731" s="2" t="s">
        <v>27</v>
      </c>
      <c r="G731" t="s">
        <v>55</v>
      </c>
      <c r="H731" t="s">
        <v>202</v>
      </c>
      <c r="I731" s="4">
        <v>339.1</v>
      </c>
      <c r="J731" s="3">
        <v>2</v>
      </c>
      <c r="K731" s="1">
        <v>45240</v>
      </c>
      <c r="L731" s="1" t="str">
        <f>TEXT(Table1[[#This Row],[Purchase_Date]],"YYYY")</f>
        <v>2023</v>
      </c>
      <c r="M731" s="1" t="str">
        <f>TEXT(Table1[[#This Row],[Purchase_Date]],"MMM")</f>
        <v>Nov</v>
      </c>
      <c r="N731" s="1" t="str">
        <f>TEXT(Table1[[#This Row],[Purchase_Date]],"DD")</f>
        <v>10</v>
      </c>
      <c r="O731" s="2" t="s">
        <v>30</v>
      </c>
      <c r="P731" s="3">
        <v>8</v>
      </c>
      <c r="Q731" s="2" t="s">
        <v>23</v>
      </c>
      <c r="R731" s="2" t="s">
        <v>24</v>
      </c>
      <c r="S731">
        <f>Table1[[#This Row],[Purchase_Amount]]*Table1[[#This Row],[Quantity]]</f>
        <v>678.2</v>
      </c>
      <c r="T731" t="str">
        <f>IF(Table1[[#This Row],[Age]]&lt;25,"&lt;25",IF(Table1[[#This Row],[Age]]&lt;=35,"25-35",IF(Table1[[#This Row],[Age]]&lt;=50,"36-50","50+")))</f>
        <v>50+</v>
      </c>
    </row>
    <row r="732" spans="1:20" x14ac:dyDescent="0.3">
      <c r="A732" s="2" t="s">
        <v>1183</v>
      </c>
      <c r="B732" s="2" t="s">
        <v>16</v>
      </c>
      <c r="C732" s="3">
        <v>63</v>
      </c>
      <c r="D732" s="2" t="s">
        <v>43</v>
      </c>
      <c r="E732" s="2" t="s">
        <v>49</v>
      </c>
      <c r="F732" s="2" t="s">
        <v>44</v>
      </c>
      <c r="G732" t="s">
        <v>55</v>
      </c>
      <c r="H732" t="s">
        <v>127</v>
      </c>
      <c r="I732" s="4">
        <v>464.71</v>
      </c>
      <c r="J732" s="3">
        <v>1</v>
      </c>
      <c r="K732" s="1">
        <v>45319</v>
      </c>
      <c r="L732" s="1" t="str">
        <f>TEXT(Table1[[#This Row],[Purchase_Date]],"YYYY")</f>
        <v>2024</v>
      </c>
      <c r="M732" s="1" t="str">
        <f>TEXT(Table1[[#This Row],[Purchase_Date]],"MMM")</f>
        <v>Jan</v>
      </c>
      <c r="N732" s="1" t="str">
        <f>TEXT(Table1[[#This Row],[Purchase_Date]],"DD")</f>
        <v>28</v>
      </c>
      <c r="O732" s="2" t="s">
        <v>22</v>
      </c>
      <c r="P732" s="3">
        <v>7</v>
      </c>
      <c r="Q732" s="2" t="s">
        <v>23</v>
      </c>
      <c r="R732" s="2" t="s">
        <v>47</v>
      </c>
      <c r="S732">
        <f>Table1[[#This Row],[Purchase_Amount]]*Table1[[#This Row],[Quantity]]</f>
        <v>464.71</v>
      </c>
      <c r="T732" t="str">
        <f>IF(Table1[[#This Row],[Age]]&lt;25,"&lt;25",IF(Table1[[#This Row],[Age]]&lt;=35,"25-35",IF(Table1[[#This Row],[Age]]&lt;=50,"36-50","50+")))</f>
        <v>50+</v>
      </c>
    </row>
    <row r="733" spans="1:20" x14ac:dyDescent="0.3">
      <c r="A733" s="2" t="s">
        <v>888</v>
      </c>
      <c r="B733" s="2" t="s">
        <v>16</v>
      </c>
      <c r="C733" s="3">
        <v>66</v>
      </c>
      <c r="D733" s="2" t="s">
        <v>38</v>
      </c>
      <c r="E733" s="2" t="s">
        <v>49</v>
      </c>
      <c r="F733" s="2" t="s">
        <v>44</v>
      </c>
      <c r="G733" t="s">
        <v>55</v>
      </c>
      <c r="H733" t="s">
        <v>762</v>
      </c>
      <c r="I733" s="4">
        <v>410.92</v>
      </c>
      <c r="J733" s="3">
        <v>2</v>
      </c>
      <c r="K733" s="1">
        <v>45209</v>
      </c>
      <c r="L733" s="1" t="str">
        <f>TEXT(Table1[[#This Row],[Purchase_Date]],"YYYY")</f>
        <v>2023</v>
      </c>
      <c r="M733" s="1" t="str">
        <f>TEXT(Table1[[#This Row],[Purchase_Date]],"MMM")</f>
        <v>Oct</v>
      </c>
      <c r="N733" s="1" t="str">
        <f>TEXT(Table1[[#This Row],[Purchase_Date]],"DD")</f>
        <v>10</v>
      </c>
      <c r="O733" s="2" t="s">
        <v>36</v>
      </c>
      <c r="P733" s="3">
        <v>8</v>
      </c>
      <c r="Q733" s="2" t="s">
        <v>23</v>
      </c>
      <c r="R733" s="2" t="s">
        <v>47</v>
      </c>
      <c r="S733">
        <f>Table1[[#This Row],[Purchase_Amount]]*Table1[[#This Row],[Quantity]]</f>
        <v>821.84</v>
      </c>
      <c r="T733" t="str">
        <f>IF(Table1[[#This Row],[Age]]&lt;25,"&lt;25",IF(Table1[[#This Row],[Age]]&lt;=35,"25-35",IF(Table1[[#This Row],[Age]]&lt;=50,"36-50","50+")))</f>
        <v>50+</v>
      </c>
    </row>
    <row r="734" spans="1:20" x14ac:dyDescent="0.3">
      <c r="A734" s="2" t="s">
        <v>531</v>
      </c>
      <c r="B734" s="2" t="s">
        <v>16</v>
      </c>
      <c r="C734" s="3">
        <v>68</v>
      </c>
      <c r="D734" s="2" t="s">
        <v>78</v>
      </c>
      <c r="E734" s="2" t="s">
        <v>49</v>
      </c>
      <c r="F734" s="2" t="s">
        <v>44</v>
      </c>
      <c r="G734" t="s">
        <v>55</v>
      </c>
      <c r="H734" t="s">
        <v>127</v>
      </c>
      <c r="I734" s="4">
        <v>128.19</v>
      </c>
      <c r="J734" s="3">
        <v>3</v>
      </c>
      <c r="K734" s="1">
        <v>45524</v>
      </c>
      <c r="L734" s="1" t="str">
        <f>TEXT(Table1[[#This Row],[Purchase_Date]],"YYYY")</f>
        <v>2024</v>
      </c>
      <c r="M734" s="1" t="str">
        <f>TEXT(Table1[[#This Row],[Purchase_Date]],"MMM")</f>
        <v>Aug</v>
      </c>
      <c r="N734" s="1" t="str">
        <f>TEXT(Table1[[#This Row],[Purchase_Date]],"DD")</f>
        <v>20</v>
      </c>
      <c r="O734" s="2" t="s">
        <v>30</v>
      </c>
      <c r="P734" s="3">
        <v>1</v>
      </c>
      <c r="Q734" s="2" t="s">
        <v>46</v>
      </c>
      <c r="R734" s="2" t="s">
        <v>24</v>
      </c>
      <c r="S734">
        <f>Table1[[#This Row],[Purchase_Amount]]*Table1[[#This Row],[Quantity]]</f>
        <v>384.57</v>
      </c>
      <c r="T734" t="str">
        <f>IF(Table1[[#This Row],[Age]]&lt;25,"&lt;25",IF(Table1[[#This Row],[Age]]&lt;=35,"25-35",IF(Table1[[#This Row],[Age]]&lt;=50,"36-50","50+")))</f>
        <v>50+</v>
      </c>
    </row>
    <row r="735" spans="1:20" x14ac:dyDescent="0.3">
      <c r="A735" s="2" t="s">
        <v>279</v>
      </c>
      <c r="B735" s="2" t="s">
        <v>16</v>
      </c>
      <c r="C735" s="3">
        <v>68</v>
      </c>
      <c r="D735" s="2" t="s">
        <v>43</v>
      </c>
      <c r="E735" s="2" t="s">
        <v>18</v>
      </c>
      <c r="F735" s="2" t="s">
        <v>44</v>
      </c>
      <c r="G735" t="s">
        <v>55</v>
      </c>
      <c r="H735" t="s">
        <v>280</v>
      </c>
      <c r="I735" s="4">
        <v>955.89</v>
      </c>
      <c r="J735" s="3">
        <v>5</v>
      </c>
      <c r="K735" s="1">
        <v>45575</v>
      </c>
      <c r="L735" s="1" t="str">
        <f>TEXT(Table1[[#This Row],[Purchase_Date]],"YYYY")</f>
        <v>2024</v>
      </c>
      <c r="M735" s="1" t="str">
        <f>TEXT(Table1[[#This Row],[Purchase_Date]],"MMM")</f>
        <v>Oct</v>
      </c>
      <c r="N735" s="1" t="str">
        <f>TEXT(Table1[[#This Row],[Purchase_Date]],"DD")</f>
        <v>10</v>
      </c>
      <c r="O735" s="2" t="s">
        <v>30</v>
      </c>
      <c r="P735" s="3">
        <v>4</v>
      </c>
      <c r="Q735" s="2" t="s">
        <v>46</v>
      </c>
      <c r="R735" s="2" t="s">
        <v>24</v>
      </c>
      <c r="S735">
        <f>Table1[[#This Row],[Purchase_Amount]]*Table1[[#This Row],[Quantity]]</f>
        <v>4779.45</v>
      </c>
      <c r="T735" t="str">
        <f>IF(Table1[[#This Row],[Age]]&lt;25,"&lt;25",IF(Table1[[#This Row],[Age]]&lt;=35,"25-35",IF(Table1[[#This Row],[Age]]&lt;=50,"36-50","50+")))</f>
        <v>50+</v>
      </c>
    </row>
    <row r="736" spans="1:20" x14ac:dyDescent="0.3">
      <c r="A736" s="2" t="s">
        <v>59</v>
      </c>
      <c r="B736" s="2" t="s">
        <v>16</v>
      </c>
      <c r="C736" s="3">
        <v>19</v>
      </c>
      <c r="D736" s="2" t="s">
        <v>60</v>
      </c>
      <c r="E736" s="2" t="s">
        <v>49</v>
      </c>
      <c r="F736" s="2" t="s">
        <v>44</v>
      </c>
      <c r="G736" t="s">
        <v>61</v>
      </c>
      <c r="H736" t="s">
        <v>62</v>
      </c>
      <c r="I736" s="4">
        <v>256.3</v>
      </c>
      <c r="J736" s="3">
        <v>3</v>
      </c>
      <c r="K736" s="1">
        <v>45343</v>
      </c>
      <c r="L736" s="1" t="str">
        <f>TEXT(Table1[[#This Row],[Purchase_Date]],"YYYY")</f>
        <v>2024</v>
      </c>
      <c r="M736" s="1" t="str">
        <f>TEXT(Table1[[#This Row],[Purchase_Date]],"MMM")</f>
        <v>Feb</v>
      </c>
      <c r="N736" s="1" t="str">
        <f>TEXT(Table1[[#This Row],[Purchase_Date]],"DD")</f>
        <v>21</v>
      </c>
      <c r="O736" s="2" t="s">
        <v>22</v>
      </c>
      <c r="P736" s="3">
        <v>6</v>
      </c>
      <c r="Q736" s="2" t="s">
        <v>46</v>
      </c>
      <c r="R736" s="2" t="s">
        <v>47</v>
      </c>
      <c r="S736">
        <f>Table1[[#This Row],[Purchase_Amount]]*Table1[[#This Row],[Quantity]]</f>
        <v>768.90000000000009</v>
      </c>
      <c r="T736" t="str">
        <f>IF(Table1[[#This Row],[Age]]&lt;25,"&lt;25",IF(Table1[[#This Row],[Age]]&lt;=35,"25-35",IF(Table1[[#This Row],[Age]]&lt;=50,"36-50","50+")))</f>
        <v>&lt;25</v>
      </c>
    </row>
    <row r="737" spans="1:20" x14ac:dyDescent="0.3">
      <c r="A737" s="2" t="s">
        <v>1034</v>
      </c>
      <c r="B737" s="2" t="s">
        <v>16</v>
      </c>
      <c r="C737" s="3">
        <v>22</v>
      </c>
      <c r="D737" s="2" t="s">
        <v>32</v>
      </c>
      <c r="E737" s="2" t="s">
        <v>49</v>
      </c>
      <c r="F737" s="2" t="s">
        <v>27</v>
      </c>
      <c r="G737" t="s">
        <v>61</v>
      </c>
      <c r="H737" t="s">
        <v>210</v>
      </c>
      <c r="I737" s="4">
        <v>323.74</v>
      </c>
      <c r="J737" s="3">
        <v>2</v>
      </c>
      <c r="K737" s="1">
        <v>45504</v>
      </c>
      <c r="L737" s="1" t="str">
        <f>TEXT(Table1[[#This Row],[Purchase_Date]],"YYYY")</f>
        <v>2024</v>
      </c>
      <c r="M737" s="1" t="str">
        <f>TEXT(Table1[[#This Row],[Purchase_Date]],"MMM")</f>
        <v>Jul</v>
      </c>
      <c r="N737" s="1" t="str">
        <f>TEXT(Table1[[#This Row],[Purchase_Date]],"DD")</f>
        <v>31</v>
      </c>
      <c r="O737" s="2" t="s">
        <v>22</v>
      </c>
      <c r="P737" s="3">
        <v>10</v>
      </c>
      <c r="Q737" s="2" t="s">
        <v>46</v>
      </c>
      <c r="R737" s="2" t="s">
        <v>24</v>
      </c>
      <c r="S737">
        <f>Table1[[#This Row],[Purchase_Amount]]*Table1[[#This Row],[Quantity]]</f>
        <v>647.48</v>
      </c>
      <c r="T737" t="str">
        <f>IF(Table1[[#This Row],[Age]]&lt;25,"&lt;25",IF(Table1[[#This Row],[Age]]&lt;=35,"25-35",IF(Table1[[#This Row],[Age]]&lt;=50,"36-50","50+")))</f>
        <v>&lt;25</v>
      </c>
    </row>
    <row r="738" spans="1:20" x14ac:dyDescent="0.3">
      <c r="A738" s="2" t="s">
        <v>277</v>
      </c>
      <c r="B738" s="2" t="s">
        <v>16</v>
      </c>
      <c r="C738" s="3">
        <v>24</v>
      </c>
      <c r="D738" s="2" t="s">
        <v>32</v>
      </c>
      <c r="E738" s="2" t="s">
        <v>49</v>
      </c>
      <c r="F738" s="2" t="s">
        <v>27</v>
      </c>
      <c r="G738" t="s">
        <v>61</v>
      </c>
      <c r="H738" t="s">
        <v>278</v>
      </c>
      <c r="I738" s="4">
        <v>87.08</v>
      </c>
      <c r="J738" s="3">
        <v>1</v>
      </c>
      <c r="K738" s="1">
        <v>45010</v>
      </c>
      <c r="L738" s="1" t="str">
        <f>TEXT(Table1[[#This Row],[Purchase_Date]],"YYYY")</f>
        <v>2023</v>
      </c>
      <c r="M738" s="1" t="str">
        <f>TEXT(Table1[[#This Row],[Purchase_Date]],"MMM")</f>
        <v>Mar</v>
      </c>
      <c r="N738" s="1" t="str">
        <f>TEXT(Table1[[#This Row],[Purchase_Date]],"DD")</f>
        <v>25</v>
      </c>
      <c r="O738" s="2" t="s">
        <v>36</v>
      </c>
      <c r="P738" s="3">
        <v>1</v>
      </c>
      <c r="Q738" s="2" t="s">
        <v>23</v>
      </c>
      <c r="R738" s="2" t="s">
        <v>24</v>
      </c>
      <c r="S738">
        <f>Table1[[#This Row],[Purchase_Amount]]*Table1[[#This Row],[Quantity]]</f>
        <v>87.08</v>
      </c>
      <c r="T738" t="str">
        <f>IF(Table1[[#This Row],[Age]]&lt;25,"&lt;25",IF(Table1[[#This Row],[Age]]&lt;=35,"25-35",IF(Table1[[#This Row],[Age]]&lt;=50,"36-50","50+")))</f>
        <v>&lt;25</v>
      </c>
    </row>
    <row r="739" spans="1:20" x14ac:dyDescent="0.3">
      <c r="A739" s="2" t="s">
        <v>1213</v>
      </c>
      <c r="B739" s="2" t="s">
        <v>16</v>
      </c>
      <c r="C739" s="3">
        <v>25</v>
      </c>
      <c r="D739" s="2" t="s">
        <v>38</v>
      </c>
      <c r="E739" s="2" t="s">
        <v>33</v>
      </c>
      <c r="F739" s="2" t="s">
        <v>19</v>
      </c>
      <c r="G739" t="s">
        <v>61</v>
      </c>
      <c r="H739" t="s">
        <v>134</v>
      </c>
      <c r="I739" s="4">
        <v>58.51</v>
      </c>
      <c r="J739" s="3">
        <v>3</v>
      </c>
      <c r="K739" s="1">
        <v>45424</v>
      </c>
      <c r="L739" s="1" t="str">
        <f>TEXT(Table1[[#This Row],[Purchase_Date]],"YYYY")</f>
        <v>2024</v>
      </c>
      <c r="M739" s="1" t="str">
        <f>TEXT(Table1[[#This Row],[Purchase_Date]],"MMM")</f>
        <v>May</v>
      </c>
      <c r="N739" s="1" t="str">
        <f>TEXT(Table1[[#This Row],[Purchase_Date]],"DD")</f>
        <v>12</v>
      </c>
      <c r="O739" s="2" t="s">
        <v>41</v>
      </c>
      <c r="P739" s="3">
        <v>8</v>
      </c>
      <c r="Q739" s="2" t="s">
        <v>23</v>
      </c>
      <c r="R739" s="2" t="s">
        <v>24</v>
      </c>
      <c r="S739">
        <f>Table1[[#This Row],[Purchase_Amount]]*Table1[[#This Row],[Quantity]]</f>
        <v>175.53</v>
      </c>
      <c r="T739" t="str">
        <f>IF(Table1[[#This Row],[Age]]&lt;25,"&lt;25",IF(Table1[[#This Row],[Age]]&lt;=35,"25-35",IF(Table1[[#This Row],[Age]]&lt;=50,"36-50","50+")))</f>
        <v>25-35</v>
      </c>
    </row>
    <row r="740" spans="1:20" x14ac:dyDescent="0.3">
      <c r="A740" s="2" t="s">
        <v>738</v>
      </c>
      <c r="B740" s="2" t="s">
        <v>16</v>
      </c>
      <c r="C740" s="3">
        <v>26</v>
      </c>
      <c r="D740" s="2" t="s">
        <v>38</v>
      </c>
      <c r="E740" s="2" t="s">
        <v>33</v>
      </c>
      <c r="F740" s="2" t="s">
        <v>44</v>
      </c>
      <c r="G740" t="s">
        <v>61</v>
      </c>
      <c r="H740" t="s">
        <v>517</v>
      </c>
      <c r="I740" s="4">
        <v>142.36000000000001</v>
      </c>
      <c r="J740" s="3">
        <v>2</v>
      </c>
      <c r="K740" s="1">
        <v>45241</v>
      </c>
      <c r="L740" s="1" t="str">
        <f>TEXT(Table1[[#This Row],[Purchase_Date]],"YYYY")</f>
        <v>2023</v>
      </c>
      <c r="M740" s="1" t="str">
        <f>TEXT(Table1[[#This Row],[Purchase_Date]],"MMM")</f>
        <v>Nov</v>
      </c>
      <c r="N740" s="1" t="str">
        <f>TEXT(Table1[[#This Row],[Purchase_Date]],"DD")</f>
        <v>11</v>
      </c>
      <c r="O740" s="2" t="s">
        <v>22</v>
      </c>
      <c r="P740" s="3">
        <v>7</v>
      </c>
      <c r="Q740" s="2" t="s">
        <v>46</v>
      </c>
      <c r="R740" s="2" t="s">
        <v>47</v>
      </c>
      <c r="S740">
        <f>Table1[[#This Row],[Purchase_Amount]]*Table1[[#This Row],[Quantity]]</f>
        <v>284.72000000000003</v>
      </c>
      <c r="T740" t="str">
        <f>IF(Table1[[#This Row],[Age]]&lt;25,"&lt;25",IF(Table1[[#This Row],[Age]]&lt;=35,"25-35",IF(Table1[[#This Row],[Age]]&lt;=50,"36-50","50+")))</f>
        <v>25-35</v>
      </c>
    </row>
    <row r="741" spans="1:20" x14ac:dyDescent="0.3">
      <c r="A741" s="2" t="s">
        <v>541</v>
      </c>
      <c r="B741" s="2" t="s">
        <v>16</v>
      </c>
      <c r="C741" s="3">
        <v>27</v>
      </c>
      <c r="D741" s="2" t="s">
        <v>32</v>
      </c>
      <c r="E741" s="2" t="s">
        <v>49</v>
      </c>
      <c r="F741" s="2" t="s">
        <v>27</v>
      </c>
      <c r="G741" t="s">
        <v>61</v>
      </c>
      <c r="H741" t="s">
        <v>542</v>
      </c>
      <c r="I741" s="4">
        <v>97.25</v>
      </c>
      <c r="J741" s="3">
        <v>4</v>
      </c>
      <c r="K741" s="1">
        <v>44975</v>
      </c>
      <c r="L741" s="1" t="str">
        <f>TEXT(Table1[[#This Row],[Purchase_Date]],"YYYY")</f>
        <v>2023</v>
      </c>
      <c r="M741" s="1" t="str">
        <f>TEXT(Table1[[#This Row],[Purchase_Date]],"MMM")</f>
        <v>Feb</v>
      </c>
      <c r="N741" s="1" t="str">
        <f>TEXT(Table1[[#This Row],[Purchase_Date]],"DD")</f>
        <v>18</v>
      </c>
      <c r="O741" s="2" t="s">
        <v>22</v>
      </c>
      <c r="P741" s="3">
        <v>6</v>
      </c>
      <c r="Q741" s="2" t="s">
        <v>46</v>
      </c>
      <c r="R741" s="2" t="s">
        <v>24</v>
      </c>
      <c r="S741">
        <f>Table1[[#This Row],[Purchase_Amount]]*Table1[[#This Row],[Quantity]]</f>
        <v>389</v>
      </c>
      <c r="T741" t="str">
        <f>IF(Table1[[#This Row],[Age]]&lt;25,"&lt;25",IF(Table1[[#This Row],[Age]]&lt;=35,"25-35",IF(Table1[[#This Row],[Age]]&lt;=50,"36-50","50+")))</f>
        <v>25-35</v>
      </c>
    </row>
    <row r="742" spans="1:20" x14ac:dyDescent="0.3">
      <c r="A742" s="2" t="s">
        <v>1113</v>
      </c>
      <c r="B742" s="2" t="s">
        <v>16</v>
      </c>
      <c r="C742" s="3">
        <v>28</v>
      </c>
      <c r="D742" s="2" t="s">
        <v>78</v>
      </c>
      <c r="E742" s="2" t="s">
        <v>33</v>
      </c>
      <c r="F742" s="2" t="s">
        <v>27</v>
      </c>
      <c r="G742" t="s">
        <v>61</v>
      </c>
      <c r="H742" t="s">
        <v>522</v>
      </c>
      <c r="I742" s="4">
        <v>115.64</v>
      </c>
      <c r="J742" s="3">
        <v>2</v>
      </c>
      <c r="K742" s="1">
        <v>45221</v>
      </c>
      <c r="L742" s="1" t="str">
        <f>TEXT(Table1[[#This Row],[Purchase_Date]],"YYYY")</f>
        <v>2023</v>
      </c>
      <c r="M742" s="1" t="str">
        <f>TEXT(Table1[[#This Row],[Purchase_Date]],"MMM")</f>
        <v>Oct</v>
      </c>
      <c r="N742" s="1" t="str">
        <f>TEXT(Table1[[#This Row],[Purchase_Date]],"DD")</f>
        <v>22</v>
      </c>
      <c r="O742" s="2" t="s">
        <v>41</v>
      </c>
      <c r="P742" s="3">
        <v>9</v>
      </c>
      <c r="Q742" s="2" t="s">
        <v>23</v>
      </c>
      <c r="R742" s="2" t="s">
        <v>47</v>
      </c>
      <c r="S742">
        <f>Table1[[#This Row],[Purchase_Amount]]*Table1[[#This Row],[Quantity]]</f>
        <v>231.28</v>
      </c>
      <c r="T742" t="str">
        <f>IF(Table1[[#This Row],[Age]]&lt;25,"&lt;25",IF(Table1[[#This Row],[Age]]&lt;=35,"25-35",IF(Table1[[#This Row],[Age]]&lt;=50,"36-50","50+")))</f>
        <v>25-35</v>
      </c>
    </row>
    <row r="743" spans="1:20" x14ac:dyDescent="0.3">
      <c r="A743" s="2" t="s">
        <v>341</v>
      </c>
      <c r="B743" s="2" t="s">
        <v>16</v>
      </c>
      <c r="C743" s="3">
        <v>29</v>
      </c>
      <c r="D743" s="2" t="s">
        <v>32</v>
      </c>
      <c r="E743" s="2" t="s">
        <v>49</v>
      </c>
      <c r="F743" s="2" t="s">
        <v>27</v>
      </c>
      <c r="G743" t="s">
        <v>61</v>
      </c>
      <c r="H743" t="s">
        <v>298</v>
      </c>
      <c r="I743" s="4">
        <v>765.88</v>
      </c>
      <c r="J743" s="3">
        <v>3</v>
      </c>
      <c r="K743" s="1">
        <v>45343</v>
      </c>
      <c r="L743" s="1" t="str">
        <f>TEXT(Table1[[#This Row],[Purchase_Date]],"YYYY")</f>
        <v>2024</v>
      </c>
      <c r="M743" s="1" t="str">
        <f>TEXT(Table1[[#This Row],[Purchase_Date]],"MMM")</f>
        <v>Feb</v>
      </c>
      <c r="N743" s="1" t="str">
        <f>TEXT(Table1[[#This Row],[Purchase_Date]],"DD")</f>
        <v>21</v>
      </c>
      <c r="O743" s="2" t="s">
        <v>30</v>
      </c>
      <c r="P743" s="3">
        <v>2</v>
      </c>
      <c r="Q743" s="2" t="s">
        <v>23</v>
      </c>
      <c r="R743" s="2" t="s">
        <v>24</v>
      </c>
      <c r="S743">
        <f>Table1[[#This Row],[Purchase_Amount]]*Table1[[#This Row],[Quantity]]</f>
        <v>2297.64</v>
      </c>
      <c r="T743" t="str">
        <f>IF(Table1[[#This Row],[Age]]&lt;25,"&lt;25",IF(Table1[[#This Row],[Age]]&lt;=35,"25-35",IF(Table1[[#This Row],[Age]]&lt;=50,"36-50","50+")))</f>
        <v>25-35</v>
      </c>
    </row>
    <row r="744" spans="1:20" x14ac:dyDescent="0.3">
      <c r="A744" s="2" t="s">
        <v>224</v>
      </c>
      <c r="B744" s="2" t="s">
        <v>16</v>
      </c>
      <c r="C744" s="3">
        <v>31</v>
      </c>
      <c r="D744" s="2" t="s">
        <v>60</v>
      </c>
      <c r="E744" s="2" t="s">
        <v>33</v>
      </c>
      <c r="F744" s="2" t="s">
        <v>27</v>
      </c>
      <c r="G744" t="s">
        <v>61</v>
      </c>
      <c r="H744" t="s">
        <v>40</v>
      </c>
      <c r="I744" s="4">
        <v>242.41</v>
      </c>
      <c r="J744" s="3">
        <v>3</v>
      </c>
      <c r="K744" s="1">
        <v>45240</v>
      </c>
      <c r="L744" s="1" t="str">
        <f>TEXT(Table1[[#This Row],[Purchase_Date]],"YYYY")</f>
        <v>2023</v>
      </c>
      <c r="M744" s="1" t="str">
        <f>TEXT(Table1[[#This Row],[Purchase_Date]],"MMM")</f>
        <v>Nov</v>
      </c>
      <c r="N744" s="1" t="str">
        <f>TEXT(Table1[[#This Row],[Purchase_Date]],"DD")</f>
        <v>10</v>
      </c>
      <c r="O744" s="2" t="s">
        <v>30</v>
      </c>
      <c r="P744" s="3">
        <v>1</v>
      </c>
      <c r="Q744" s="2" t="s">
        <v>46</v>
      </c>
      <c r="R744" s="2" t="s">
        <v>47</v>
      </c>
      <c r="S744">
        <f>Table1[[#This Row],[Purchase_Amount]]*Table1[[#This Row],[Quantity]]</f>
        <v>727.23</v>
      </c>
      <c r="T744" t="str">
        <f>IF(Table1[[#This Row],[Age]]&lt;25,"&lt;25",IF(Table1[[#This Row],[Age]]&lt;=35,"25-35",IF(Table1[[#This Row],[Age]]&lt;=50,"36-50","50+")))</f>
        <v>25-35</v>
      </c>
    </row>
    <row r="745" spans="1:20" x14ac:dyDescent="0.3">
      <c r="A745" s="2" t="s">
        <v>891</v>
      </c>
      <c r="B745" s="2" t="s">
        <v>16</v>
      </c>
      <c r="C745" s="3">
        <v>31</v>
      </c>
      <c r="D745" s="2" t="s">
        <v>60</v>
      </c>
      <c r="E745" s="2" t="s">
        <v>49</v>
      </c>
      <c r="F745" s="2" t="s">
        <v>44</v>
      </c>
      <c r="G745" t="s">
        <v>61</v>
      </c>
      <c r="H745" t="s">
        <v>685</v>
      </c>
      <c r="I745" s="4">
        <v>582.76</v>
      </c>
      <c r="J745" s="3">
        <v>1</v>
      </c>
      <c r="K745" s="1">
        <v>45522</v>
      </c>
      <c r="L745" s="1" t="str">
        <f>TEXT(Table1[[#This Row],[Purchase_Date]],"YYYY")</f>
        <v>2024</v>
      </c>
      <c r="M745" s="1" t="str">
        <f>TEXT(Table1[[#This Row],[Purchase_Date]],"MMM")</f>
        <v>Aug</v>
      </c>
      <c r="N745" s="1" t="str">
        <f>TEXT(Table1[[#This Row],[Purchase_Date]],"DD")</f>
        <v>18</v>
      </c>
      <c r="O745" s="2" t="s">
        <v>41</v>
      </c>
      <c r="P745" s="3">
        <v>1</v>
      </c>
      <c r="Q745" s="2" t="s">
        <v>23</v>
      </c>
      <c r="R745" s="2" t="s">
        <v>47</v>
      </c>
      <c r="S745">
        <f>Table1[[#This Row],[Purchase_Amount]]*Table1[[#This Row],[Quantity]]</f>
        <v>582.76</v>
      </c>
      <c r="T745" t="str">
        <f>IF(Table1[[#This Row],[Age]]&lt;25,"&lt;25",IF(Table1[[#This Row],[Age]]&lt;=35,"25-35",IF(Table1[[#This Row],[Age]]&lt;=50,"36-50","50+")))</f>
        <v>25-35</v>
      </c>
    </row>
    <row r="746" spans="1:20" x14ac:dyDescent="0.3">
      <c r="A746" s="2" t="s">
        <v>124</v>
      </c>
      <c r="B746" s="2" t="s">
        <v>16</v>
      </c>
      <c r="C746" s="3">
        <v>31</v>
      </c>
      <c r="D746" s="2" t="s">
        <v>17</v>
      </c>
      <c r="E746" s="2" t="s">
        <v>33</v>
      </c>
      <c r="F746" s="2" t="s">
        <v>27</v>
      </c>
      <c r="G746" t="s">
        <v>61</v>
      </c>
      <c r="H746" t="s">
        <v>125</v>
      </c>
      <c r="I746" s="4">
        <v>754.59</v>
      </c>
      <c r="J746" s="3">
        <v>3</v>
      </c>
      <c r="K746" s="1">
        <v>45320</v>
      </c>
      <c r="L746" s="1" t="str">
        <f>TEXT(Table1[[#This Row],[Purchase_Date]],"YYYY")</f>
        <v>2024</v>
      </c>
      <c r="M746" s="1" t="str">
        <f>TEXT(Table1[[#This Row],[Purchase_Date]],"MMM")</f>
        <v>Jan</v>
      </c>
      <c r="N746" s="1" t="str">
        <f>TEXT(Table1[[#This Row],[Purchase_Date]],"DD")</f>
        <v>29</v>
      </c>
      <c r="O746" s="2" t="s">
        <v>30</v>
      </c>
      <c r="P746" s="3">
        <v>7</v>
      </c>
      <c r="Q746" s="2" t="s">
        <v>46</v>
      </c>
      <c r="R746" s="2" t="s">
        <v>24</v>
      </c>
      <c r="S746">
        <f>Table1[[#This Row],[Purchase_Amount]]*Table1[[#This Row],[Quantity]]</f>
        <v>2263.77</v>
      </c>
      <c r="T746" t="str">
        <f>IF(Table1[[#This Row],[Age]]&lt;25,"&lt;25",IF(Table1[[#This Row],[Age]]&lt;=35,"25-35",IF(Table1[[#This Row],[Age]]&lt;=50,"36-50","50+")))</f>
        <v>25-35</v>
      </c>
    </row>
    <row r="747" spans="1:20" x14ac:dyDescent="0.3">
      <c r="A747" s="2" t="s">
        <v>877</v>
      </c>
      <c r="B747" s="2" t="s">
        <v>16</v>
      </c>
      <c r="C747" s="3">
        <v>33</v>
      </c>
      <c r="D747" s="2" t="s">
        <v>109</v>
      </c>
      <c r="E747" s="2" t="s">
        <v>49</v>
      </c>
      <c r="F747" s="2" t="s">
        <v>44</v>
      </c>
      <c r="G747" t="s">
        <v>61</v>
      </c>
      <c r="H747" t="s">
        <v>81</v>
      </c>
      <c r="I747" s="4">
        <v>618.91999999999996</v>
      </c>
      <c r="J747" s="3">
        <v>5</v>
      </c>
      <c r="K747" s="1">
        <v>45582</v>
      </c>
      <c r="L747" s="1" t="str">
        <f>TEXT(Table1[[#This Row],[Purchase_Date]],"YYYY")</f>
        <v>2024</v>
      </c>
      <c r="M747" s="1" t="str">
        <f>TEXT(Table1[[#This Row],[Purchase_Date]],"MMM")</f>
        <v>Oct</v>
      </c>
      <c r="N747" s="1" t="str">
        <f>TEXT(Table1[[#This Row],[Purchase_Date]],"DD")</f>
        <v>17</v>
      </c>
      <c r="O747" s="2" t="s">
        <v>41</v>
      </c>
      <c r="P747" s="3">
        <v>2</v>
      </c>
      <c r="Q747" s="2" t="s">
        <v>23</v>
      </c>
      <c r="R747" s="2" t="s">
        <v>24</v>
      </c>
      <c r="S747">
        <f>Table1[[#This Row],[Purchase_Amount]]*Table1[[#This Row],[Quantity]]</f>
        <v>3094.6</v>
      </c>
      <c r="T747" t="str">
        <f>IF(Table1[[#This Row],[Age]]&lt;25,"&lt;25",IF(Table1[[#This Row],[Age]]&lt;=35,"25-35",IF(Table1[[#This Row],[Age]]&lt;=50,"36-50","50+")))</f>
        <v>25-35</v>
      </c>
    </row>
    <row r="748" spans="1:20" x14ac:dyDescent="0.3">
      <c r="A748" s="2" t="s">
        <v>1212</v>
      </c>
      <c r="B748" s="2" t="s">
        <v>16</v>
      </c>
      <c r="C748" s="3">
        <v>34</v>
      </c>
      <c r="D748" s="2" t="s">
        <v>17</v>
      </c>
      <c r="E748" s="2" t="s">
        <v>49</v>
      </c>
      <c r="F748" s="2" t="s">
        <v>27</v>
      </c>
      <c r="G748" t="s">
        <v>61</v>
      </c>
      <c r="H748" t="s">
        <v>497</v>
      </c>
      <c r="I748" s="4">
        <v>27.32</v>
      </c>
      <c r="J748" s="3">
        <v>5</v>
      </c>
      <c r="K748" s="1">
        <v>45145</v>
      </c>
      <c r="L748" s="1" t="str">
        <f>TEXT(Table1[[#This Row],[Purchase_Date]],"YYYY")</f>
        <v>2023</v>
      </c>
      <c r="M748" s="1" t="str">
        <f>TEXT(Table1[[#This Row],[Purchase_Date]],"MMM")</f>
        <v>Aug</v>
      </c>
      <c r="N748" s="1" t="str">
        <f>TEXT(Table1[[#This Row],[Purchase_Date]],"DD")</f>
        <v>07</v>
      </c>
      <c r="O748" s="2" t="s">
        <v>36</v>
      </c>
      <c r="P748" s="3">
        <v>8</v>
      </c>
      <c r="Q748" s="2" t="s">
        <v>23</v>
      </c>
      <c r="R748" s="2" t="s">
        <v>47</v>
      </c>
      <c r="S748">
        <f>Table1[[#This Row],[Purchase_Amount]]*Table1[[#This Row],[Quantity]]</f>
        <v>136.6</v>
      </c>
      <c r="T748" t="str">
        <f>IF(Table1[[#This Row],[Age]]&lt;25,"&lt;25",IF(Table1[[#This Row],[Age]]&lt;=35,"25-35",IF(Table1[[#This Row],[Age]]&lt;=50,"36-50","50+")))</f>
        <v>25-35</v>
      </c>
    </row>
    <row r="749" spans="1:20" x14ac:dyDescent="0.3">
      <c r="A749" s="2" t="s">
        <v>256</v>
      </c>
      <c r="B749" s="2" t="s">
        <v>16</v>
      </c>
      <c r="C749" s="3">
        <v>34</v>
      </c>
      <c r="D749" s="2" t="s">
        <v>78</v>
      </c>
      <c r="E749" s="2" t="s">
        <v>49</v>
      </c>
      <c r="F749" s="2" t="s">
        <v>27</v>
      </c>
      <c r="G749" t="s">
        <v>61</v>
      </c>
      <c r="H749" t="s">
        <v>187</v>
      </c>
      <c r="I749" s="4">
        <v>304.67</v>
      </c>
      <c r="J749" s="3">
        <v>2</v>
      </c>
      <c r="K749" s="1">
        <v>45203</v>
      </c>
      <c r="L749" s="1" t="str">
        <f>TEXT(Table1[[#This Row],[Purchase_Date]],"YYYY")</f>
        <v>2023</v>
      </c>
      <c r="M749" s="1" t="str">
        <f>TEXT(Table1[[#This Row],[Purchase_Date]],"MMM")</f>
        <v>Oct</v>
      </c>
      <c r="N749" s="1" t="str">
        <f>TEXT(Table1[[#This Row],[Purchase_Date]],"DD")</f>
        <v>04</v>
      </c>
      <c r="O749" s="2" t="s">
        <v>22</v>
      </c>
      <c r="P749" s="3">
        <v>3</v>
      </c>
      <c r="Q749" s="2" t="s">
        <v>46</v>
      </c>
      <c r="R749" s="2" t="s">
        <v>24</v>
      </c>
      <c r="S749">
        <f>Table1[[#This Row],[Purchase_Amount]]*Table1[[#This Row],[Quantity]]</f>
        <v>609.34</v>
      </c>
      <c r="T749" t="str">
        <f>IF(Table1[[#This Row],[Age]]&lt;25,"&lt;25",IF(Table1[[#This Row],[Age]]&lt;=35,"25-35",IF(Table1[[#This Row],[Age]]&lt;=50,"36-50","50+")))</f>
        <v>25-35</v>
      </c>
    </row>
    <row r="750" spans="1:20" x14ac:dyDescent="0.3">
      <c r="A750" s="2" t="s">
        <v>639</v>
      </c>
      <c r="B750" s="2" t="s">
        <v>16</v>
      </c>
      <c r="C750" s="3">
        <v>34</v>
      </c>
      <c r="D750" s="2" t="s">
        <v>64</v>
      </c>
      <c r="E750" s="2" t="s">
        <v>33</v>
      </c>
      <c r="F750" s="2" t="s">
        <v>19</v>
      </c>
      <c r="G750" t="s">
        <v>61</v>
      </c>
      <c r="H750" t="s">
        <v>193</v>
      </c>
      <c r="I750" s="4">
        <v>835.82</v>
      </c>
      <c r="J750" s="3">
        <v>2</v>
      </c>
      <c r="K750" s="1">
        <v>45125</v>
      </c>
      <c r="L750" s="1" t="str">
        <f>TEXT(Table1[[#This Row],[Purchase_Date]],"YYYY")</f>
        <v>2023</v>
      </c>
      <c r="M750" s="1" t="str">
        <f>TEXT(Table1[[#This Row],[Purchase_Date]],"MMM")</f>
        <v>Jul</v>
      </c>
      <c r="N750" s="1" t="str">
        <f>TEXT(Table1[[#This Row],[Purchase_Date]],"DD")</f>
        <v>18</v>
      </c>
      <c r="O750" s="2" t="s">
        <v>22</v>
      </c>
      <c r="P750" s="3">
        <v>9</v>
      </c>
      <c r="Q750" s="2" t="s">
        <v>23</v>
      </c>
      <c r="R750" s="2" t="s">
        <v>47</v>
      </c>
      <c r="S750">
        <f>Table1[[#This Row],[Purchase_Amount]]*Table1[[#This Row],[Quantity]]</f>
        <v>1671.64</v>
      </c>
      <c r="T750" t="str">
        <f>IF(Table1[[#This Row],[Age]]&lt;25,"&lt;25",IF(Table1[[#This Row],[Age]]&lt;=35,"25-35",IF(Table1[[#This Row],[Age]]&lt;=50,"36-50","50+")))</f>
        <v>25-35</v>
      </c>
    </row>
    <row r="751" spans="1:20" x14ac:dyDescent="0.3">
      <c r="A751" s="2" t="s">
        <v>992</v>
      </c>
      <c r="B751" s="2" t="s">
        <v>16</v>
      </c>
      <c r="C751" s="3">
        <v>35</v>
      </c>
      <c r="D751" s="2" t="s">
        <v>109</v>
      </c>
      <c r="E751" s="2" t="s">
        <v>49</v>
      </c>
      <c r="F751" s="2" t="s">
        <v>27</v>
      </c>
      <c r="G751" t="s">
        <v>61</v>
      </c>
      <c r="H751" t="s">
        <v>221</v>
      </c>
      <c r="I751" s="4">
        <v>975.16</v>
      </c>
      <c r="J751" s="3">
        <v>3</v>
      </c>
      <c r="K751" s="1">
        <v>45203</v>
      </c>
      <c r="L751" s="1" t="str">
        <f>TEXT(Table1[[#This Row],[Purchase_Date]],"YYYY")</f>
        <v>2023</v>
      </c>
      <c r="M751" s="1" t="str">
        <f>TEXT(Table1[[#This Row],[Purchase_Date]],"MMM")</f>
        <v>Oct</v>
      </c>
      <c r="N751" s="1" t="str">
        <f>TEXT(Table1[[#This Row],[Purchase_Date]],"DD")</f>
        <v>04</v>
      </c>
      <c r="O751" s="2" t="s">
        <v>22</v>
      </c>
      <c r="P751" s="3">
        <v>1</v>
      </c>
      <c r="Q751" s="2" t="s">
        <v>23</v>
      </c>
      <c r="R751" s="2" t="s">
        <v>24</v>
      </c>
      <c r="S751">
        <f>Table1[[#This Row],[Purchase_Amount]]*Table1[[#This Row],[Quantity]]</f>
        <v>2925.48</v>
      </c>
      <c r="T751" t="str">
        <f>IF(Table1[[#This Row],[Age]]&lt;25,"&lt;25",IF(Table1[[#This Row],[Age]]&lt;=35,"25-35",IF(Table1[[#This Row],[Age]]&lt;=50,"36-50","50+")))</f>
        <v>25-35</v>
      </c>
    </row>
    <row r="752" spans="1:20" x14ac:dyDescent="0.3">
      <c r="A752" s="2" t="s">
        <v>1087</v>
      </c>
      <c r="B752" s="2" t="s">
        <v>16</v>
      </c>
      <c r="C752" s="3">
        <v>37</v>
      </c>
      <c r="D752" s="2" t="s">
        <v>38</v>
      </c>
      <c r="E752" s="2" t="s">
        <v>18</v>
      </c>
      <c r="F752" s="2" t="s">
        <v>27</v>
      </c>
      <c r="G752" t="s">
        <v>61</v>
      </c>
      <c r="H752" t="s">
        <v>362</v>
      </c>
      <c r="I752" s="4">
        <v>115.15</v>
      </c>
      <c r="J752" s="3">
        <v>1</v>
      </c>
      <c r="K752" s="1">
        <v>45293</v>
      </c>
      <c r="L752" s="1" t="str">
        <f>TEXT(Table1[[#This Row],[Purchase_Date]],"YYYY")</f>
        <v>2024</v>
      </c>
      <c r="M752" s="1" t="str">
        <f>TEXT(Table1[[#This Row],[Purchase_Date]],"MMM")</f>
        <v>Jan</v>
      </c>
      <c r="N752" s="1" t="str">
        <f>TEXT(Table1[[#This Row],[Purchase_Date]],"DD")</f>
        <v>02</v>
      </c>
      <c r="O752" s="2" t="s">
        <v>30</v>
      </c>
      <c r="P752" s="3">
        <v>7</v>
      </c>
      <c r="Q752" s="2" t="s">
        <v>23</v>
      </c>
      <c r="R752" s="2" t="s">
        <v>24</v>
      </c>
      <c r="S752">
        <f>Table1[[#This Row],[Purchase_Amount]]*Table1[[#This Row],[Quantity]]</f>
        <v>115.15</v>
      </c>
      <c r="T752" t="str">
        <f>IF(Table1[[#This Row],[Age]]&lt;25,"&lt;25",IF(Table1[[#This Row],[Age]]&lt;=35,"25-35",IF(Table1[[#This Row],[Age]]&lt;=50,"36-50","50+")))</f>
        <v>36-50</v>
      </c>
    </row>
    <row r="753" spans="1:20" x14ac:dyDescent="0.3">
      <c r="A753" s="2" t="s">
        <v>361</v>
      </c>
      <c r="B753" s="2" t="s">
        <v>16</v>
      </c>
      <c r="C753" s="3">
        <v>37</v>
      </c>
      <c r="D753" s="2" t="s">
        <v>17</v>
      </c>
      <c r="E753" s="2" t="s">
        <v>49</v>
      </c>
      <c r="F753" s="2" t="s">
        <v>44</v>
      </c>
      <c r="G753" t="s">
        <v>61</v>
      </c>
      <c r="H753" t="s">
        <v>362</v>
      </c>
      <c r="I753" s="4">
        <v>810.19</v>
      </c>
      <c r="J753" s="3">
        <v>1</v>
      </c>
      <c r="K753" s="1">
        <v>45241</v>
      </c>
      <c r="L753" s="1" t="str">
        <f>TEXT(Table1[[#This Row],[Purchase_Date]],"YYYY")</f>
        <v>2023</v>
      </c>
      <c r="M753" s="1" t="str">
        <f>TEXT(Table1[[#This Row],[Purchase_Date]],"MMM")</f>
        <v>Nov</v>
      </c>
      <c r="N753" s="1" t="str">
        <f>TEXT(Table1[[#This Row],[Purchase_Date]],"DD")</f>
        <v>11</v>
      </c>
      <c r="O753" s="2" t="s">
        <v>36</v>
      </c>
      <c r="P753" s="3">
        <v>3</v>
      </c>
      <c r="Q753" s="2" t="s">
        <v>23</v>
      </c>
      <c r="R753" s="2" t="s">
        <v>47</v>
      </c>
      <c r="S753">
        <f>Table1[[#This Row],[Purchase_Amount]]*Table1[[#This Row],[Quantity]]</f>
        <v>810.19</v>
      </c>
      <c r="T753" t="str">
        <f>IF(Table1[[#This Row],[Age]]&lt;25,"&lt;25",IF(Table1[[#This Row],[Age]]&lt;=35,"25-35",IF(Table1[[#This Row],[Age]]&lt;=50,"36-50","50+")))</f>
        <v>36-50</v>
      </c>
    </row>
    <row r="754" spans="1:20" x14ac:dyDescent="0.3">
      <c r="A754" s="2" t="s">
        <v>425</v>
      </c>
      <c r="B754" s="2" t="s">
        <v>16</v>
      </c>
      <c r="C754" s="3">
        <v>40</v>
      </c>
      <c r="D754" s="2" t="s">
        <v>43</v>
      </c>
      <c r="E754" s="2" t="s">
        <v>33</v>
      </c>
      <c r="F754" s="2" t="s">
        <v>27</v>
      </c>
      <c r="G754" t="s">
        <v>61</v>
      </c>
      <c r="H754" t="s">
        <v>208</v>
      </c>
      <c r="I754" s="4">
        <v>558.45000000000005</v>
      </c>
      <c r="J754" s="3">
        <v>5</v>
      </c>
      <c r="K754" s="1">
        <v>45396</v>
      </c>
      <c r="L754" s="1" t="str">
        <f>TEXT(Table1[[#This Row],[Purchase_Date]],"YYYY")</f>
        <v>2024</v>
      </c>
      <c r="M754" s="1" t="str">
        <f>TEXT(Table1[[#This Row],[Purchase_Date]],"MMM")</f>
        <v>Apr</v>
      </c>
      <c r="N754" s="1" t="str">
        <f>TEXT(Table1[[#This Row],[Purchase_Date]],"DD")</f>
        <v>14</v>
      </c>
      <c r="O754" s="2" t="s">
        <v>36</v>
      </c>
      <c r="P754" s="3">
        <v>2</v>
      </c>
      <c r="Q754" s="2" t="s">
        <v>23</v>
      </c>
      <c r="R754" s="2" t="s">
        <v>24</v>
      </c>
      <c r="S754">
        <f>Table1[[#This Row],[Purchase_Amount]]*Table1[[#This Row],[Quantity]]</f>
        <v>2792.25</v>
      </c>
      <c r="T754" t="str">
        <f>IF(Table1[[#This Row],[Age]]&lt;25,"&lt;25",IF(Table1[[#This Row],[Age]]&lt;=35,"25-35",IF(Table1[[#This Row],[Age]]&lt;=50,"36-50","50+")))</f>
        <v>36-50</v>
      </c>
    </row>
    <row r="755" spans="1:20" x14ac:dyDescent="0.3">
      <c r="A755" s="2" t="s">
        <v>942</v>
      </c>
      <c r="B755" s="2" t="s">
        <v>16</v>
      </c>
      <c r="C755" s="3">
        <v>40</v>
      </c>
      <c r="D755" s="2" t="s">
        <v>38</v>
      </c>
      <c r="E755" s="2" t="s">
        <v>49</v>
      </c>
      <c r="F755" s="2" t="s">
        <v>27</v>
      </c>
      <c r="G755" t="s">
        <v>61</v>
      </c>
      <c r="H755" t="s">
        <v>383</v>
      </c>
      <c r="I755" s="4">
        <v>783.96</v>
      </c>
      <c r="J755" s="3">
        <v>4</v>
      </c>
      <c r="K755" s="1">
        <v>45204</v>
      </c>
      <c r="L755" s="1" t="str">
        <f>TEXT(Table1[[#This Row],[Purchase_Date]],"YYYY")</f>
        <v>2023</v>
      </c>
      <c r="M755" s="1" t="str">
        <f>TEXT(Table1[[#This Row],[Purchase_Date]],"MMM")</f>
        <v>Oct</v>
      </c>
      <c r="N755" s="1" t="str">
        <f>TEXT(Table1[[#This Row],[Purchase_Date]],"DD")</f>
        <v>05</v>
      </c>
      <c r="O755" s="2" t="s">
        <v>36</v>
      </c>
      <c r="P755" s="3">
        <v>9</v>
      </c>
      <c r="Q755" s="2" t="s">
        <v>46</v>
      </c>
      <c r="R755" s="2" t="s">
        <v>47</v>
      </c>
      <c r="S755">
        <f>Table1[[#This Row],[Purchase_Amount]]*Table1[[#This Row],[Quantity]]</f>
        <v>3135.84</v>
      </c>
      <c r="T755" t="str">
        <f>IF(Table1[[#This Row],[Age]]&lt;25,"&lt;25",IF(Table1[[#This Row],[Age]]&lt;=35,"25-35",IF(Table1[[#This Row],[Age]]&lt;=50,"36-50","50+")))</f>
        <v>36-50</v>
      </c>
    </row>
    <row r="756" spans="1:20" x14ac:dyDescent="0.3">
      <c r="A756" s="2" t="s">
        <v>882</v>
      </c>
      <c r="B756" s="2" t="s">
        <v>16</v>
      </c>
      <c r="C756" s="3">
        <v>42</v>
      </c>
      <c r="D756" s="2" t="s">
        <v>60</v>
      </c>
      <c r="E756" s="2" t="s">
        <v>49</v>
      </c>
      <c r="F756" s="2" t="s">
        <v>27</v>
      </c>
      <c r="G756" t="s">
        <v>61</v>
      </c>
      <c r="H756" t="s">
        <v>200</v>
      </c>
      <c r="I756" s="4">
        <v>285.91000000000003</v>
      </c>
      <c r="J756" s="3">
        <v>1</v>
      </c>
      <c r="K756" s="1">
        <v>45404</v>
      </c>
      <c r="L756" s="1" t="str">
        <f>TEXT(Table1[[#This Row],[Purchase_Date]],"YYYY")</f>
        <v>2024</v>
      </c>
      <c r="M756" s="1" t="str">
        <f>TEXT(Table1[[#This Row],[Purchase_Date]],"MMM")</f>
        <v>Apr</v>
      </c>
      <c r="N756" s="1" t="str">
        <f>TEXT(Table1[[#This Row],[Purchase_Date]],"DD")</f>
        <v>22</v>
      </c>
      <c r="O756" s="2" t="s">
        <v>30</v>
      </c>
      <c r="P756" s="3">
        <v>3</v>
      </c>
      <c r="Q756" s="2" t="s">
        <v>23</v>
      </c>
      <c r="R756" s="2" t="s">
        <v>24</v>
      </c>
      <c r="S756">
        <f>Table1[[#This Row],[Purchase_Amount]]*Table1[[#This Row],[Quantity]]</f>
        <v>285.91000000000003</v>
      </c>
      <c r="T756" t="str">
        <f>IF(Table1[[#This Row],[Age]]&lt;25,"&lt;25",IF(Table1[[#This Row],[Age]]&lt;=35,"25-35",IF(Table1[[#This Row],[Age]]&lt;=50,"36-50","50+")))</f>
        <v>36-50</v>
      </c>
    </row>
    <row r="757" spans="1:20" x14ac:dyDescent="0.3">
      <c r="A757" s="2" t="s">
        <v>960</v>
      </c>
      <c r="B757" s="2" t="s">
        <v>16</v>
      </c>
      <c r="C757" s="3">
        <v>42</v>
      </c>
      <c r="D757" s="2" t="s">
        <v>60</v>
      </c>
      <c r="E757" s="2" t="s">
        <v>49</v>
      </c>
      <c r="F757" s="2" t="s">
        <v>44</v>
      </c>
      <c r="G757" t="s">
        <v>61</v>
      </c>
      <c r="H757" t="s">
        <v>961</v>
      </c>
      <c r="I757" s="4">
        <v>573.51</v>
      </c>
      <c r="J757" s="3">
        <v>4</v>
      </c>
      <c r="K757" s="1">
        <v>45355</v>
      </c>
      <c r="L757" s="1" t="str">
        <f>TEXT(Table1[[#This Row],[Purchase_Date]],"YYYY")</f>
        <v>2024</v>
      </c>
      <c r="M757" s="1" t="str">
        <f>TEXT(Table1[[#This Row],[Purchase_Date]],"MMM")</f>
        <v>Mar</v>
      </c>
      <c r="N757" s="1" t="str">
        <f>TEXT(Table1[[#This Row],[Purchase_Date]],"DD")</f>
        <v>04</v>
      </c>
      <c r="O757" s="2" t="s">
        <v>22</v>
      </c>
      <c r="P757" s="3">
        <v>2</v>
      </c>
      <c r="Q757" s="2" t="s">
        <v>46</v>
      </c>
      <c r="R757" s="2" t="s">
        <v>24</v>
      </c>
      <c r="S757">
        <f>Table1[[#This Row],[Purchase_Amount]]*Table1[[#This Row],[Quantity]]</f>
        <v>2294.04</v>
      </c>
      <c r="T757" t="str">
        <f>IF(Table1[[#This Row],[Age]]&lt;25,"&lt;25",IF(Table1[[#This Row],[Age]]&lt;=35,"25-35",IF(Table1[[#This Row],[Age]]&lt;=50,"36-50","50+")))</f>
        <v>36-50</v>
      </c>
    </row>
    <row r="758" spans="1:20" x14ac:dyDescent="0.3">
      <c r="A758" s="2" t="s">
        <v>1177</v>
      </c>
      <c r="B758" s="2" t="s">
        <v>16</v>
      </c>
      <c r="C758" s="3">
        <v>42</v>
      </c>
      <c r="D758" s="2" t="s">
        <v>32</v>
      </c>
      <c r="E758" s="2" t="s">
        <v>18</v>
      </c>
      <c r="F758" s="2" t="s">
        <v>19</v>
      </c>
      <c r="G758" t="s">
        <v>61</v>
      </c>
      <c r="H758" t="s">
        <v>452</v>
      </c>
      <c r="I758" s="4">
        <v>658.95</v>
      </c>
      <c r="J758" s="3">
        <v>4</v>
      </c>
      <c r="K758" s="1">
        <v>45502</v>
      </c>
      <c r="L758" s="1" t="str">
        <f>TEXT(Table1[[#This Row],[Purchase_Date]],"YYYY")</f>
        <v>2024</v>
      </c>
      <c r="M758" s="1" t="str">
        <f>TEXT(Table1[[#This Row],[Purchase_Date]],"MMM")</f>
        <v>Jul</v>
      </c>
      <c r="N758" s="1" t="str">
        <f>TEXT(Table1[[#This Row],[Purchase_Date]],"DD")</f>
        <v>29</v>
      </c>
      <c r="O758" s="2" t="s">
        <v>30</v>
      </c>
      <c r="P758" s="3">
        <v>9</v>
      </c>
      <c r="Q758" s="2" t="s">
        <v>46</v>
      </c>
      <c r="R758" s="2" t="s">
        <v>24</v>
      </c>
      <c r="S758">
        <f>Table1[[#This Row],[Purchase_Amount]]*Table1[[#This Row],[Quantity]]</f>
        <v>2635.8</v>
      </c>
      <c r="T758" t="str">
        <f>IF(Table1[[#This Row],[Age]]&lt;25,"&lt;25",IF(Table1[[#This Row],[Age]]&lt;=35,"25-35",IF(Table1[[#This Row],[Age]]&lt;=50,"36-50","50+")))</f>
        <v>36-50</v>
      </c>
    </row>
    <row r="759" spans="1:20" x14ac:dyDescent="0.3">
      <c r="A759" s="2" t="s">
        <v>1225</v>
      </c>
      <c r="B759" s="2" t="s">
        <v>16</v>
      </c>
      <c r="C759" s="3">
        <v>42</v>
      </c>
      <c r="D759" s="2" t="s">
        <v>60</v>
      </c>
      <c r="E759" s="2" t="s">
        <v>33</v>
      </c>
      <c r="F759" s="2" t="s">
        <v>27</v>
      </c>
      <c r="G759" t="s">
        <v>61</v>
      </c>
      <c r="H759" t="s">
        <v>827</v>
      </c>
      <c r="I759" s="4">
        <v>678.48</v>
      </c>
      <c r="J759" s="3">
        <v>2</v>
      </c>
      <c r="K759" s="1">
        <v>45352</v>
      </c>
      <c r="L759" s="1" t="str">
        <f>TEXT(Table1[[#This Row],[Purchase_Date]],"YYYY")</f>
        <v>2024</v>
      </c>
      <c r="M759" s="1" t="str">
        <f>TEXT(Table1[[#This Row],[Purchase_Date]],"MMM")</f>
        <v>Mar</v>
      </c>
      <c r="N759" s="1" t="str">
        <f>TEXT(Table1[[#This Row],[Purchase_Date]],"DD")</f>
        <v>01</v>
      </c>
      <c r="O759" s="2" t="s">
        <v>36</v>
      </c>
      <c r="P759" s="3">
        <v>10</v>
      </c>
      <c r="Q759" s="2" t="s">
        <v>46</v>
      </c>
      <c r="R759" s="2" t="s">
        <v>47</v>
      </c>
      <c r="S759">
        <f>Table1[[#This Row],[Purchase_Amount]]*Table1[[#This Row],[Quantity]]</f>
        <v>1356.96</v>
      </c>
      <c r="T759" t="str">
        <f>IF(Table1[[#This Row],[Age]]&lt;25,"&lt;25",IF(Table1[[#This Row],[Age]]&lt;=35,"25-35",IF(Table1[[#This Row],[Age]]&lt;=50,"36-50","50+")))</f>
        <v>36-50</v>
      </c>
    </row>
    <row r="760" spans="1:20" x14ac:dyDescent="0.3">
      <c r="A760" s="2" t="s">
        <v>747</v>
      </c>
      <c r="B760" s="2" t="s">
        <v>16</v>
      </c>
      <c r="C760" s="3">
        <v>42</v>
      </c>
      <c r="D760" s="2" t="s">
        <v>32</v>
      </c>
      <c r="E760" s="2" t="s">
        <v>18</v>
      </c>
      <c r="F760" s="2" t="s">
        <v>27</v>
      </c>
      <c r="G760" t="s">
        <v>61</v>
      </c>
      <c r="H760" t="s">
        <v>91</v>
      </c>
      <c r="I760" s="4">
        <v>703.8</v>
      </c>
      <c r="J760" s="3">
        <v>2</v>
      </c>
      <c r="K760" s="1">
        <v>44976</v>
      </c>
      <c r="L760" s="1" t="str">
        <f>TEXT(Table1[[#This Row],[Purchase_Date]],"YYYY")</f>
        <v>2023</v>
      </c>
      <c r="M760" s="1" t="str">
        <f>TEXT(Table1[[#This Row],[Purchase_Date]],"MMM")</f>
        <v>Feb</v>
      </c>
      <c r="N760" s="1" t="str">
        <f>TEXT(Table1[[#This Row],[Purchase_Date]],"DD")</f>
        <v>19</v>
      </c>
      <c r="O760" s="2" t="s">
        <v>36</v>
      </c>
      <c r="P760" s="3">
        <v>1</v>
      </c>
      <c r="Q760" s="2" t="s">
        <v>23</v>
      </c>
      <c r="R760" s="2" t="s">
        <v>47</v>
      </c>
      <c r="S760">
        <f>Table1[[#This Row],[Purchase_Amount]]*Table1[[#This Row],[Quantity]]</f>
        <v>1407.6</v>
      </c>
      <c r="T760" t="str">
        <f>IF(Table1[[#This Row],[Age]]&lt;25,"&lt;25",IF(Table1[[#This Row],[Age]]&lt;=35,"25-35",IF(Table1[[#This Row],[Age]]&lt;=50,"36-50","50+")))</f>
        <v>36-50</v>
      </c>
    </row>
    <row r="761" spans="1:20" x14ac:dyDescent="0.3">
      <c r="A761" s="2" t="s">
        <v>849</v>
      </c>
      <c r="B761" s="2" t="s">
        <v>16</v>
      </c>
      <c r="C761" s="3">
        <v>42</v>
      </c>
      <c r="D761" s="2" t="s">
        <v>78</v>
      </c>
      <c r="E761" s="2" t="s">
        <v>18</v>
      </c>
      <c r="F761" s="2" t="s">
        <v>27</v>
      </c>
      <c r="G761" t="s">
        <v>61</v>
      </c>
      <c r="H761" t="s">
        <v>155</v>
      </c>
      <c r="I761" s="4">
        <v>712.57</v>
      </c>
      <c r="J761" s="3">
        <v>5</v>
      </c>
      <c r="K761" s="1">
        <v>45419</v>
      </c>
      <c r="L761" s="1" t="str">
        <f>TEXT(Table1[[#This Row],[Purchase_Date]],"YYYY")</f>
        <v>2024</v>
      </c>
      <c r="M761" s="1" t="str">
        <f>TEXT(Table1[[#This Row],[Purchase_Date]],"MMM")</f>
        <v>May</v>
      </c>
      <c r="N761" s="1" t="str">
        <f>TEXT(Table1[[#This Row],[Purchase_Date]],"DD")</f>
        <v>07</v>
      </c>
      <c r="O761" s="2" t="s">
        <v>41</v>
      </c>
      <c r="P761" s="3">
        <v>1</v>
      </c>
      <c r="Q761" s="2" t="s">
        <v>46</v>
      </c>
      <c r="R761" s="2" t="s">
        <v>24</v>
      </c>
      <c r="S761">
        <f>Table1[[#This Row],[Purchase_Amount]]*Table1[[#This Row],[Quantity]]</f>
        <v>3562.8500000000004</v>
      </c>
      <c r="T761" t="str">
        <f>IF(Table1[[#This Row],[Age]]&lt;25,"&lt;25",IF(Table1[[#This Row],[Age]]&lt;=35,"25-35",IF(Table1[[#This Row],[Age]]&lt;=50,"36-50","50+")))</f>
        <v>36-50</v>
      </c>
    </row>
    <row r="762" spans="1:20" x14ac:dyDescent="0.3">
      <c r="A762" s="2" t="s">
        <v>704</v>
      </c>
      <c r="B762" s="2" t="s">
        <v>16</v>
      </c>
      <c r="C762" s="3">
        <v>43</v>
      </c>
      <c r="D762" s="2" t="s">
        <v>64</v>
      </c>
      <c r="E762" s="2" t="s">
        <v>33</v>
      </c>
      <c r="F762" s="2" t="s">
        <v>44</v>
      </c>
      <c r="G762" t="s">
        <v>61</v>
      </c>
      <c r="H762" t="s">
        <v>298</v>
      </c>
      <c r="I762" s="4">
        <v>209.78</v>
      </c>
      <c r="J762" s="3">
        <v>5</v>
      </c>
      <c r="K762" s="1">
        <v>45442</v>
      </c>
      <c r="L762" s="1" t="str">
        <f>TEXT(Table1[[#This Row],[Purchase_Date]],"YYYY")</f>
        <v>2024</v>
      </c>
      <c r="M762" s="1" t="str">
        <f>TEXT(Table1[[#This Row],[Purchase_Date]],"MMM")</f>
        <v>May</v>
      </c>
      <c r="N762" s="1" t="str">
        <f>TEXT(Table1[[#This Row],[Purchase_Date]],"DD")</f>
        <v>30</v>
      </c>
      <c r="O762" s="2" t="s">
        <v>36</v>
      </c>
      <c r="P762" s="3">
        <v>6</v>
      </c>
      <c r="Q762" s="2" t="s">
        <v>23</v>
      </c>
      <c r="R762" s="2" t="s">
        <v>24</v>
      </c>
      <c r="S762">
        <f>Table1[[#This Row],[Purchase_Amount]]*Table1[[#This Row],[Quantity]]</f>
        <v>1048.9000000000001</v>
      </c>
      <c r="T762" t="str">
        <f>IF(Table1[[#This Row],[Age]]&lt;25,"&lt;25",IF(Table1[[#This Row],[Age]]&lt;=35,"25-35",IF(Table1[[#This Row],[Age]]&lt;=50,"36-50","50+")))</f>
        <v>36-50</v>
      </c>
    </row>
    <row r="763" spans="1:20" x14ac:dyDescent="0.3">
      <c r="A763" s="2" t="s">
        <v>997</v>
      </c>
      <c r="B763" s="2" t="s">
        <v>16</v>
      </c>
      <c r="C763" s="3">
        <v>45</v>
      </c>
      <c r="D763" s="2" t="s">
        <v>38</v>
      </c>
      <c r="E763" s="2" t="s">
        <v>33</v>
      </c>
      <c r="F763" s="2" t="s">
        <v>44</v>
      </c>
      <c r="G763" t="s">
        <v>61</v>
      </c>
      <c r="H763" t="s">
        <v>158</v>
      </c>
      <c r="I763" s="4">
        <v>249.19</v>
      </c>
      <c r="J763" s="3">
        <v>2</v>
      </c>
      <c r="K763" s="1">
        <v>45200</v>
      </c>
      <c r="L763" s="1" t="str">
        <f>TEXT(Table1[[#This Row],[Purchase_Date]],"YYYY")</f>
        <v>2023</v>
      </c>
      <c r="M763" s="1" t="str">
        <f>TEXT(Table1[[#This Row],[Purchase_Date]],"MMM")</f>
        <v>Oct</v>
      </c>
      <c r="N763" s="1" t="str">
        <f>TEXT(Table1[[#This Row],[Purchase_Date]],"DD")</f>
        <v>01</v>
      </c>
      <c r="O763" s="2" t="s">
        <v>30</v>
      </c>
      <c r="P763" s="3">
        <v>6</v>
      </c>
      <c r="Q763" s="2" t="s">
        <v>23</v>
      </c>
      <c r="R763" s="2" t="s">
        <v>24</v>
      </c>
      <c r="S763">
        <f>Table1[[#This Row],[Purchase_Amount]]*Table1[[#This Row],[Quantity]]</f>
        <v>498.38</v>
      </c>
      <c r="T763" t="str">
        <f>IF(Table1[[#This Row],[Age]]&lt;25,"&lt;25",IF(Table1[[#This Row],[Age]]&lt;=35,"25-35",IF(Table1[[#This Row],[Age]]&lt;=50,"36-50","50+")))</f>
        <v>36-50</v>
      </c>
    </row>
    <row r="764" spans="1:20" x14ac:dyDescent="0.3">
      <c r="A764" s="2" t="s">
        <v>1112</v>
      </c>
      <c r="B764" s="2" t="s">
        <v>16</v>
      </c>
      <c r="C764" s="3">
        <v>46</v>
      </c>
      <c r="D764" s="2" t="s">
        <v>60</v>
      </c>
      <c r="E764" s="2" t="s">
        <v>18</v>
      </c>
      <c r="F764" s="2" t="s">
        <v>44</v>
      </c>
      <c r="G764" t="s">
        <v>61</v>
      </c>
      <c r="H764" t="s">
        <v>371</v>
      </c>
      <c r="I764" s="4">
        <v>472.59</v>
      </c>
      <c r="J764" s="3">
        <v>2</v>
      </c>
      <c r="K764" s="1">
        <v>45180</v>
      </c>
      <c r="L764" s="1" t="str">
        <f>TEXT(Table1[[#This Row],[Purchase_Date]],"YYYY")</f>
        <v>2023</v>
      </c>
      <c r="M764" s="1" t="str">
        <f>TEXT(Table1[[#This Row],[Purchase_Date]],"MMM")</f>
        <v>Sep</v>
      </c>
      <c r="N764" s="1" t="str">
        <f>TEXT(Table1[[#This Row],[Purchase_Date]],"DD")</f>
        <v>11</v>
      </c>
      <c r="O764" s="2" t="s">
        <v>30</v>
      </c>
      <c r="P764" s="3">
        <v>5</v>
      </c>
      <c r="Q764" s="2" t="s">
        <v>23</v>
      </c>
      <c r="R764" s="2" t="s">
        <v>24</v>
      </c>
      <c r="S764">
        <f>Table1[[#This Row],[Purchase_Amount]]*Table1[[#This Row],[Quantity]]</f>
        <v>945.18</v>
      </c>
      <c r="T764" t="str">
        <f>IF(Table1[[#This Row],[Age]]&lt;25,"&lt;25",IF(Table1[[#This Row],[Age]]&lt;=35,"25-35",IF(Table1[[#This Row],[Age]]&lt;=50,"36-50","50+")))</f>
        <v>36-50</v>
      </c>
    </row>
    <row r="765" spans="1:20" x14ac:dyDescent="0.3">
      <c r="A765" s="2" t="s">
        <v>1179</v>
      </c>
      <c r="B765" s="2" t="s">
        <v>16</v>
      </c>
      <c r="C765" s="3">
        <v>46</v>
      </c>
      <c r="D765" s="2" t="s">
        <v>32</v>
      </c>
      <c r="E765" s="2" t="s">
        <v>18</v>
      </c>
      <c r="F765" s="2" t="s">
        <v>19</v>
      </c>
      <c r="G765" t="s">
        <v>61</v>
      </c>
      <c r="H765" t="s">
        <v>450</v>
      </c>
      <c r="I765" s="4">
        <v>601.71</v>
      </c>
      <c r="J765" s="3">
        <v>4</v>
      </c>
      <c r="K765" s="1">
        <v>45559</v>
      </c>
      <c r="L765" s="1" t="str">
        <f>TEXT(Table1[[#This Row],[Purchase_Date]],"YYYY")</f>
        <v>2024</v>
      </c>
      <c r="M765" s="1" t="str">
        <f>TEXT(Table1[[#This Row],[Purchase_Date]],"MMM")</f>
        <v>Sep</v>
      </c>
      <c r="N765" s="1" t="str">
        <f>TEXT(Table1[[#This Row],[Purchase_Date]],"DD")</f>
        <v>24</v>
      </c>
      <c r="O765" s="2" t="s">
        <v>30</v>
      </c>
      <c r="P765" s="3">
        <v>7</v>
      </c>
      <c r="Q765" s="2" t="s">
        <v>23</v>
      </c>
      <c r="R765" s="2" t="s">
        <v>24</v>
      </c>
      <c r="S765">
        <f>Table1[[#This Row],[Purchase_Amount]]*Table1[[#This Row],[Quantity]]</f>
        <v>2406.84</v>
      </c>
      <c r="T765" t="str">
        <f>IF(Table1[[#This Row],[Age]]&lt;25,"&lt;25",IF(Table1[[#This Row],[Age]]&lt;=35,"25-35",IF(Table1[[#This Row],[Age]]&lt;=50,"36-50","50+")))</f>
        <v>36-50</v>
      </c>
    </row>
    <row r="766" spans="1:20" x14ac:dyDescent="0.3">
      <c r="A766" s="2" t="s">
        <v>470</v>
      </c>
      <c r="B766" s="2" t="s">
        <v>16</v>
      </c>
      <c r="C766" s="3">
        <v>46</v>
      </c>
      <c r="D766" s="2" t="s">
        <v>43</v>
      </c>
      <c r="E766" s="2" t="s">
        <v>49</v>
      </c>
      <c r="F766" s="2" t="s">
        <v>27</v>
      </c>
      <c r="G766" t="s">
        <v>61</v>
      </c>
      <c r="H766" t="s">
        <v>223</v>
      </c>
      <c r="I766" s="4">
        <v>807.05</v>
      </c>
      <c r="J766" s="3">
        <v>4</v>
      </c>
      <c r="K766" s="1">
        <v>45053</v>
      </c>
      <c r="L766" s="1" t="str">
        <f>TEXT(Table1[[#This Row],[Purchase_Date]],"YYYY")</f>
        <v>2023</v>
      </c>
      <c r="M766" s="1" t="str">
        <f>TEXT(Table1[[#This Row],[Purchase_Date]],"MMM")</f>
        <v>May</v>
      </c>
      <c r="N766" s="1" t="str">
        <f>TEXT(Table1[[#This Row],[Purchase_Date]],"DD")</f>
        <v>07</v>
      </c>
      <c r="O766" s="2" t="s">
        <v>22</v>
      </c>
      <c r="P766" s="3">
        <v>1</v>
      </c>
      <c r="Q766" s="2" t="s">
        <v>23</v>
      </c>
      <c r="R766" s="2" t="s">
        <v>24</v>
      </c>
      <c r="S766">
        <f>Table1[[#This Row],[Purchase_Amount]]*Table1[[#This Row],[Quantity]]</f>
        <v>3228.2</v>
      </c>
      <c r="T766" t="str">
        <f>IF(Table1[[#This Row],[Age]]&lt;25,"&lt;25",IF(Table1[[#This Row],[Age]]&lt;=35,"25-35",IF(Table1[[#This Row],[Age]]&lt;=50,"36-50","50+")))</f>
        <v>36-50</v>
      </c>
    </row>
    <row r="767" spans="1:20" x14ac:dyDescent="0.3">
      <c r="A767" s="2" t="s">
        <v>510</v>
      </c>
      <c r="B767" s="2" t="s">
        <v>16</v>
      </c>
      <c r="C767" s="3">
        <v>47</v>
      </c>
      <c r="D767" s="2" t="s">
        <v>38</v>
      </c>
      <c r="E767" s="2" t="s">
        <v>18</v>
      </c>
      <c r="F767" s="2" t="s">
        <v>27</v>
      </c>
      <c r="G767" t="s">
        <v>61</v>
      </c>
      <c r="H767" t="s">
        <v>511</v>
      </c>
      <c r="I767" s="4">
        <v>977.51</v>
      </c>
      <c r="J767" s="3">
        <v>5</v>
      </c>
      <c r="K767" s="1">
        <v>45093</v>
      </c>
      <c r="L767" s="1" t="str">
        <f>TEXT(Table1[[#This Row],[Purchase_Date]],"YYYY")</f>
        <v>2023</v>
      </c>
      <c r="M767" s="1" t="str">
        <f>TEXT(Table1[[#This Row],[Purchase_Date]],"MMM")</f>
        <v>Jun</v>
      </c>
      <c r="N767" s="1" t="str">
        <f>TEXT(Table1[[#This Row],[Purchase_Date]],"DD")</f>
        <v>16</v>
      </c>
      <c r="O767" s="2" t="s">
        <v>22</v>
      </c>
      <c r="P767" s="3">
        <v>6</v>
      </c>
      <c r="Q767" s="2" t="s">
        <v>46</v>
      </c>
      <c r="R767" s="2" t="s">
        <v>47</v>
      </c>
      <c r="S767">
        <f>Table1[[#This Row],[Purchase_Amount]]*Table1[[#This Row],[Quantity]]</f>
        <v>4887.55</v>
      </c>
      <c r="T767" t="str">
        <f>IF(Table1[[#This Row],[Age]]&lt;25,"&lt;25",IF(Table1[[#This Row],[Age]]&lt;=35,"25-35",IF(Table1[[#This Row],[Age]]&lt;=50,"36-50","50+")))</f>
        <v>36-50</v>
      </c>
    </row>
    <row r="768" spans="1:20" x14ac:dyDescent="0.3">
      <c r="A768" s="2" t="s">
        <v>113</v>
      </c>
      <c r="B768" s="2" t="s">
        <v>16</v>
      </c>
      <c r="C768" s="3">
        <v>50</v>
      </c>
      <c r="D768" s="2" t="s">
        <v>109</v>
      </c>
      <c r="E768" s="2" t="s">
        <v>18</v>
      </c>
      <c r="F768" s="2" t="s">
        <v>27</v>
      </c>
      <c r="G768" t="s">
        <v>61</v>
      </c>
      <c r="H768" t="s">
        <v>114</v>
      </c>
      <c r="I768" s="4">
        <v>787.21</v>
      </c>
      <c r="J768" s="3">
        <v>2</v>
      </c>
      <c r="K768" s="1">
        <v>45414</v>
      </c>
      <c r="L768" s="1" t="str">
        <f>TEXT(Table1[[#This Row],[Purchase_Date]],"YYYY")</f>
        <v>2024</v>
      </c>
      <c r="M768" s="1" t="str">
        <f>TEXT(Table1[[#This Row],[Purchase_Date]],"MMM")</f>
        <v>May</v>
      </c>
      <c r="N768" s="1" t="str">
        <f>TEXT(Table1[[#This Row],[Purchase_Date]],"DD")</f>
        <v>02</v>
      </c>
      <c r="O768" s="2" t="s">
        <v>41</v>
      </c>
      <c r="P768" s="3">
        <v>4</v>
      </c>
      <c r="Q768" s="2" t="s">
        <v>46</v>
      </c>
      <c r="R768" s="2" t="s">
        <v>47</v>
      </c>
      <c r="S768">
        <f>Table1[[#This Row],[Purchase_Amount]]*Table1[[#This Row],[Quantity]]</f>
        <v>1574.42</v>
      </c>
      <c r="T768" t="str">
        <f>IF(Table1[[#This Row],[Age]]&lt;25,"&lt;25",IF(Table1[[#This Row],[Age]]&lt;=35,"25-35",IF(Table1[[#This Row],[Age]]&lt;=50,"36-50","50+")))</f>
        <v>36-50</v>
      </c>
    </row>
    <row r="769" spans="1:20" x14ac:dyDescent="0.3">
      <c r="A769" s="2" t="s">
        <v>656</v>
      </c>
      <c r="B769" s="2" t="s">
        <v>16</v>
      </c>
      <c r="C769" s="3">
        <v>51</v>
      </c>
      <c r="D769" s="2" t="s">
        <v>32</v>
      </c>
      <c r="E769" s="2" t="s">
        <v>18</v>
      </c>
      <c r="F769" s="2" t="s">
        <v>44</v>
      </c>
      <c r="G769" t="s">
        <v>61</v>
      </c>
      <c r="H769" t="s">
        <v>324</v>
      </c>
      <c r="I769" s="4">
        <v>768.93</v>
      </c>
      <c r="J769" s="3">
        <v>3</v>
      </c>
      <c r="K769" s="1">
        <v>45271</v>
      </c>
      <c r="L769" s="1" t="str">
        <f>TEXT(Table1[[#This Row],[Purchase_Date]],"YYYY")</f>
        <v>2023</v>
      </c>
      <c r="M769" s="1" t="str">
        <f>TEXT(Table1[[#This Row],[Purchase_Date]],"MMM")</f>
        <v>Dec</v>
      </c>
      <c r="N769" s="1" t="str">
        <f>TEXT(Table1[[#This Row],[Purchase_Date]],"DD")</f>
        <v>11</v>
      </c>
      <c r="O769" s="2" t="s">
        <v>22</v>
      </c>
      <c r="P769" s="3">
        <v>8</v>
      </c>
      <c r="Q769" s="2" t="s">
        <v>23</v>
      </c>
      <c r="R769" s="2" t="s">
        <v>24</v>
      </c>
      <c r="S769">
        <f>Table1[[#This Row],[Purchase_Amount]]*Table1[[#This Row],[Quantity]]</f>
        <v>2306.79</v>
      </c>
      <c r="T769" t="str">
        <f>IF(Table1[[#This Row],[Age]]&lt;25,"&lt;25",IF(Table1[[#This Row],[Age]]&lt;=35,"25-35",IF(Table1[[#This Row],[Age]]&lt;=50,"36-50","50+")))</f>
        <v>50+</v>
      </c>
    </row>
    <row r="770" spans="1:20" x14ac:dyDescent="0.3">
      <c r="A770" s="2" t="s">
        <v>1165</v>
      </c>
      <c r="B770" s="2" t="s">
        <v>16</v>
      </c>
      <c r="C770" s="3">
        <v>52</v>
      </c>
      <c r="D770" s="2" t="s">
        <v>64</v>
      </c>
      <c r="E770" s="2" t="s">
        <v>33</v>
      </c>
      <c r="F770" s="2" t="s">
        <v>27</v>
      </c>
      <c r="G770" t="s">
        <v>61</v>
      </c>
      <c r="H770" t="s">
        <v>755</v>
      </c>
      <c r="I770" s="4">
        <v>530.07000000000005</v>
      </c>
      <c r="J770" s="3">
        <v>2</v>
      </c>
      <c r="K770" s="1">
        <v>45116</v>
      </c>
      <c r="L770" s="1" t="str">
        <f>TEXT(Table1[[#This Row],[Purchase_Date]],"YYYY")</f>
        <v>2023</v>
      </c>
      <c r="M770" s="1" t="str">
        <f>TEXT(Table1[[#This Row],[Purchase_Date]],"MMM")</f>
        <v>Jul</v>
      </c>
      <c r="N770" s="1" t="str">
        <f>TEXT(Table1[[#This Row],[Purchase_Date]],"DD")</f>
        <v>09</v>
      </c>
      <c r="O770" s="2" t="s">
        <v>41</v>
      </c>
      <c r="P770" s="3">
        <v>1</v>
      </c>
      <c r="Q770" s="2" t="s">
        <v>23</v>
      </c>
      <c r="R770" s="2" t="s">
        <v>47</v>
      </c>
      <c r="S770">
        <f>Table1[[#This Row],[Purchase_Amount]]*Table1[[#This Row],[Quantity]]</f>
        <v>1060.1400000000001</v>
      </c>
      <c r="T770" t="str">
        <f>IF(Table1[[#This Row],[Age]]&lt;25,"&lt;25",IF(Table1[[#This Row],[Age]]&lt;=35,"25-35",IF(Table1[[#This Row],[Age]]&lt;=50,"36-50","50+")))</f>
        <v>50+</v>
      </c>
    </row>
    <row r="771" spans="1:20" x14ac:dyDescent="0.3">
      <c r="A771" s="2" t="s">
        <v>994</v>
      </c>
      <c r="B771" s="2" t="s">
        <v>16</v>
      </c>
      <c r="C771" s="3">
        <v>54</v>
      </c>
      <c r="D771" s="2" t="s">
        <v>64</v>
      </c>
      <c r="E771" s="2" t="s">
        <v>33</v>
      </c>
      <c r="F771" s="2" t="s">
        <v>27</v>
      </c>
      <c r="G771" t="s">
        <v>61</v>
      </c>
      <c r="H771" t="s">
        <v>253</v>
      </c>
      <c r="I771" s="4">
        <v>450.27</v>
      </c>
      <c r="J771" s="3">
        <v>5</v>
      </c>
      <c r="K771" s="1">
        <v>45101</v>
      </c>
      <c r="L771" s="1" t="str">
        <f>TEXT(Table1[[#This Row],[Purchase_Date]],"YYYY")</f>
        <v>2023</v>
      </c>
      <c r="M771" s="1" t="str">
        <f>TEXT(Table1[[#This Row],[Purchase_Date]],"MMM")</f>
        <v>Jun</v>
      </c>
      <c r="N771" s="1" t="str">
        <f>TEXT(Table1[[#This Row],[Purchase_Date]],"DD")</f>
        <v>24</v>
      </c>
      <c r="O771" s="2" t="s">
        <v>22</v>
      </c>
      <c r="P771" s="3">
        <v>8</v>
      </c>
      <c r="Q771" s="2" t="s">
        <v>46</v>
      </c>
      <c r="R771" s="2" t="s">
        <v>24</v>
      </c>
      <c r="S771">
        <f>Table1[[#This Row],[Purchase_Amount]]*Table1[[#This Row],[Quantity]]</f>
        <v>2251.35</v>
      </c>
      <c r="T771" t="str">
        <f>IF(Table1[[#This Row],[Age]]&lt;25,"&lt;25",IF(Table1[[#This Row],[Age]]&lt;=35,"25-35",IF(Table1[[#This Row],[Age]]&lt;=50,"36-50","50+")))</f>
        <v>50+</v>
      </c>
    </row>
    <row r="772" spans="1:20" x14ac:dyDescent="0.3">
      <c r="A772" s="2" t="s">
        <v>173</v>
      </c>
      <c r="B772" s="2" t="s">
        <v>16</v>
      </c>
      <c r="C772" s="3">
        <v>55</v>
      </c>
      <c r="D772" s="2" t="s">
        <v>64</v>
      </c>
      <c r="E772" s="2" t="s">
        <v>18</v>
      </c>
      <c r="F772" s="2" t="s">
        <v>19</v>
      </c>
      <c r="G772" t="s">
        <v>61</v>
      </c>
      <c r="H772" t="s">
        <v>103</v>
      </c>
      <c r="I772" s="4">
        <v>45.23</v>
      </c>
      <c r="J772" s="3">
        <v>4</v>
      </c>
      <c r="K772" s="1">
        <v>45351</v>
      </c>
      <c r="L772" s="1" t="str">
        <f>TEXT(Table1[[#This Row],[Purchase_Date]],"YYYY")</f>
        <v>2024</v>
      </c>
      <c r="M772" s="1" t="str">
        <f>TEXT(Table1[[#This Row],[Purchase_Date]],"MMM")</f>
        <v>Feb</v>
      </c>
      <c r="N772" s="1" t="str">
        <f>TEXT(Table1[[#This Row],[Purchase_Date]],"DD")</f>
        <v>29</v>
      </c>
      <c r="O772" s="2" t="s">
        <v>41</v>
      </c>
      <c r="P772" s="3">
        <v>4</v>
      </c>
      <c r="Q772" s="2" t="s">
        <v>46</v>
      </c>
      <c r="R772" s="2" t="s">
        <v>24</v>
      </c>
      <c r="S772">
        <f>Table1[[#This Row],[Purchase_Amount]]*Table1[[#This Row],[Quantity]]</f>
        <v>180.92</v>
      </c>
      <c r="T772" t="str">
        <f>IF(Table1[[#This Row],[Age]]&lt;25,"&lt;25",IF(Table1[[#This Row],[Age]]&lt;=35,"25-35",IF(Table1[[#This Row],[Age]]&lt;=50,"36-50","50+")))</f>
        <v>50+</v>
      </c>
    </row>
    <row r="773" spans="1:20" x14ac:dyDescent="0.3">
      <c r="A773" s="2" t="s">
        <v>319</v>
      </c>
      <c r="B773" s="2" t="s">
        <v>16</v>
      </c>
      <c r="C773" s="3">
        <v>55</v>
      </c>
      <c r="D773" s="2" t="s">
        <v>17</v>
      </c>
      <c r="E773" s="2" t="s">
        <v>18</v>
      </c>
      <c r="F773" s="2" t="s">
        <v>27</v>
      </c>
      <c r="G773" t="s">
        <v>61</v>
      </c>
      <c r="H773" t="s">
        <v>65</v>
      </c>
      <c r="I773" s="4">
        <v>164.22</v>
      </c>
      <c r="J773" s="3">
        <v>5</v>
      </c>
      <c r="K773" s="1">
        <v>44967</v>
      </c>
      <c r="L773" s="1" t="str">
        <f>TEXT(Table1[[#This Row],[Purchase_Date]],"YYYY")</f>
        <v>2023</v>
      </c>
      <c r="M773" s="1" t="str">
        <f>TEXT(Table1[[#This Row],[Purchase_Date]],"MMM")</f>
        <v>Feb</v>
      </c>
      <c r="N773" s="1" t="str">
        <f>TEXT(Table1[[#This Row],[Purchase_Date]],"DD")</f>
        <v>10</v>
      </c>
      <c r="O773" s="2" t="s">
        <v>22</v>
      </c>
      <c r="P773" s="3">
        <v>8</v>
      </c>
      <c r="Q773" s="2" t="s">
        <v>46</v>
      </c>
      <c r="R773" s="2" t="s">
        <v>24</v>
      </c>
      <c r="S773">
        <f>Table1[[#This Row],[Purchase_Amount]]*Table1[[#This Row],[Quantity]]</f>
        <v>821.1</v>
      </c>
      <c r="T773" t="str">
        <f>IF(Table1[[#This Row],[Age]]&lt;25,"&lt;25",IF(Table1[[#This Row],[Age]]&lt;=35,"25-35",IF(Table1[[#This Row],[Age]]&lt;=50,"36-50","50+")))</f>
        <v>50+</v>
      </c>
    </row>
    <row r="774" spans="1:20" x14ac:dyDescent="0.3">
      <c r="A774" s="2" t="s">
        <v>231</v>
      </c>
      <c r="B774" s="2" t="s">
        <v>16</v>
      </c>
      <c r="C774" s="3">
        <v>59</v>
      </c>
      <c r="D774" s="2" t="s">
        <v>109</v>
      </c>
      <c r="E774" s="2" t="s">
        <v>33</v>
      </c>
      <c r="F774" s="2" t="s">
        <v>44</v>
      </c>
      <c r="G774" t="s">
        <v>61</v>
      </c>
      <c r="H774" t="s">
        <v>232</v>
      </c>
      <c r="I774" s="4">
        <v>314.74</v>
      </c>
      <c r="J774" s="3">
        <v>2</v>
      </c>
      <c r="K774" s="1">
        <v>45164</v>
      </c>
      <c r="L774" s="1" t="str">
        <f>TEXT(Table1[[#This Row],[Purchase_Date]],"YYYY")</f>
        <v>2023</v>
      </c>
      <c r="M774" s="1" t="str">
        <f>TEXT(Table1[[#This Row],[Purchase_Date]],"MMM")</f>
        <v>Aug</v>
      </c>
      <c r="N774" s="1" t="str">
        <f>TEXT(Table1[[#This Row],[Purchase_Date]],"DD")</f>
        <v>26</v>
      </c>
      <c r="O774" s="2" t="s">
        <v>30</v>
      </c>
      <c r="P774" s="3">
        <v>9</v>
      </c>
      <c r="Q774" s="2" t="s">
        <v>23</v>
      </c>
      <c r="R774" s="2" t="s">
        <v>47</v>
      </c>
      <c r="S774">
        <f>Table1[[#This Row],[Purchase_Amount]]*Table1[[#This Row],[Quantity]]</f>
        <v>629.48</v>
      </c>
      <c r="T774" t="str">
        <f>IF(Table1[[#This Row],[Age]]&lt;25,"&lt;25",IF(Table1[[#This Row],[Age]]&lt;=35,"25-35",IF(Table1[[#This Row],[Age]]&lt;=50,"36-50","50+")))</f>
        <v>50+</v>
      </c>
    </row>
    <row r="775" spans="1:20" x14ac:dyDescent="0.3">
      <c r="A775" s="2" t="s">
        <v>471</v>
      </c>
      <c r="B775" s="2" t="s">
        <v>16</v>
      </c>
      <c r="C775" s="3">
        <v>60</v>
      </c>
      <c r="D775" s="2" t="s">
        <v>43</v>
      </c>
      <c r="E775" s="2" t="s">
        <v>18</v>
      </c>
      <c r="F775" s="2" t="s">
        <v>19</v>
      </c>
      <c r="G775" t="s">
        <v>61</v>
      </c>
      <c r="H775" t="s">
        <v>467</v>
      </c>
      <c r="I775" s="4">
        <v>846.59</v>
      </c>
      <c r="J775" s="3">
        <v>1</v>
      </c>
      <c r="K775" s="1">
        <v>45036</v>
      </c>
      <c r="L775" s="1" t="str">
        <f>TEXT(Table1[[#This Row],[Purchase_Date]],"YYYY")</f>
        <v>2023</v>
      </c>
      <c r="M775" s="1" t="str">
        <f>TEXT(Table1[[#This Row],[Purchase_Date]],"MMM")</f>
        <v>Apr</v>
      </c>
      <c r="N775" s="1" t="str">
        <f>TEXT(Table1[[#This Row],[Purchase_Date]],"DD")</f>
        <v>20</v>
      </c>
      <c r="O775" s="2" t="s">
        <v>30</v>
      </c>
      <c r="P775" s="3">
        <v>7</v>
      </c>
      <c r="Q775" s="2" t="s">
        <v>23</v>
      </c>
      <c r="R775" s="2" t="s">
        <v>24</v>
      </c>
      <c r="S775">
        <f>Table1[[#This Row],[Purchase_Amount]]*Table1[[#This Row],[Quantity]]</f>
        <v>846.59</v>
      </c>
      <c r="T775" t="str">
        <f>IF(Table1[[#This Row],[Age]]&lt;25,"&lt;25",IF(Table1[[#This Row],[Age]]&lt;=35,"25-35",IF(Table1[[#This Row],[Age]]&lt;=50,"36-50","50+")))</f>
        <v>50+</v>
      </c>
    </row>
    <row r="776" spans="1:20" x14ac:dyDescent="0.3">
      <c r="A776" s="2" t="s">
        <v>357</v>
      </c>
      <c r="B776" s="2" t="s">
        <v>16</v>
      </c>
      <c r="C776" s="3">
        <v>60</v>
      </c>
      <c r="D776" s="2" t="s">
        <v>60</v>
      </c>
      <c r="E776" s="2" t="s">
        <v>49</v>
      </c>
      <c r="F776" s="2" t="s">
        <v>27</v>
      </c>
      <c r="G776" t="s">
        <v>61</v>
      </c>
      <c r="H776" t="s">
        <v>358</v>
      </c>
      <c r="I776" s="4">
        <v>918.47</v>
      </c>
      <c r="J776" s="3">
        <v>2</v>
      </c>
      <c r="K776" s="1">
        <v>45085</v>
      </c>
      <c r="L776" s="1" t="str">
        <f>TEXT(Table1[[#This Row],[Purchase_Date]],"YYYY")</f>
        <v>2023</v>
      </c>
      <c r="M776" s="1" t="str">
        <f>TEXT(Table1[[#This Row],[Purchase_Date]],"MMM")</f>
        <v>Jun</v>
      </c>
      <c r="N776" s="1" t="str">
        <f>TEXT(Table1[[#This Row],[Purchase_Date]],"DD")</f>
        <v>08</v>
      </c>
      <c r="O776" s="2" t="s">
        <v>36</v>
      </c>
      <c r="P776" s="3">
        <v>8</v>
      </c>
      <c r="Q776" s="2" t="s">
        <v>46</v>
      </c>
      <c r="R776" s="2" t="s">
        <v>24</v>
      </c>
      <c r="S776">
        <f>Table1[[#This Row],[Purchase_Amount]]*Table1[[#This Row],[Quantity]]</f>
        <v>1836.94</v>
      </c>
      <c r="T776" t="str">
        <f>IF(Table1[[#This Row],[Age]]&lt;25,"&lt;25",IF(Table1[[#This Row],[Age]]&lt;=35,"25-35",IF(Table1[[#This Row],[Age]]&lt;=50,"36-50","50+")))</f>
        <v>50+</v>
      </c>
    </row>
    <row r="777" spans="1:20" x14ac:dyDescent="0.3">
      <c r="A777" s="2" t="s">
        <v>623</v>
      </c>
      <c r="B777" s="2" t="s">
        <v>16</v>
      </c>
      <c r="C777" s="3">
        <v>61</v>
      </c>
      <c r="D777" s="2" t="s">
        <v>38</v>
      </c>
      <c r="E777" s="2" t="s">
        <v>18</v>
      </c>
      <c r="F777" s="2" t="s">
        <v>27</v>
      </c>
      <c r="G777" t="s">
        <v>61</v>
      </c>
      <c r="H777" t="s">
        <v>103</v>
      </c>
      <c r="I777" s="4">
        <v>244.24</v>
      </c>
      <c r="J777" s="3">
        <v>2</v>
      </c>
      <c r="K777" s="1">
        <v>45583</v>
      </c>
      <c r="L777" s="1" t="str">
        <f>TEXT(Table1[[#This Row],[Purchase_Date]],"YYYY")</f>
        <v>2024</v>
      </c>
      <c r="M777" s="1" t="str">
        <f>TEXT(Table1[[#This Row],[Purchase_Date]],"MMM")</f>
        <v>Oct</v>
      </c>
      <c r="N777" s="1" t="str">
        <f>TEXT(Table1[[#This Row],[Purchase_Date]],"DD")</f>
        <v>18</v>
      </c>
      <c r="O777" s="2" t="s">
        <v>36</v>
      </c>
      <c r="P777" s="3">
        <v>10</v>
      </c>
      <c r="Q777" s="2" t="s">
        <v>23</v>
      </c>
      <c r="R777" s="2" t="s">
        <v>24</v>
      </c>
      <c r="S777">
        <f>Table1[[#This Row],[Purchase_Amount]]*Table1[[#This Row],[Quantity]]</f>
        <v>488.48</v>
      </c>
      <c r="T777" t="str">
        <f>IF(Table1[[#This Row],[Age]]&lt;25,"&lt;25",IF(Table1[[#This Row],[Age]]&lt;=35,"25-35",IF(Table1[[#This Row],[Age]]&lt;=50,"36-50","50+")))</f>
        <v>50+</v>
      </c>
    </row>
    <row r="778" spans="1:20" x14ac:dyDescent="0.3">
      <c r="A778" s="2" t="s">
        <v>834</v>
      </c>
      <c r="B778" s="2" t="s">
        <v>16</v>
      </c>
      <c r="C778" s="3">
        <v>62</v>
      </c>
      <c r="D778" s="2" t="s">
        <v>60</v>
      </c>
      <c r="E778" s="2" t="s">
        <v>33</v>
      </c>
      <c r="F778" s="2" t="s">
        <v>19</v>
      </c>
      <c r="G778" t="s">
        <v>61</v>
      </c>
      <c r="H778" t="s">
        <v>189</v>
      </c>
      <c r="I778" s="4">
        <v>200.75</v>
      </c>
      <c r="J778" s="3">
        <v>3</v>
      </c>
      <c r="K778" s="1">
        <v>45501</v>
      </c>
      <c r="L778" s="1" t="str">
        <f>TEXT(Table1[[#This Row],[Purchase_Date]],"YYYY")</f>
        <v>2024</v>
      </c>
      <c r="M778" s="1" t="str">
        <f>TEXT(Table1[[#This Row],[Purchase_Date]],"MMM")</f>
        <v>Jul</v>
      </c>
      <c r="N778" s="1" t="str">
        <f>TEXT(Table1[[#This Row],[Purchase_Date]],"DD")</f>
        <v>28</v>
      </c>
      <c r="O778" s="2" t="s">
        <v>41</v>
      </c>
      <c r="P778" s="3">
        <v>10</v>
      </c>
      <c r="Q778" s="2" t="s">
        <v>23</v>
      </c>
      <c r="R778" s="2" t="s">
        <v>24</v>
      </c>
      <c r="S778">
        <f>Table1[[#This Row],[Purchase_Amount]]*Table1[[#This Row],[Quantity]]</f>
        <v>602.25</v>
      </c>
      <c r="T778" t="str">
        <f>IF(Table1[[#This Row],[Age]]&lt;25,"&lt;25",IF(Table1[[#This Row],[Age]]&lt;=35,"25-35",IF(Table1[[#This Row],[Age]]&lt;=50,"36-50","50+")))</f>
        <v>50+</v>
      </c>
    </row>
    <row r="779" spans="1:20" x14ac:dyDescent="0.3">
      <c r="A779" s="2" t="s">
        <v>577</v>
      </c>
      <c r="B779" s="2" t="s">
        <v>16</v>
      </c>
      <c r="C779" s="3">
        <v>63</v>
      </c>
      <c r="D779" s="2" t="s">
        <v>17</v>
      </c>
      <c r="E779" s="2" t="s">
        <v>49</v>
      </c>
      <c r="F779" s="2" t="s">
        <v>19</v>
      </c>
      <c r="G779" t="s">
        <v>61</v>
      </c>
      <c r="H779" t="s">
        <v>497</v>
      </c>
      <c r="I779" s="4">
        <v>621.02</v>
      </c>
      <c r="J779" s="3">
        <v>2</v>
      </c>
      <c r="K779" s="1">
        <v>44986</v>
      </c>
      <c r="L779" s="1" t="str">
        <f>TEXT(Table1[[#This Row],[Purchase_Date]],"YYYY")</f>
        <v>2023</v>
      </c>
      <c r="M779" s="1" t="str">
        <f>TEXT(Table1[[#This Row],[Purchase_Date]],"MMM")</f>
        <v>Mar</v>
      </c>
      <c r="N779" s="1" t="str">
        <f>TEXT(Table1[[#This Row],[Purchase_Date]],"DD")</f>
        <v>01</v>
      </c>
      <c r="O779" s="2" t="s">
        <v>22</v>
      </c>
      <c r="P779" s="3">
        <v>6</v>
      </c>
      <c r="Q779" s="2" t="s">
        <v>23</v>
      </c>
      <c r="R779" s="2" t="s">
        <v>24</v>
      </c>
      <c r="S779">
        <f>Table1[[#This Row],[Purchase_Amount]]*Table1[[#This Row],[Quantity]]</f>
        <v>1242.04</v>
      </c>
      <c r="T779" t="str">
        <f>IF(Table1[[#This Row],[Age]]&lt;25,"&lt;25",IF(Table1[[#This Row],[Age]]&lt;=35,"25-35",IF(Table1[[#This Row],[Age]]&lt;=50,"36-50","50+")))</f>
        <v>50+</v>
      </c>
    </row>
    <row r="780" spans="1:20" x14ac:dyDescent="0.3">
      <c r="A780" s="2" t="s">
        <v>286</v>
      </c>
      <c r="B780" s="2" t="s">
        <v>16</v>
      </c>
      <c r="C780" s="3">
        <v>64</v>
      </c>
      <c r="D780" s="2" t="s">
        <v>32</v>
      </c>
      <c r="E780" s="2" t="s">
        <v>49</v>
      </c>
      <c r="F780" s="2" t="s">
        <v>44</v>
      </c>
      <c r="G780" t="s">
        <v>61</v>
      </c>
      <c r="H780" t="s">
        <v>287</v>
      </c>
      <c r="I780" s="4">
        <v>23.1</v>
      </c>
      <c r="J780" s="3">
        <v>5</v>
      </c>
      <c r="K780" s="1">
        <v>44978</v>
      </c>
      <c r="L780" s="1" t="str">
        <f>TEXT(Table1[[#This Row],[Purchase_Date]],"YYYY")</f>
        <v>2023</v>
      </c>
      <c r="M780" s="1" t="str">
        <f>TEXT(Table1[[#This Row],[Purchase_Date]],"MMM")</f>
        <v>Feb</v>
      </c>
      <c r="N780" s="1" t="str">
        <f>TEXT(Table1[[#This Row],[Purchase_Date]],"DD")</f>
        <v>21</v>
      </c>
      <c r="O780" s="2" t="s">
        <v>30</v>
      </c>
      <c r="P780" s="3">
        <v>7</v>
      </c>
      <c r="Q780" s="2" t="s">
        <v>46</v>
      </c>
      <c r="R780" s="2" t="s">
        <v>47</v>
      </c>
      <c r="S780">
        <f>Table1[[#This Row],[Purchase_Amount]]*Table1[[#This Row],[Quantity]]</f>
        <v>115.5</v>
      </c>
      <c r="T780" t="str">
        <f>IF(Table1[[#This Row],[Age]]&lt;25,"&lt;25",IF(Table1[[#This Row],[Age]]&lt;=35,"25-35",IF(Table1[[#This Row],[Age]]&lt;=50,"36-50","50+")))</f>
        <v>50+</v>
      </c>
    </row>
    <row r="781" spans="1:20" x14ac:dyDescent="0.3">
      <c r="A781" s="2" t="s">
        <v>560</v>
      </c>
      <c r="B781" s="2" t="s">
        <v>16</v>
      </c>
      <c r="C781" s="3">
        <v>64</v>
      </c>
      <c r="D781" s="2" t="s">
        <v>43</v>
      </c>
      <c r="E781" s="2" t="s">
        <v>49</v>
      </c>
      <c r="F781" s="2" t="s">
        <v>27</v>
      </c>
      <c r="G781" t="s">
        <v>61</v>
      </c>
      <c r="H781" t="s">
        <v>561</v>
      </c>
      <c r="I781" s="4">
        <v>953.59</v>
      </c>
      <c r="J781" s="3">
        <v>5</v>
      </c>
      <c r="K781" s="1">
        <v>45387</v>
      </c>
      <c r="L781" s="1" t="str">
        <f>TEXT(Table1[[#This Row],[Purchase_Date]],"YYYY")</f>
        <v>2024</v>
      </c>
      <c r="M781" s="1" t="str">
        <f>TEXT(Table1[[#This Row],[Purchase_Date]],"MMM")</f>
        <v>Apr</v>
      </c>
      <c r="N781" s="1" t="str">
        <f>TEXT(Table1[[#This Row],[Purchase_Date]],"DD")</f>
        <v>05</v>
      </c>
      <c r="O781" s="2" t="s">
        <v>22</v>
      </c>
      <c r="P781" s="3">
        <v>9</v>
      </c>
      <c r="Q781" s="2" t="s">
        <v>23</v>
      </c>
      <c r="R781" s="2" t="s">
        <v>24</v>
      </c>
      <c r="S781">
        <f>Table1[[#This Row],[Purchase_Amount]]*Table1[[#This Row],[Quantity]]</f>
        <v>4767.95</v>
      </c>
      <c r="T781" t="str">
        <f>IF(Table1[[#This Row],[Age]]&lt;25,"&lt;25",IF(Table1[[#This Row],[Age]]&lt;=35,"25-35",IF(Table1[[#This Row],[Age]]&lt;=50,"36-50","50+")))</f>
        <v>50+</v>
      </c>
    </row>
    <row r="782" spans="1:20" x14ac:dyDescent="0.3">
      <c r="A782" s="2" t="s">
        <v>1071</v>
      </c>
      <c r="B782" s="2" t="s">
        <v>16</v>
      </c>
      <c r="C782" s="3">
        <v>65</v>
      </c>
      <c r="D782" s="2" t="s">
        <v>60</v>
      </c>
      <c r="E782" s="2" t="s">
        <v>49</v>
      </c>
      <c r="F782" s="2" t="s">
        <v>19</v>
      </c>
      <c r="G782" t="s">
        <v>61</v>
      </c>
      <c r="H782" t="s">
        <v>582</v>
      </c>
      <c r="I782" s="4">
        <v>573.61</v>
      </c>
      <c r="J782" s="3">
        <v>2</v>
      </c>
      <c r="K782" s="1">
        <v>45179</v>
      </c>
      <c r="L782" s="1" t="str">
        <f>TEXT(Table1[[#This Row],[Purchase_Date]],"YYYY")</f>
        <v>2023</v>
      </c>
      <c r="M782" s="1" t="str">
        <f>TEXT(Table1[[#This Row],[Purchase_Date]],"MMM")</f>
        <v>Sep</v>
      </c>
      <c r="N782" s="1" t="str">
        <f>TEXT(Table1[[#This Row],[Purchase_Date]],"DD")</f>
        <v>10</v>
      </c>
      <c r="O782" s="2" t="s">
        <v>36</v>
      </c>
      <c r="P782" s="3">
        <v>8</v>
      </c>
      <c r="Q782" s="2" t="s">
        <v>23</v>
      </c>
      <c r="R782" s="2" t="s">
        <v>24</v>
      </c>
      <c r="S782">
        <f>Table1[[#This Row],[Purchase_Amount]]*Table1[[#This Row],[Quantity]]</f>
        <v>1147.22</v>
      </c>
      <c r="T782" t="str">
        <f>IF(Table1[[#This Row],[Age]]&lt;25,"&lt;25",IF(Table1[[#This Row],[Age]]&lt;=35,"25-35",IF(Table1[[#This Row],[Age]]&lt;=50,"36-50","50+")))</f>
        <v>50+</v>
      </c>
    </row>
    <row r="783" spans="1:20" x14ac:dyDescent="0.3">
      <c r="A783" s="2" t="s">
        <v>1062</v>
      </c>
      <c r="B783" s="2" t="s">
        <v>16</v>
      </c>
      <c r="C783" s="3">
        <v>66</v>
      </c>
      <c r="D783" s="2" t="s">
        <v>109</v>
      </c>
      <c r="E783" s="2" t="s">
        <v>18</v>
      </c>
      <c r="F783" s="2" t="s">
        <v>27</v>
      </c>
      <c r="G783" t="s">
        <v>61</v>
      </c>
      <c r="H783" t="s">
        <v>343</v>
      </c>
      <c r="I783" s="4">
        <v>915.95</v>
      </c>
      <c r="J783" s="3">
        <v>1</v>
      </c>
      <c r="K783" s="1">
        <v>45211</v>
      </c>
      <c r="L783" s="1" t="str">
        <f>TEXT(Table1[[#This Row],[Purchase_Date]],"YYYY")</f>
        <v>2023</v>
      </c>
      <c r="M783" s="1" t="str">
        <f>TEXT(Table1[[#This Row],[Purchase_Date]],"MMM")</f>
        <v>Oct</v>
      </c>
      <c r="N783" s="1" t="str">
        <f>TEXT(Table1[[#This Row],[Purchase_Date]],"DD")</f>
        <v>12</v>
      </c>
      <c r="O783" s="2" t="s">
        <v>22</v>
      </c>
      <c r="P783" s="3">
        <v>8</v>
      </c>
      <c r="Q783" s="2" t="s">
        <v>46</v>
      </c>
      <c r="R783" s="2" t="s">
        <v>24</v>
      </c>
      <c r="S783">
        <f>Table1[[#This Row],[Purchase_Amount]]*Table1[[#This Row],[Quantity]]</f>
        <v>915.95</v>
      </c>
      <c r="T783" t="str">
        <f>IF(Table1[[#This Row],[Age]]&lt;25,"&lt;25",IF(Table1[[#This Row],[Age]]&lt;=35,"25-35",IF(Table1[[#This Row],[Age]]&lt;=50,"36-50","50+")))</f>
        <v>50+</v>
      </c>
    </row>
    <row r="784" spans="1:20" x14ac:dyDescent="0.3">
      <c r="A784" s="2" t="s">
        <v>459</v>
      </c>
      <c r="B784" s="2" t="s">
        <v>16</v>
      </c>
      <c r="C784" s="3">
        <v>68</v>
      </c>
      <c r="D784" s="2" t="s">
        <v>60</v>
      </c>
      <c r="E784" s="2" t="s">
        <v>18</v>
      </c>
      <c r="F784" s="2" t="s">
        <v>44</v>
      </c>
      <c r="G784" t="s">
        <v>61</v>
      </c>
      <c r="H784" t="s">
        <v>208</v>
      </c>
      <c r="I784" s="4">
        <v>813.69</v>
      </c>
      <c r="J784" s="3">
        <v>5</v>
      </c>
      <c r="K784" s="1">
        <v>45291</v>
      </c>
      <c r="L784" s="1" t="str">
        <f>TEXT(Table1[[#This Row],[Purchase_Date]],"YYYY")</f>
        <v>2023</v>
      </c>
      <c r="M784" s="1" t="str">
        <f>TEXT(Table1[[#This Row],[Purchase_Date]],"MMM")</f>
        <v>Dec</v>
      </c>
      <c r="N784" s="1" t="str">
        <f>TEXT(Table1[[#This Row],[Purchase_Date]],"DD")</f>
        <v>31</v>
      </c>
      <c r="O784" s="2" t="s">
        <v>36</v>
      </c>
      <c r="P784" s="3">
        <v>9</v>
      </c>
      <c r="Q784" s="2" t="s">
        <v>23</v>
      </c>
      <c r="R784" s="2" t="s">
        <v>24</v>
      </c>
      <c r="S784">
        <f>Table1[[#This Row],[Purchase_Amount]]*Table1[[#This Row],[Quantity]]</f>
        <v>4068.4500000000003</v>
      </c>
      <c r="T784" t="str">
        <f>IF(Table1[[#This Row],[Age]]&lt;25,"&lt;25",IF(Table1[[#This Row],[Age]]&lt;=35,"25-35",IF(Table1[[#This Row],[Age]]&lt;=50,"36-50","50+")))</f>
        <v>50+</v>
      </c>
    </row>
    <row r="785" spans="1:20" x14ac:dyDescent="0.3">
      <c r="A785" s="2" t="s">
        <v>271</v>
      </c>
      <c r="B785" s="2" t="s">
        <v>16</v>
      </c>
      <c r="C785" s="3">
        <v>68</v>
      </c>
      <c r="D785" s="2" t="s">
        <v>64</v>
      </c>
      <c r="E785" s="2" t="s">
        <v>33</v>
      </c>
      <c r="F785" s="2" t="s">
        <v>19</v>
      </c>
      <c r="G785" t="s">
        <v>61</v>
      </c>
      <c r="H785" t="s">
        <v>177</v>
      </c>
      <c r="I785" s="4">
        <v>910.34</v>
      </c>
      <c r="J785" s="3">
        <v>4</v>
      </c>
      <c r="K785" s="1">
        <v>45366</v>
      </c>
      <c r="L785" s="1" t="str">
        <f>TEXT(Table1[[#This Row],[Purchase_Date]],"YYYY")</f>
        <v>2024</v>
      </c>
      <c r="M785" s="1" t="str">
        <f>TEXT(Table1[[#This Row],[Purchase_Date]],"MMM")</f>
        <v>Mar</v>
      </c>
      <c r="N785" s="1" t="str">
        <f>TEXT(Table1[[#This Row],[Purchase_Date]],"DD")</f>
        <v>15</v>
      </c>
      <c r="O785" s="2" t="s">
        <v>22</v>
      </c>
      <c r="P785" s="3">
        <v>7</v>
      </c>
      <c r="Q785" s="2" t="s">
        <v>23</v>
      </c>
      <c r="R785" s="2" t="s">
        <v>24</v>
      </c>
      <c r="S785">
        <f>Table1[[#This Row],[Purchase_Amount]]*Table1[[#This Row],[Quantity]]</f>
        <v>3641.36</v>
      </c>
      <c r="T785" t="str">
        <f>IF(Table1[[#This Row],[Age]]&lt;25,"&lt;25",IF(Table1[[#This Row],[Age]]&lt;=35,"25-35",IF(Table1[[#This Row],[Age]]&lt;=50,"36-50","50+")))</f>
        <v>50+</v>
      </c>
    </row>
    <row r="786" spans="1:20" x14ac:dyDescent="0.3">
      <c r="A786" s="2" t="s">
        <v>436</v>
      </c>
      <c r="B786" s="2" t="s">
        <v>16</v>
      </c>
      <c r="C786" s="3">
        <v>69</v>
      </c>
      <c r="D786" s="2" t="s">
        <v>38</v>
      </c>
      <c r="E786" s="2" t="s">
        <v>49</v>
      </c>
      <c r="F786" s="2" t="s">
        <v>27</v>
      </c>
      <c r="G786" t="s">
        <v>61</v>
      </c>
      <c r="H786" t="s">
        <v>162</v>
      </c>
      <c r="I786" s="4">
        <v>740.55</v>
      </c>
      <c r="J786" s="3">
        <v>3</v>
      </c>
      <c r="K786" s="1">
        <v>45021</v>
      </c>
      <c r="L786" s="1" t="str">
        <f>TEXT(Table1[[#This Row],[Purchase_Date]],"YYYY")</f>
        <v>2023</v>
      </c>
      <c r="M786" s="1" t="str">
        <f>TEXT(Table1[[#This Row],[Purchase_Date]],"MMM")</f>
        <v>Apr</v>
      </c>
      <c r="N786" s="1" t="str">
        <f>TEXT(Table1[[#This Row],[Purchase_Date]],"DD")</f>
        <v>05</v>
      </c>
      <c r="O786" s="2" t="s">
        <v>30</v>
      </c>
      <c r="P786" s="3">
        <v>3</v>
      </c>
      <c r="Q786" s="2" t="s">
        <v>23</v>
      </c>
      <c r="R786" s="2" t="s">
        <v>24</v>
      </c>
      <c r="S786">
        <f>Table1[[#This Row],[Purchase_Amount]]*Table1[[#This Row],[Quantity]]</f>
        <v>2221.6499999999996</v>
      </c>
      <c r="T786" t="str">
        <f>IF(Table1[[#This Row],[Age]]&lt;25,"&lt;25",IF(Table1[[#This Row],[Age]]&lt;=35,"25-35",IF(Table1[[#This Row],[Age]]&lt;=50,"36-50","50+")))</f>
        <v>50+</v>
      </c>
    </row>
    <row r="787" spans="1:20" x14ac:dyDescent="0.3">
      <c r="A787" s="2" t="s">
        <v>261</v>
      </c>
      <c r="B787" s="2" t="s">
        <v>16</v>
      </c>
      <c r="C787" s="3">
        <v>19</v>
      </c>
      <c r="D787" s="2" t="s">
        <v>17</v>
      </c>
      <c r="E787" s="2" t="s">
        <v>33</v>
      </c>
      <c r="F787" s="2" t="s">
        <v>27</v>
      </c>
      <c r="G787" t="s">
        <v>28</v>
      </c>
      <c r="H787" t="s">
        <v>200</v>
      </c>
      <c r="I787" s="4">
        <v>172.64</v>
      </c>
      <c r="J787" s="3">
        <v>5</v>
      </c>
      <c r="K787" s="1">
        <v>45559</v>
      </c>
      <c r="L787" s="1" t="str">
        <f>TEXT(Table1[[#This Row],[Purchase_Date]],"YYYY")</f>
        <v>2024</v>
      </c>
      <c r="M787" s="1" t="str">
        <f>TEXT(Table1[[#This Row],[Purchase_Date]],"MMM")</f>
        <v>Sep</v>
      </c>
      <c r="N787" s="1" t="str">
        <f>TEXT(Table1[[#This Row],[Purchase_Date]],"DD")</f>
        <v>24</v>
      </c>
      <c r="O787" s="2" t="s">
        <v>36</v>
      </c>
      <c r="P787" s="3">
        <v>2</v>
      </c>
      <c r="Q787" s="2" t="s">
        <v>23</v>
      </c>
      <c r="R787" s="2" t="s">
        <v>24</v>
      </c>
      <c r="S787">
        <f>Table1[[#This Row],[Purchase_Amount]]*Table1[[#This Row],[Quantity]]</f>
        <v>863.19999999999993</v>
      </c>
      <c r="T787" t="str">
        <f>IF(Table1[[#This Row],[Age]]&lt;25,"&lt;25",IF(Table1[[#This Row],[Age]]&lt;=35,"25-35",IF(Table1[[#This Row],[Age]]&lt;=50,"36-50","50+")))</f>
        <v>&lt;25</v>
      </c>
    </row>
    <row r="788" spans="1:20" x14ac:dyDescent="0.3">
      <c r="A788" s="2" t="s">
        <v>311</v>
      </c>
      <c r="B788" s="2" t="s">
        <v>16</v>
      </c>
      <c r="C788" s="3">
        <v>19</v>
      </c>
      <c r="D788" s="2" t="s">
        <v>60</v>
      </c>
      <c r="E788" s="2" t="s">
        <v>18</v>
      </c>
      <c r="F788" s="2" t="s">
        <v>44</v>
      </c>
      <c r="G788" t="s">
        <v>28</v>
      </c>
      <c r="H788" t="s">
        <v>312</v>
      </c>
      <c r="I788" s="4">
        <v>317.20999999999998</v>
      </c>
      <c r="J788" s="3">
        <v>2</v>
      </c>
      <c r="K788" s="1">
        <v>45409</v>
      </c>
      <c r="L788" s="1" t="str">
        <f>TEXT(Table1[[#This Row],[Purchase_Date]],"YYYY")</f>
        <v>2024</v>
      </c>
      <c r="M788" s="1" t="str">
        <f>TEXT(Table1[[#This Row],[Purchase_Date]],"MMM")</f>
        <v>Apr</v>
      </c>
      <c r="N788" s="1" t="str">
        <f>TEXT(Table1[[#This Row],[Purchase_Date]],"DD")</f>
        <v>27</v>
      </c>
      <c r="O788" s="2" t="s">
        <v>36</v>
      </c>
      <c r="P788" s="3">
        <v>2</v>
      </c>
      <c r="Q788" s="2" t="s">
        <v>23</v>
      </c>
      <c r="R788" s="2" t="s">
        <v>47</v>
      </c>
      <c r="S788">
        <f>Table1[[#This Row],[Purchase_Amount]]*Table1[[#This Row],[Quantity]]</f>
        <v>634.41999999999996</v>
      </c>
      <c r="T788" t="str">
        <f>IF(Table1[[#This Row],[Age]]&lt;25,"&lt;25",IF(Table1[[#This Row],[Age]]&lt;=35,"25-35",IF(Table1[[#This Row],[Age]]&lt;=50,"36-50","50+")))</f>
        <v>&lt;25</v>
      </c>
    </row>
    <row r="789" spans="1:20" x14ac:dyDescent="0.3">
      <c r="A789" s="2" t="s">
        <v>1050</v>
      </c>
      <c r="B789" s="2" t="s">
        <v>16</v>
      </c>
      <c r="C789" s="3">
        <v>19</v>
      </c>
      <c r="D789" s="2" t="s">
        <v>43</v>
      </c>
      <c r="E789" s="2" t="s">
        <v>18</v>
      </c>
      <c r="F789" s="2" t="s">
        <v>27</v>
      </c>
      <c r="G789" t="s">
        <v>28</v>
      </c>
      <c r="H789" t="s">
        <v>458</v>
      </c>
      <c r="I789" s="4">
        <v>768.58</v>
      </c>
      <c r="J789" s="3">
        <v>1</v>
      </c>
      <c r="K789" s="1">
        <v>45183</v>
      </c>
      <c r="L789" s="1" t="str">
        <f>TEXT(Table1[[#This Row],[Purchase_Date]],"YYYY")</f>
        <v>2023</v>
      </c>
      <c r="M789" s="1" t="str">
        <f>TEXT(Table1[[#This Row],[Purchase_Date]],"MMM")</f>
        <v>Sep</v>
      </c>
      <c r="N789" s="1" t="str">
        <f>TEXT(Table1[[#This Row],[Purchase_Date]],"DD")</f>
        <v>14</v>
      </c>
      <c r="O789" s="2" t="s">
        <v>36</v>
      </c>
      <c r="P789" s="3">
        <v>9</v>
      </c>
      <c r="Q789" s="2" t="s">
        <v>46</v>
      </c>
      <c r="R789" s="2" t="s">
        <v>24</v>
      </c>
      <c r="S789">
        <f>Table1[[#This Row],[Purchase_Amount]]*Table1[[#This Row],[Quantity]]</f>
        <v>768.58</v>
      </c>
      <c r="T789" t="str">
        <f>IF(Table1[[#This Row],[Age]]&lt;25,"&lt;25",IF(Table1[[#This Row],[Age]]&lt;=35,"25-35",IF(Table1[[#This Row],[Age]]&lt;=50,"36-50","50+")))</f>
        <v>&lt;25</v>
      </c>
    </row>
    <row r="790" spans="1:20" x14ac:dyDescent="0.3">
      <c r="A790" s="2" t="s">
        <v>846</v>
      </c>
      <c r="B790" s="2" t="s">
        <v>16</v>
      </c>
      <c r="C790" s="3">
        <v>21</v>
      </c>
      <c r="D790" s="2" t="s">
        <v>32</v>
      </c>
      <c r="E790" s="2" t="s">
        <v>33</v>
      </c>
      <c r="F790" s="2" t="s">
        <v>27</v>
      </c>
      <c r="G790" t="s">
        <v>28</v>
      </c>
      <c r="H790" t="s">
        <v>269</v>
      </c>
      <c r="I790" s="4">
        <v>187.37</v>
      </c>
      <c r="J790" s="3">
        <v>4</v>
      </c>
      <c r="K790" s="1">
        <v>45467</v>
      </c>
      <c r="L790" s="1" t="str">
        <f>TEXT(Table1[[#This Row],[Purchase_Date]],"YYYY")</f>
        <v>2024</v>
      </c>
      <c r="M790" s="1" t="str">
        <f>TEXT(Table1[[#This Row],[Purchase_Date]],"MMM")</f>
        <v>Jun</v>
      </c>
      <c r="N790" s="1" t="str">
        <f>TEXT(Table1[[#This Row],[Purchase_Date]],"DD")</f>
        <v>24</v>
      </c>
      <c r="O790" s="2" t="s">
        <v>41</v>
      </c>
      <c r="P790" s="3">
        <v>6</v>
      </c>
      <c r="Q790" s="2" t="s">
        <v>46</v>
      </c>
      <c r="R790" s="2" t="s">
        <v>24</v>
      </c>
      <c r="S790">
        <f>Table1[[#This Row],[Purchase_Amount]]*Table1[[#This Row],[Quantity]]</f>
        <v>749.48</v>
      </c>
      <c r="T790" t="str">
        <f>IF(Table1[[#This Row],[Age]]&lt;25,"&lt;25",IF(Table1[[#This Row],[Age]]&lt;=35,"25-35",IF(Table1[[#This Row],[Age]]&lt;=50,"36-50","50+")))</f>
        <v>&lt;25</v>
      </c>
    </row>
    <row r="791" spans="1:20" x14ac:dyDescent="0.3">
      <c r="A791" s="2" t="s">
        <v>963</v>
      </c>
      <c r="B791" s="2" t="s">
        <v>16</v>
      </c>
      <c r="C791" s="3">
        <v>21</v>
      </c>
      <c r="D791" s="2" t="s">
        <v>64</v>
      </c>
      <c r="E791" s="2" t="s">
        <v>49</v>
      </c>
      <c r="F791" s="2" t="s">
        <v>27</v>
      </c>
      <c r="G791" t="s">
        <v>28</v>
      </c>
      <c r="H791" t="s">
        <v>122</v>
      </c>
      <c r="I791" s="4">
        <v>587.27</v>
      </c>
      <c r="J791" s="3">
        <v>3</v>
      </c>
      <c r="K791" s="1">
        <v>45430</v>
      </c>
      <c r="L791" s="1" t="str">
        <f>TEXT(Table1[[#This Row],[Purchase_Date]],"YYYY")</f>
        <v>2024</v>
      </c>
      <c r="M791" s="1" t="str">
        <f>TEXT(Table1[[#This Row],[Purchase_Date]],"MMM")</f>
        <v>May</v>
      </c>
      <c r="N791" s="1" t="str">
        <f>TEXT(Table1[[#This Row],[Purchase_Date]],"DD")</f>
        <v>18</v>
      </c>
      <c r="O791" s="2" t="s">
        <v>41</v>
      </c>
      <c r="P791" s="3">
        <v>4</v>
      </c>
      <c r="Q791" s="2" t="s">
        <v>23</v>
      </c>
      <c r="R791" s="2" t="s">
        <v>24</v>
      </c>
      <c r="S791">
        <f>Table1[[#This Row],[Purchase_Amount]]*Table1[[#This Row],[Quantity]]</f>
        <v>1761.81</v>
      </c>
      <c r="T791" t="str">
        <f>IF(Table1[[#This Row],[Age]]&lt;25,"&lt;25",IF(Table1[[#This Row],[Age]]&lt;=35,"25-35",IF(Table1[[#This Row],[Age]]&lt;=50,"36-50","50+")))</f>
        <v>&lt;25</v>
      </c>
    </row>
    <row r="792" spans="1:20" x14ac:dyDescent="0.3">
      <c r="A792" s="2" t="s">
        <v>569</v>
      </c>
      <c r="B792" s="2" t="s">
        <v>16</v>
      </c>
      <c r="C792" s="3">
        <v>25</v>
      </c>
      <c r="D792" s="2" t="s">
        <v>60</v>
      </c>
      <c r="E792" s="2" t="s">
        <v>33</v>
      </c>
      <c r="F792" s="2" t="s">
        <v>44</v>
      </c>
      <c r="G792" t="s">
        <v>28</v>
      </c>
      <c r="H792" t="s">
        <v>107</v>
      </c>
      <c r="I792" s="4">
        <v>130.09</v>
      </c>
      <c r="J792" s="3">
        <v>4</v>
      </c>
      <c r="K792" s="1">
        <v>44972</v>
      </c>
      <c r="L792" s="1" t="str">
        <f>TEXT(Table1[[#This Row],[Purchase_Date]],"YYYY")</f>
        <v>2023</v>
      </c>
      <c r="M792" s="1" t="str">
        <f>TEXT(Table1[[#This Row],[Purchase_Date]],"MMM")</f>
        <v>Feb</v>
      </c>
      <c r="N792" s="1" t="str">
        <f>TEXT(Table1[[#This Row],[Purchase_Date]],"DD")</f>
        <v>15</v>
      </c>
      <c r="O792" s="2" t="s">
        <v>41</v>
      </c>
      <c r="P792" s="3">
        <v>8</v>
      </c>
      <c r="Q792" s="2" t="s">
        <v>23</v>
      </c>
      <c r="R792" s="2" t="s">
        <v>47</v>
      </c>
      <c r="S792">
        <f>Table1[[#This Row],[Purchase_Amount]]*Table1[[#This Row],[Quantity]]</f>
        <v>520.36</v>
      </c>
      <c r="T792" t="str">
        <f>IF(Table1[[#This Row],[Age]]&lt;25,"&lt;25",IF(Table1[[#This Row],[Age]]&lt;=35,"25-35",IF(Table1[[#This Row],[Age]]&lt;=50,"36-50","50+")))</f>
        <v>25-35</v>
      </c>
    </row>
    <row r="793" spans="1:20" x14ac:dyDescent="0.3">
      <c r="A793" s="2" t="s">
        <v>585</v>
      </c>
      <c r="B793" s="2" t="s">
        <v>16</v>
      </c>
      <c r="C793" s="3">
        <v>31</v>
      </c>
      <c r="D793" s="2" t="s">
        <v>17</v>
      </c>
      <c r="E793" s="2" t="s">
        <v>33</v>
      </c>
      <c r="F793" s="2" t="s">
        <v>44</v>
      </c>
      <c r="G793" t="s">
        <v>28</v>
      </c>
      <c r="H793" t="s">
        <v>586</v>
      </c>
      <c r="I793" s="4">
        <v>670.02</v>
      </c>
      <c r="J793" s="3">
        <v>1</v>
      </c>
      <c r="K793" s="1">
        <v>45417</v>
      </c>
      <c r="L793" s="1" t="str">
        <f>TEXT(Table1[[#This Row],[Purchase_Date]],"YYYY")</f>
        <v>2024</v>
      </c>
      <c r="M793" s="1" t="str">
        <f>TEXT(Table1[[#This Row],[Purchase_Date]],"MMM")</f>
        <v>May</v>
      </c>
      <c r="N793" s="1" t="str">
        <f>TEXT(Table1[[#This Row],[Purchase_Date]],"DD")</f>
        <v>05</v>
      </c>
      <c r="O793" s="2" t="s">
        <v>41</v>
      </c>
      <c r="P793" s="3">
        <v>10</v>
      </c>
      <c r="Q793" s="2" t="s">
        <v>23</v>
      </c>
      <c r="R793" s="2" t="s">
        <v>24</v>
      </c>
      <c r="S793">
        <f>Table1[[#This Row],[Purchase_Amount]]*Table1[[#This Row],[Quantity]]</f>
        <v>670.02</v>
      </c>
      <c r="T793" t="str">
        <f>IF(Table1[[#This Row],[Age]]&lt;25,"&lt;25",IF(Table1[[#This Row],[Age]]&lt;=35,"25-35",IF(Table1[[#This Row],[Age]]&lt;=50,"36-50","50+")))</f>
        <v>25-35</v>
      </c>
    </row>
    <row r="794" spans="1:20" x14ac:dyDescent="0.3">
      <c r="A794" s="2" t="s">
        <v>1018</v>
      </c>
      <c r="B794" s="2" t="s">
        <v>16</v>
      </c>
      <c r="C794" s="3">
        <v>33</v>
      </c>
      <c r="D794" s="2" t="s">
        <v>64</v>
      </c>
      <c r="E794" s="2" t="s">
        <v>18</v>
      </c>
      <c r="F794" s="2" t="s">
        <v>19</v>
      </c>
      <c r="G794" t="s">
        <v>28</v>
      </c>
      <c r="H794" t="s">
        <v>185</v>
      </c>
      <c r="I794" s="4">
        <v>549.35</v>
      </c>
      <c r="J794" s="3">
        <v>4</v>
      </c>
      <c r="K794" s="1">
        <v>45417</v>
      </c>
      <c r="L794" s="1" t="str">
        <f>TEXT(Table1[[#This Row],[Purchase_Date]],"YYYY")</f>
        <v>2024</v>
      </c>
      <c r="M794" s="1" t="str">
        <f>TEXT(Table1[[#This Row],[Purchase_Date]],"MMM")</f>
        <v>May</v>
      </c>
      <c r="N794" s="1" t="str">
        <f>TEXT(Table1[[#This Row],[Purchase_Date]],"DD")</f>
        <v>05</v>
      </c>
      <c r="O794" s="2" t="s">
        <v>36</v>
      </c>
      <c r="P794" s="3">
        <v>2</v>
      </c>
      <c r="Q794" s="2" t="s">
        <v>46</v>
      </c>
      <c r="R794" s="2" t="s">
        <v>24</v>
      </c>
      <c r="S794">
        <f>Table1[[#This Row],[Purchase_Amount]]*Table1[[#This Row],[Quantity]]</f>
        <v>2197.4</v>
      </c>
      <c r="T794" t="str">
        <f>IF(Table1[[#This Row],[Age]]&lt;25,"&lt;25",IF(Table1[[#This Row],[Age]]&lt;=35,"25-35",IF(Table1[[#This Row],[Age]]&lt;=50,"36-50","50+")))</f>
        <v>25-35</v>
      </c>
    </row>
    <row r="795" spans="1:20" x14ac:dyDescent="0.3">
      <c r="A795" s="2" t="s">
        <v>854</v>
      </c>
      <c r="B795" s="2" t="s">
        <v>16</v>
      </c>
      <c r="C795" s="3">
        <v>33</v>
      </c>
      <c r="D795" s="2" t="s">
        <v>78</v>
      </c>
      <c r="E795" s="2" t="s">
        <v>33</v>
      </c>
      <c r="F795" s="2" t="s">
        <v>44</v>
      </c>
      <c r="G795" t="s">
        <v>28</v>
      </c>
      <c r="H795" t="s">
        <v>91</v>
      </c>
      <c r="I795" s="4">
        <v>723.25</v>
      </c>
      <c r="J795" s="3">
        <v>2</v>
      </c>
      <c r="K795" s="1">
        <v>45097</v>
      </c>
      <c r="L795" s="1" t="str">
        <f>TEXT(Table1[[#This Row],[Purchase_Date]],"YYYY")</f>
        <v>2023</v>
      </c>
      <c r="M795" s="1" t="str">
        <f>TEXT(Table1[[#This Row],[Purchase_Date]],"MMM")</f>
        <v>Jun</v>
      </c>
      <c r="N795" s="1" t="str">
        <f>TEXT(Table1[[#This Row],[Purchase_Date]],"DD")</f>
        <v>20</v>
      </c>
      <c r="O795" s="2" t="s">
        <v>22</v>
      </c>
      <c r="P795" s="3">
        <v>3</v>
      </c>
      <c r="Q795" s="2" t="s">
        <v>46</v>
      </c>
      <c r="R795" s="2" t="s">
        <v>47</v>
      </c>
      <c r="S795">
        <f>Table1[[#This Row],[Purchase_Amount]]*Table1[[#This Row],[Quantity]]</f>
        <v>1446.5</v>
      </c>
      <c r="T795" t="str">
        <f>IF(Table1[[#This Row],[Age]]&lt;25,"&lt;25",IF(Table1[[#This Row],[Age]]&lt;=35,"25-35",IF(Table1[[#This Row],[Age]]&lt;=50,"36-50","50+")))</f>
        <v>25-35</v>
      </c>
    </row>
    <row r="796" spans="1:20" x14ac:dyDescent="0.3">
      <c r="A796" s="2" t="s">
        <v>482</v>
      </c>
      <c r="B796" s="2" t="s">
        <v>16</v>
      </c>
      <c r="C796" s="3">
        <v>34</v>
      </c>
      <c r="D796" s="2" t="s">
        <v>17</v>
      </c>
      <c r="E796" s="2" t="s">
        <v>33</v>
      </c>
      <c r="F796" s="2" t="s">
        <v>27</v>
      </c>
      <c r="G796" t="s">
        <v>28</v>
      </c>
      <c r="H796" t="s">
        <v>29</v>
      </c>
      <c r="I796" s="4">
        <v>638.4</v>
      </c>
      <c r="J796" s="3">
        <v>5</v>
      </c>
      <c r="K796" s="1">
        <v>45042</v>
      </c>
      <c r="L796" s="1" t="str">
        <f>TEXT(Table1[[#This Row],[Purchase_Date]],"YYYY")</f>
        <v>2023</v>
      </c>
      <c r="M796" s="1" t="str">
        <f>TEXT(Table1[[#This Row],[Purchase_Date]],"MMM")</f>
        <v>Apr</v>
      </c>
      <c r="N796" s="1" t="str">
        <f>TEXT(Table1[[#This Row],[Purchase_Date]],"DD")</f>
        <v>26</v>
      </c>
      <c r="O796" s="2" t="s">
        <v>30</v>
      </c>
      <c r="P796" s="3">
        <v>6</v>
      </c>
      <c r="Q796" s="2" t="s">
        <v>46</v>
      </c>
      <c r="R796" s="2" t="s">
        <v>24</v>
      </c>
      <c r="S796">
        <f>Table1[[#This Row],[Purchase_Amount]]*Table1[[#This Row],[Quantity]]</f>
        <v>3192</v>
      </c>
      <c r="T796" t="str">
        <f>IF(Table1[[#This Row],[Age]]&lt;25,"&lt;25",IF(Table1[[#This Row],[Age]]&lt;=35,"25-35",IF(Table1[[#This Row],[Age]]&lt;=50,"36-50","50+")))</f>
        <v>25-35</v>
      </c>
    </row>
    <row r="797" spans="1:20" x14ac:dyDescent="0.3">
      <c r="A797" s="2" t="s">
        <v>1199</v>
      </c>
      <c r="B797" s="2" t="s">
        <v>16</v>
      </c>
      <c r="C797" s="3">
        <v>34</v>
      </c>
      <c r="D797" s="2" t="s">
        <v>38</v>
      </c>
      <c r="E797" s="2" t="s">
        <v>49</v>
      </c>
      <c r="F797" s="2" t="s">
        <v>27</v>
      </c>
      <c r="G797" t="s">
        <v>28</v>
      </c>
      <c r="H797" t="s">
        <v>824</v>
      </c>
      <c r="I797" s="4">
        <v>845.29</v>
      </c>
      <c r="J797" s="3">
        <v>4</v>
      </c>
      <c r="K797" s="1">
        <v>45356</v>
      </c>
      <c r="L797" s="1" t="str">
        <f>TEXT(Table1[[#This Row],[Purchase_Date]],"YYYY")</f>
        <v>2024</v>
      </c>
      <c r="M797" s="1" t="str">
        <f>TEXT(Table1[[#This Row],[Purchase_Date]],"MMM")</f>
        <v>Mar</v>
      </c>
      <c r="N797" s="1" t="str">
        <f>TEXT(Table1[[#This Row],[Purchase_Date]],"DD")</f>
        <v>05</v>
      </c>
      <c r="O797" s="2" t="s">
        <v>41</v>
      </c>
      <c r="P797" s="3">
        <v>3</v>
      </c>
      <c r="Q797" s="2" t="s">
        <v>23</v>
      </c>
      <c r="R797" s="2" t="s">
        <v>47</v>
      </c>
      <c r="S797">
        <f>Table1[[#This Row],[Purchase_Amount]]*Table1[[#This Row],[Quantity]]</f>
        <v>3381.16</v>
      </c>
      <c r="T797" t="str">
        <f>IF(Table1[[#This Row],[Age]]&lt;25,"&lt;25",IF(Table1[[#This Row],[Age]]&lt;=35,"25-35",IF(Table1[[#This Row],[Age]]&lt;=50,"36-50","50+")))</f>
        <v>25-35</v>
      </c>
    </row>
    <row r="798" spans="1:20" x14ac:dyDescent="0.3">
      <c r="A798" s="2" t="s">
        <v>516</v>
      </c>
      <c r="B798" s="2" t="s">
        <v>16</v>
      </c>
      <c r="C798" s="3">
        <v>35</v>
      </c>
      <c r="D798" s="2" t="s">
        <v>38</v>
      </c>
      <c r="E798" s="2" t="s">
        <v>33</v>
      </c>
      <c r="F798" s="2" t="s">
        <v>27</v>
      </c>
      <c r="G798" t="s">
        <v>28</v>
      </c>
      <c r="H798" t="s">
        <v>517</v>
      </c>
      <c r="I798" s="4">
        <v>555.15</v>
      </c>
      <c r="J798" s="3">
        <v>5</v>
      </c>
      <c r="K798" s="1">
        <v>45093</v>
      </c>
      <c r="L798" s="1" t="str">
        <f>TEXT(Table1[[#This Row],[Purchase_Date]],"YYYY")</f>
        <v>2023</v>
      </c>
      <c r="M798" s="1" t="str">
        <f>TEXT(Table1[[#This Row],[Purchase_Date]],"MMM")</f>
        <v>Jun</v>
      </c>
      <c r="N798" s="1" t="str">
        <f>TEXT(Table1[[#This Row],[Purchase_Date]],"DD")</f>
        <v>16</v>
      </c>
      <c r="O798" s="2" t="s">
        <v>36</v>
      </c>
      <c r="P798" s="3">
        <v>5</v>
      </c>
      <c r="Q798" s="2" t="s">
        <v>23</v>
      </c>
      <c r="R798" s="2" t="s">
        <v>24</v>
      </c>
      <c r="S798">
        <f>Table1[[#This Row],[Purchase_Amount]]*Table1[[#This Row],[Quantity]]</f>
        <v>2775.75</v>
      </c>
      <c r="T798" t="str">
        <f>IF(Table1[[#This Row],[Age]]&lt;25,"&lt;25",IF(Table1[[#This Row],[Age]]&lt;=35,"25-35",IF(Table1[[#This Row],[Age]]&lt;=50,"36-50","50+")))</f>
        <v>25-35</v>
      </c>
    </row>
    <row r="799" spans="1:20" x14ac:dyDescent="0.3">
      <c r="A799" s="2" t="s">
        <v>603</v>
      </c>
      <c r="B799" s="2" t="s">
        <v>16</v>
      </c>
      <c r="C799" s="3">
        <v>35</v>
      </c>
      <c r="D799" s="2" t="s">
        <v>109</v>
      </c>
      <c r="E799" s="2" t="s">
        <v>49</v>
      </c>
      <c r="F799" s="2" t="s">
        <v>44</v>
      </c>
      <c r="G799" t="s">
        <v>28</v>
      </c>
      <c r="H799" t="s">
        <v>87</v>
      </c>
      <c r="I799" s="4">
        <v>562.59</v>
      </c>
      <c r="J799" s="3">
        <v>4</v>
      </c>
      <c r="K799" s="1">
        <v>45478</v>
      </c>
      <c r="L799" s="1" t="str">
        <f>TEXT(Table1[[#This Row],[Purchase_Date]],"YYYY")</f>
        <v>2024</v>
      </c>
      <c r="M799" s="1" t="str">
        <f>TEXT(Table1[[#This Row],[Purchase_Date]],"MMM")</f>
        <v>Jul</v>
      </c>
      <c r="N799" s="1" t="str">
        <f>TEXT(Table1[[#This Row],[Purchase_Date]],"DD")</f>
        <v>05</v>
      </c>
      <c r="O799" s="2" t="s">
        <v>41</v>
      </c>
      <c r="P799" s="3">
        <v>9</v>
      </c>
      <c r="Q799" s="2" t="s">
        <v>46</v>
      </c>
      <c r="R799" s="2" t="s">
        <v>47</v>
      </c>
      <c r="S799">
        <f>Table1[[#This Row],[Purchase_Amount]]*Table1[[#This Row],[Quantity]]</f>
        <v>2250.36</v>
      </c>
      <c r="T799" t="str">
        <f>IF(Table1[[#This Row],[Age]]&lt;25,"&lt;25",IF(Table1[[#This Row],[Age]]&lt;=35,"25-35",IF(Table1[[#This Row],[Age]]&lt;=50,"36-50","50+")))</f>
        <v>25-35</v>
      </c>
    </row>
    <row r="800" spans="1:20" x14ac:dyDescent="0.3">
      <c r="A800" s="2" t="s">
        <v>725</v>
      </c>
      <c r="B800" s="2" t="s">
        <v>16</v>
      </c>
      <c r="C800" s="3">
        <v>36</v>
      </c>
      <c r="D800" s="2" t="s">
        <v>32</v>
      </c>
      <c r="E800" s="2" t="s">
        <v>18</v>
      </c>
      <c r="F800" s="2" t="s">
        <v>44</v>
      </c>
      <c r="G800" t="s">
        <v>28</v>
      </c>
      <c r="H800" t="s">
        <v>215</v>
      </c>
      <c r="I800" s="4">
        <v>569.76</v>
      </c>
      <c r="J800" s="3">
        <v>1</v>
      </c>
      <c r="K800" s="1">
        <v>45231</v>
      </c>
      <c r="L800" s="1" t="str">
        <f>TEXT(Table1[[#This Row],[Purchase_Date]],"YYYY")</f>
        <v>2023</v>
      </c>
      <c r="M800" s="1" t="str">
        <f>TEXT(Table1[[#This Row],[Purchase_Date]],"MMM")</f>
        <v>Nov</v>
      </c>
      <c r="N800" s="1" t="str">
        <f>TEXT(Table1[[#This Row],[Purchase_Date]],"DD")</f>
        <v>01</v>
      </c>
      <c r="O800" s="2" t="s">
        <v>22</v>
      </c>
      <c r="P800" s="3">
        <v>8</v>
      </c>
      <c r="Q800" s="2" t="s">
        <v>46</v>
      </c>
      <c r="R800" s="2" t="s">
        <v>47</v>
      </c>
      <c r="S800">
        <f>Table1[[#This Row],[Purchase_Amount]]*Table1[[#This Row],[Quantity]]</f>
        <v>569.76</v>
      </c>
      <c r="T800" t="str">
        <f>IF(Table1[[#This Row],[Age]]&lt;25,"&lt;25",IF(Table1[[#This Row],[Age]]&lt;=35,"25-35",IF(Table1[[#This Row],[Age]]&lt;=50,"36-50","50+")))</f>
        <v>36-50</v>
      </c>
    </row>
    <row r="801" spans="1:20" x14ac:dyDescent="0.3">
      <c r="A801" s="2" t="s">
        <v>487</v>
      </c>
      <c r="B801" s="2" t="s">
        <v>16</v>
      </c>
      <c r="C801" s="3">
        <v>37</v>
      </c>
      <c r="D801" s="2" t="s">
        <v>32</v>
      </c>
      <c r="E801" s="2" t="s">
        <v>49</v>
      </c>
      <c r="F801" s="2" t="s">
        <v>27</v>
      </c>
      <c r="G801" t="s">
        <v>28</v>
      </c>
      <c r="H801" t="s">
        <v>351</v>
      </c>
      <c r="I801" s="4">
        <v>212.02</v>
      </c>
      <c r="J801" s="3">
        <v>1</v>
      </c>
      <c r="K801" s="1">
        <v>45534</v>
      </c>
      <c r="L801" s="1" t="str">
        <f>TEXT(Table1[[#This Row],[Purchase_Date]],"YYYY")</f>
        <v>2024</v>
      </c>
      <c r="M801" s="1" t="str">
        <f>TEXT(Table1[[#This Row],[Purchase_Date]],"MMM")</f>
        <v>Aug</v>
      </c>
      <c r="N801" s="1" t="str">
        <f>TEXT(Table1[[#This Row],[Purchase_Date]],"DD")</f>
        <v>30</v>
      </c>
      <c r="O801" s="2" t="s">
        <v>36</v>
      </c>
      <c r="P801" s="3">
        <v>10</v>
      </c>
      <c r="Q801" s="2" t="s">
        <v>23</v>
      </c>
      <c r="R801" s="2" t="s">
        <v>24</v>
      </c>
      <c r="S801">
        <f>Table1[[#This Row],[Purchase_Amount]]*Table1[[#This Row],[Quantity]]</f>
        <v>212.02</v>
      </c>
      <c r="T801" t="str">
        <f>IF(Table1[[#This Row],[Age]]&lt;25,"&lt;25",IF(Table1[[#This Row],[Age]]&lt;=35,"25-35",IF(Table1[[#This Row],[Age]]&lt;=50,"36-50","50+")))</f>
        <v>36-50</v>
      </c>
    </row>
    <row r="802" spans="1:20" x14ac:dyDescent="0.3">
      <c r="A802" s="2" t="s">
        <v>609</v>
      </c>
      <c r="B802" s="2" t="s">
        <v>16</v>
      </c>
      <c r="C802" s="3">
        <v>37</v>
      </c>
      <c r="D802" s="2" t="s">
        <v>43</v>
      </c>
      <c r="E802" s="2" t="s">
        <v>33</v>
      </c>
      <c r="F802" s="2" t="s">
        <v>44</v>
      </c>
      <c r="G802" t="s">
        <v>28</v>
      </c>
      <c r="H802" t="s">
        <v>221</v>
      </c>
      <c r="I802" s="4">
        <v>334.61</v>
      </c>
      <c r="J802" s="3">
        <v>2</v>
      </c>
      <c r="K802" s="1">
        <v>45520</v>
      </c>
      <c r="L802" s="1" t="str">
        <f>TEXT(Table1[[#This Row],[Purchase_Date]],"YYYY")</f>
        <v>2024</v>
      </c>
      <c r="M802" s="1" t="str">
        <f>TEXT(Table1[[#This Row],[Purchase_Date]],"MMM")</f>
        <v>Aug</v>
      </c>
      <c r="N802" s="1" t="str">
        <f>TEXT(Table1[[#This Row],[Purchase_Date]],"DD")</f>
        <v>16</v>
      </c>
      <c r="O802" s="2" t="s">
        <v>41</v>
      </c>
      <c r="P802" s="3">
        <v>9</v>
      </c>
      <c r="Q802" s="2" t="s">
        <v>23</v>
      </c>
      <c r="R802" s="2" t="s">
        <v>24</v>
      </c>
      <c r="S802">
        <f>Table1[[#This Row],[Purchase_Amount]]*Table1[[#This Row],[Quantity]]</f>
        <v>669.22</v>
      </c>
      <c r="T802" t="str">
        <f>IF(Table1[[#This Row],[Age]]&lt;25,"&lt;25",IF(Table1[[#This Row],[Age]]&lt;=35,"25-35",IF(Table1[[#This Row],[Age]]&lt;=50,"36-50","50+")))</f>
        <v>36-50</v>
      </c>
    </row>
    <row r="803" spans="1:20" x14ac:dyDescent="0.3">
      <c r="A803" s="2" t="s">
        <v>476</v>
      </c>
      <c r="B803" s="2" t="s">
        <v>16</v>
      </c>
      <c r="C803" s="3">
        <v>38</v>
      </c>
      <c r="D803" s="2" t="s">
        <v>38</v>
      </c>
      <c r="E803" s="2" t="s">
        <v>33</v>
      </c>
      <c r="F803" s="2" t="s">
        <v>44</v>
      </c>
      <c r="G803" t="s">
        <v>28</v>
      </c>
      <c r="H803" t="s">
        <v>477</v>
      </c>
      <c r="I803" s="4">
        <v>455.85</v>
      </c>
      <c r="J803" s="3">
        <v>2</v>
      </c>
      <c r="K803" s="1">
        <v>45132</v>
      </c>
      <c r="L803" s="1" t="str">
        <f>TEXT(Table1[[#This Row],[Purchase_Date]],"YYYY")</f>
        <v>2023</v>
      </c>
      <c r="M803" s="1" t="str">
        <f>TEXT(Table1[[#This Row],[Purchase_Date]],"MMM")</f>
        <v>Jul</v>
      </c>
      <c r="N803" s="1" t="str">
        <f>TEXT(Table1[[#This Row],[Purchase_Date]],"DD")</f>
        <v>25</v>
      </c>
      <c r="O803" s="2" t="s">
        <v>41</v>
      </c>
      <c r="P803" s="3">
        <v>5</v>
      </c>
      <c r="Q803" s="2" t="s">
        <v>23</v>
      </c>
      <c r="R803" s="2" t="s">
        <v>24</v>
      </c>
      <c r="S803">
        <f>Table1[[#This Row],[Purchase_Amount]]*Table1[[#This Row],[Quantity]]</f>
        <v>911.7</v>
      </c>
      <c r="T803" t="str">
        <f>IF(Table1[[#This Row],[Age]]&lt;25,"&lt;25",IF(Table1[[#This Row],[Age]]&lt;=35,"25-35",IF(Table1[[#This Row],[Age]]&lt;=50,"36-50","50+")))</f>
        <v>36-50</v>
      </c>
    </row>
    <row r="804" spans="1:20" x14ac:dyDescent="0.3">
      <c r="A804" s="2" t="s">
        <v>695</v>
      </c>
      <c r="B804" s="2" t="s">
        <v>16</v>
      </c>
      <c r="C804" s="3">
        <v>38</v>
      </c>
      <c r="D804" s="2" t="s">
        <v>78</v>
      </c>
      <c r="E804" s="2" t="s">
        <v>18</v>
      </c>
      <c r="F804" s="2" t="s">
        <v>27</v>
      </c>
      <c r="G804" t="s">
        <v>28</v>
      </c>
      <c r="H804" t="s">
        <v>175</v>
      </c>
      <c r="I804" s="4">
        <v>585.9</v>
      </c>
      <c r="J804" s="3">
        <v>1</v>
      </c>
      <c r="K804" s="1">
        <v>45127</v>
      </c>
      <c r="L804" s="1" t="str">
        <f>TEXT(Table1[[#This Row],[Purchase_Date]],"YYYY")</f>
        <v>2023</v>
      </c>
      <c r="M804" s="1" t="str">
        <f>TEXT(Table1[[#This Row],[Purchase_Date]],"MMM")</f>
        <v>Jul</v>
      </c>
      <c r="N804" s="1" t="str">
        <f>TEXT(Table1[[#This Row],[Purchase_Date]],"DD")</f>
        <v>20</v>
      </c>
      <c r="O804" s="2" t="s">
        <v>30</v>
      </c>
      <c r="P804" s="3">
        <v>4</v>
      </c>
      <c r="Q804" s="2" t="s">
        <v>46</v>
      </c>
      <c r="R804" s="2" t="s">
        <v>24</v>
      </c>
      <c r="S804">
        <f>Table1[[#This Row],[Purchase_Amount]]*Table1[[#This Row],[Quantity]]</f>
        <v>585.9</v>
      </c>
      <c r="T804" t="str">
        <f>IF(Table1[[#This Row],[Age]]&lt;25,"&lt;25",IF(Table1[[#This Row],[Age]]&lt;=35,"25-35",IF(Table1[[#This Row],[Age]]&lt;=50,"36-50","50+")))</f>
        <v>36-50</v>
      </c>
    </row>
    <row r="805" spans="1:20" x14ac:dyDescent="0.3">
      <c r="A805" s="2" t="s">
        <v>1208</v>
      </c>
      <c r="B805" s="2" t="s">
        <v>16</v>
      </c>
      <c r="C805" s="3">
        <v>41</v>
      </c>
      <c r="D805" s="2" t="s">
        <v>64</v>
      </c>
      <c r="E805" s="2" t="s">
        <v>49</v>
      </c>
      <c r="F805" s="2" t="s">
        <v>44</v>
      </c>
      <c r="G805" t="s">
        <v>28</v>
      </c>
      <c r="H805" t="s">
        <v>364</v>
      </c>
      <c r="I805" s="4">
        <v>192.41</v>
      </c>
      <c r="J805" s="3">
        <v>5</v>
      </c>
      <c r="K805" s="1">
        <v>45336</v>
      </c>
      <c r="L805" s="1" t="str">
        <f>TEXT(Table1[[#This Row],[Purchase_Date]],"YYYY")</f>
        <v>2024</v>
      </c>
      <c r="M805" s="1" t="str">
        <f>TEXT(Table1[[#This Row],[Purchase_Date]],"MMM")</f>
        <v>Feb</v>
      </c>
      <c r="N805" s="1" t="str">
        <f>TEXT(Table1[[#This Row],[Purchase_Date]],"DD")</f>
        <v>14</v>
      </c>
      <c r="O805" s="2" t="s">
        <v>30</v>
      </c>
      <c r="P805" s="3">
        <v>5</v>
      </c>
      <c r="Q805" s="2" t="s">
        <v>46</v>
      </c>
      <c r="R805" s="2" t="s">
        <v>24</v>
      </c>
      <c r="S805">
        <f>Table1[[#This Row],[Purchase_Amount]]*Table1[[#This Row],[Quantity]]</f>
        <v>962.05</v>
      </c>
      <c r="T805" t="str">
        <f>IF(Table1[[#This Row],[Age]]&lt;25,"&lt;25",IF(Table1[[#This Row],[Age]]&lt;=35,"25-35",IF(Table1[[#This Row],[Age]]&lt;=50,"36-50","50+")))</f>
        <v>36-50</v>
      </c>
    </row>
    <row r="806" spans="1:20" x14ac:dyDescent="0.3">
      <c r="A806" s="2" t="s">
        <v>791</v>
      </c>
      <c r="B806" s="2" t="s">
        <v>16</v>
      </c>
      <c r="C806" s="3">
        <v>43</v>
      </c>
      <c r="D806" s="2" t="s">
        <v>109</v>
      </c>
      <c r="E806" s="2" t="s">
        <v>18</v>
      </c>
      <c r="F806" s="2" t="s">
        <v>27</v>
      </c>
      <c r="G806" t="s">
        <v>28</v>
      </c>
      <c r="H806" t="s">
        <v>177</v>
      </c>
      <c r="I806" s="4">
        <v>668.09</v>
      </c>
      <c r="J806" s="3">
        <v>5</v>
      </c>
      <c r="K806" s="1">
        <v>45360</v>
      </c>
      <c r="L806" s="1" t="str">
        <f>TEXT(Table1[[#This Row],[Purchase_Date]],"YYYY")</f>
        <v>2024</v>
      </c>
      <c r="M806" s="1" t="str">
        <f>TEXT(Table1[[#This Row],[Purchase_Date]],"MMM")</f>
        <v>Mar</v>
      </c>
      <c r="N806" s="1" t="str">
        <f>TEXT(Table1[[#This Row],[Purchase_Date]],"DD")</f>
        <v>09</v>
      </c>
      <c r="O806" s="2" t="s">
        <v>36</v>
      </c>
      <c r="P806" s="3">
        <v>3</v>
      </c>
      <c r="Q806" s="2" t="s">
        <v>23</v>
      </c>
      <c r="R806" s="2" t="s">
        <v>24</v>
      </c>
      <c r="S806">
        <f>Table1[[#This Row],[Purchase_Amount]]*Table1[[#This Row],[Quantity]]</f>
        <v>3340.4500000000003</v>
      </c>
      <c r="T806" t="str">
        <f>IF(Table1[[#This Row],[Age]]&lt;25,"&lt;25",IF(Table1[[#This Row],[Age]]&lt;=35,"25-35",IF(Table1[[#This Row],[Age]]&lt;=50,"36-50","50+")))</f>
        <v>36-50</v>
      </c>
    </row>
    <row r="807" spans="1:20" x14ac:dyDescent="0.3">
      <c r="A807" s="2" t="s">
        <v>1011</v>
      </c>
      <c r="B807" s="2" t="s">
        <v>16</v>
      </c>
      <c r="C807" s="3">
        <v>44</v>
      </c>
      <c r="D807" s="2" t="s">
        <v>78</v>
      </c>
      <c r="E807" s="2" t="s">
        <v>18</v>
      </c>
      <c r="F807" s="2" t="s">
        <v>27</v>
      </c>
      <c r="G807" t="s">
        <v>28</v>
      </c>
      <c r="H807" t="s">
        <v>62</v>
      </c>
      <c r="I807" s="4">
        <v>225.41</v>
      </c>
      <c r="J807" s="3">
        <v>2</v>
      </c>
      <c r="K807" s="1">
        <v>45416</v>
      </c>
      <c r="L807" s="1" t="str">
        <f>TEXT(Table1[[#This Row],[Purchase_Date]],"YYYY")</f>
        <v>2024</v>
      </c>
      <c r="M807" s="1" t="str">
        <f>TEXT(Table1[[#This Row],[Purchase_Date]],"MMM")</f>
        <v>May</v>
      </c>
      <c r="N807" s="1" t="str">
        <f>TEXT(Table1[[#This Row],[Purchase_Date]],"DD")</f>
        <v>04</v>
      </c>
      <c r="O807" s="2" t="s">
        <v>36</v>
      </c>
      <c r="P807" s="3">
        <v>6</v>
      </c>
      <c r="Q807" s="2" t="s">
        <v>46</v>
      </c>
      <c r="R807" s="2" t="s">
        <v>24</v>
      </c>
      <c r="S807">
        <f>Table1[[#This Row],[Purchase_Amount]]*Table1[[#This Row],[Quantity]]</f>
        <v>450.82</v>
      </c>
      <c r="T807" t="str">
        <f>IF(Table1[[#This Row],[Age]]&lt;25,"&lt;25",IF(Table1[[#This Row],[Age]]&lt;=35,"25-35",IF(Table1[[#This Row],[Age]]&lt;=50,"36-50","50+")))</f>
        <v>36-50</v>
      </c>
    </row>
    <row r="808" spans="1:20" x14ac:dyDescent="0.3">
      <c r="A808" s="2" t="s">
        <v>454</v>
      </c>
      <c r="B808" s="2" t="s">
        <v>16</v>
      </c>
      <c r="C808" s="3">
        <v>44</v>
      </c>
      <c r="D808" s="2" t="s">
        <v>78</v>
      </c>
      <c r="E808" s="2" t="s">
        <v>49</v>
      </c>
      <c r="F808" s="2" t="s">
        <v>27</v>
      </c>
      <c r="G808" t="s">
        <v>28</v>
      </c>
      <c r="H808" t="s">
        <v>345</v>
      </c>
      <c r="I808" s="4">
        <v>358.13</v>
      </c>
      <c r="J808" s="3">
        <v>3</v>
      </c>
      <c r="K808" s="1">
        <v>45519</v>
      </c>
      <c r="L808" s="1" t="str">
        <f>TEXT(Table1[[#This Row],[Purchase_Date]],"YYYY")</f>
        <v>2024</v>
      </c>
      <c r="M808" s="1" t="str">
        <f>TEXT(Table1[[#This Row],[Purchase_Date]],"MMM")</f>
        <v>Aug</v>
      </c>
      <c r="N808" s="1" t="str">
        <f>TEXT(Table1[[#This Row],[Purchase_Date]],"DD")</f>
        <v>15</v>
      </c>
      <c r="O808" s="2" t="s">
        <v>36</v>
      </c>
      <c r="P808" s="3">
        <v>9</v>
      </c>
      <c r="Q808" s="2" t="s">
        <v>23</v>
      </c>
      <c r="R808" s="2" t="s">
        <v>24</v>
      </c>
      <c r="S808">
        <f>Table1[[#This Row],[Purchase_Amount]]*Table1[[#This Row],[Quantity]]</f>
        <v>1074.3899999999999</v>
      </c>
      <c r="T808" t="str">
        <f>IF(Table1[[#This Row],[Age]]&lt;25,"&lt;25",IF(Table1[[#This Row],[Age]]&lt;=35,"25-35",IF(Table1[[#This Row],[Age]]&lt;=50,"36-50","50+")))</f>
        <v>36-50</v>
      </c>
    </row>
    <row r="809" spans="1:20" x14ac:dyDescent="0.3">
      <c r="A809" s="2" t="s">
        <v>66</v>
      </c>
      <c r="B809" s="2" t="s">
        <v>16</v>
      </c>
      <c r="C809" s="3">
        <v>45</v>
      </c>
      <c r="D809" s="2" t="s">
        <v>43</v>
      </c>
      <c r="E809" s="2" t="s">
        <v>49</v>
      </c>
      <c r="F809" s="2" t="s">
        <v>19</v>
      </c>
      <c r="G809" t="s">
        <v>28</v>
      </c>
      <c r="H809" t="s">
        <v>67</v>
      </c>
      <c r="I809" s="4">
        <v>305.29000000000002</v>
      </c>
      <c r="J809" s="3">
        <v>4</v>
      </c>
      <c r="K809" s="1">
        <v>45560</v>
      </c>
      <c r="L809" s="1" t="str">
        <f>TEXT(Table1[[#This Row],[Purchase_Date]],"YYYY")</f>
        <v>2024</v>
      </c>
      <c r="M809" s="1" t="str">
        <f>TEXT(Table1[[#This Row],[Purchase_Date]],"MMM")</f>
        <v>Sep</v>
      </c>
      <c r="N809" s="1" t="str">
        <f>TEXT(Table1[[#This Row],[Purchase_Date]],"DD")</f>
        <v>25</v>
      </c>
      <c r="O809" s="2" t="s">
        <v>30</v>
      </c>
      <c r="P809" s="3">
        <v>9</v>
      </c>
      <c r="Q809" s="2" t="s">
        <v>23</v>
      </c>
      <c r="R809" s="2" t="s">
        <v>24</v>
      </c>
      <c r="S809">
        <f>Table1[[#This Row],[Purchase_Amount]]*Table1[[#This Row],[Quantity]]</f>
        <v>1221.1600000000001</v>
      </c>
      <c r="T809" t="str">
        <f>IF(Table1[[#This Row],[Age]]&lt;25,"&lt;25",IF(Table1[[#This Row],[Age]]&lt;=35,"25-35",IF(Table1[[#This Row],[Age]]&lt;=50,"36-50","50+")))</f>
        <v>36-50</v>
      </c>
    </row>
    <row r="810" spans="1:20" x14ac:dyDescent="0.3">
      <c r="A810" s="2" t="s">
        <v>1082</v>
      </c>
      <c r="B810" s="2" t="s">
        <v>16</v>
      </c>
      <c r="C810" s="3">
        <v>47</v>
      </c>
      <c r="D810" s="2" t="s">
        <v>17</v>
      </c>
      <c r="E810" s="2" t="s">
        <v>18</v>
      </c>
      <c r="F810" s="2" t="s">
        <v>27</v>
      </c>
      <c r="G810" t="s">
        <v>28</v>
      </c>
      <c r="H810" t="s">
        <v>351</v>
      </c>
      <c r="I810" s="4">
        <v>469.35</v>
      </c>
      <c r="J810" s="3">
        <v>3</v>
      </c>
      <c r="K810" s="1">
        <v>45046</v>
      </c>
      <c r="L810" s="1" t="str">
        <f>TEXT(Table1[[#This Row],[Purchase_Date]],"YYYY")</f>
        <v>2023</v>
      </c>
      <c r="M810" s="1" t="str">
        <f>TEXT(Table1[[#This Row],[Purchase_Date]],"MMM")</f>
        <v>Apr</v>
      </c>
      <c r="N810" s="1" t="str">
        <f>TEXT(Table1[[#This Row],[Purchase_Date]],"DD")</f>
        <v>30</v>
      </c>
      <c r="O810" s="2" t="s">
        <v>22</v>
      </c>
      <c r="P810" s="3">
        <v>5</v>
      </c>
      <c r="Q810" s="2" t="s">
        <v>23</v>
      </c>
      <c r="R810" s="2" t="s">
        <v>24</v>
      </c>
      <c r="S810">
        <f>Table1[[#This Row],[Purchase_Amount]]*Table1[[#This Row],[Quantity]]</f>
        <v>1408.0500000000002</v>
      </c>
      <c r="T810" t="str">
        <f>IF(Table1[[#This Row],[Age]]&lt;25,"&lt;25",IF(Table1[[#This Row],[Age]]&lt;=35,"25-35",IF(Table1[[#This Row],[Age]]&lt;=50,"36-50","50+")))</f>
        <v>36-50</v>
      </c>
    </row>
    <row r="811" spans="1:20" x14ac:dyDescent="0.3">
      <c r="A811" s="2" t="s">
        <v>587</v>
      </c>
      <c r="B811" s="2" t="s">
        <v>16</v>
      </c>
      <c r="C811" s="3">
        <v>48</v>
      </c>
      <c r="D811" s="2" t="s">
        <v>60</v>
      </c>
      <c r="E811" s="2" t="s">
        <v>49</v>
      </c>
      <c r="F811" s="2" t="s">
        <v>44</v>
      </c>
      <c r="G811" t="s">
        <v>28</v>
      </c>
      <c r="H811" t="s">
        <v>158</v>
      </c>
      <c r="I811" s="4">
        <v>627.15</v>
      </c>
      <c r="J811" s="3">
        <v>1</v>
      </c>
      <c r="K811" s="1">
        <v>44987</v>
      </c>
      <c r="L811" s="1" t="str">
        <f>TEXT(Table1[[#This Row],[Purchase_Date]],"YYYY")</f>
        <v>2023</v>
      </c>
      <c r="M811" s="1" t="str">
        <f>TEXT(Table1[[#This Row],[Purchase_Date]],"MMM")</f>
        <v>Mar</v>
      </c>
      <c r="N811" s="1" t="str">
        <f>TEXT(Table1[[#This Row],[Purchase_Date]],"DD")</f>
        <v>02</v>
      </c>
      <c r="O811" s="2" t="s">
        <v>22</v>
      </c>
      <c r="P811" s="3">
        <v>5</v>
      </c>
      <c r="Q811" s="2" t="s">
        <v>23</v>
      </c>
      <c r="R811" s="2" t="s">
        <v>47</v>
      </c>
      <c r="S811">
        <f>Table1[[#This Row],[Purchase_Amount]]*Table1[[#This Row],[Quantity]]</f>
        <v>627.15</v>
      </c>
      <c r="T811" t="str">
        <f>IF(Table1[[#This Row],[Age]]&lt;25,"&lt;25",IF(Table1[[#This Row],[Age]]&lt;=35,"25-35",IF(Table1[[#This Row],[Age]]&lt;=50,"36-50","50+")))</f>
        <v>36-50</v>
      </c>
    </row>
    <row r="812" spans="1:20" x14ac:dyDescent="0.3">
      <c r="A812" s="2" t="s">
        <v>244</v>
      </c>
      <c r="B812" s="2" t="s">
        <v>16</v>
      </c>
      <c r="C812" s="3">
        <v>49</v>
      </c>
      <c r="D812" s="2" t="s">
        <v>78</v>
      </c>
      <c r="E812" s="2" t="s">
        <v>18</v>
      </c>
      <c r="F812" s="2" t="s">
        <v>44</v>
      </c>
      <c r="G812" t="s">
        <v>28</v>
      </c>
      <c r="H812" t="s">
        <v>114</v>
      </c>
      <c r="I812" s="4">
        <v>383.1</v>
      </c>
      <c r="J812" s="3">
        <v>4</v>
      </c>
      <c r="K812" s="1">
        <v>45137</v>
      </c>
      <c r="L812" s="1" t="str">
        <f>TEXT(Table1[[#This Row],[Purchase_Date]],"YYYY")</f>
        <v>2023</v>
      </c>
      <c r="M812" s="1" t="str">
        <f>TEXT(Table1[[#This Row],[Purchase_Date]],"MMM")</f>
        <v>Jul</v>
      </c>
      <c r="N812" s="1" t="str">
        <f>TEXT(Table1[[#This Row],[Purchase_Date]],"DD")</f>
        <v>30</v>
      </c>
      <c r="O812" s="2" t="s">
        <v>36</v>
      </c>
      <c r="P812" s="3">
        <v>2</v>
      </c>
      <c r="Q812" s="2" t="s">
        <v>46</v>
      </c>
      <c r="R812" s="2" t="s">
        <v>24</v>
      </c>
      <c r="S812">
        <f>Table1[[#This Row],[Purchase_Amount]]*Table1[[#This Row],[Quantity]]</f>
        <v>1532.4</v>
      </c>
      <c r="T812" t="str">
        <f>IF(Table1[[#This Row],[Age]]&lt;25,"&lt;25",IF(Table1[[#This Row],[Age]]&lt;=35,"25-35",IF(Table1[[#This Row],[Age]]&lt;=50,"36-50","50+")))</f>
        <v>36-50</v>
      </c>
    </row>
    <row r="813" spans="1:20" x14ac:dyDescent="0.3">
      <c r="A813" s="2" t="s">
        <v>831</v>
      </c>
      <c r="B813" s="2" t="s">
        <v>16</v>
      </c>
      <c r="C813" s="3">
        <v>52</v>
      </c>
      <c r="D813" s="2" t="s">
        <v>43</v>
      </c>
      <c r="E813" s="2" t="s">
        <v>33</v>
      </c>
      <c r="F813" s="2" t="s">
        <v>44</v>
      </c>
      <c r="G813" t="s">
        <v>28</v>
      </c>
      <c r="H813" t="s">
        <v>832</v>
      </c>
      <c r="I813" s="4">
        <v>859.28</v>
      </c>
      <c r="J813" s="3">
        <v>5</v>
      </c>
      <c r="K813" s="1">
        <v>45473</v>
      </c>
      <c r="L813" s="1" t="str">
        <f>TEXT(Table1[[#This Row],[Purchase_Date]],"YYYY")</f>
        <v>2024</v>
      </c>
      <c r="M813" s="1" t="str">
        <f>TEXT(Table1[[#This Row],[Purchase_Date]],"MMM")</f>
        <v>Jun</v>
      </c>
      <c r="N813" s="1" t="str">
        <f>TEXT(Table1[[#This Row],[Purchase_Date]],"DD")</f>
        <v>30</v>
      </c>
      <c r="O813" s="2" t="s">
        <v>22</v>
      </c>
      <c r="P813" s="3">
        <v>10</v>
      </c>
      <c r="Q813" s="2" t="s">
        <v>46</v>
      </c>
      <c r="R813" s="2" t="s">
        <v>24</v>
      </c>
      <c r="S813">
        <f>Table1[[#This Row],[Purchase_Amount]]*Table1[[#This Row],[Quantity]]</f>
        <v>4296.3999999999996</v>
      </c>
      <c r="T813" t="str">
        <f>IF(Table1[[#This Row],[Age]]&lt;25,"&lt;25",IF(Table1[[#This Row],[Age]]&lt;=35,"25-35",IF(Table1[[#This Row],[Age]]&lt;=50,"36-50","50+")))</f>
        <v>50+</v>
      </c>
    </row>
    <row r="814" spans="1:20" x14ac:dyDescent="0.3">
      <c r="A814" s="2" t="s">
        <v>839</v>
      </c>
      <c r="B814" s="2" t="s">
        <v>16</v>
      </c>
      <c r="C814" s="3">
        <v>57</v>
      </c>
      <c r="D814" s="2" t="s">
        <v>32</v>
      </c>
      <c r="E814" s="2" t="s">
        <v>18</v>
      </c>
      <c r="F814" s="2" t="s">
        <v>27</v>
      </c>
      <c r="G814" t="s">
        <v>28</v>
      </c>
      <c r="H814" t="s">
        <v>764</v>
      </c>
      <c r="I814" s="4">
        <v>235.21</v>
      </c>
      <c r="J814" s="3">
        <v>4</v>
      </c>
      <c r="K814" s="1">
        <v>45288</v>
      </c>
      <c r="L814" s="1" t="str">
        <f>TEXT(Table1[[#This Row],[Purchase_Date]],"YYYY")</f>
        <v>2023</v>
      </c>
      <c r="M814" s="1" t="str">
        <f>TEXT(Table1[[#This Row],[Purchase_Date]],"MMM")</f>
        <v>Dec</v>
      </c>
      <c r="N814" s="1" t="str">
        <f>TEXT(Table1[[#This Row],[Purchase_Date]],"DD")</f>
        <v>28</v>
      </c>
      <c r="O814" s="2" t="s">
        <v>22</v>
      </c>
      <c r="P814" s="3">
        <v>7</v>
      </c>
      <c r="Q814" s="2" t="s">
        <v>23</v>
      </c>
      <c r="R814" s="2" t="s">
        <v>47</v>
      </c>
      <c r="S814">
        <f>Table1[[#This Row],[Purchase_Amount]]*Table1[[#This Row],[Quantity]]</f>
        <v>940.84</v>
      </c>
      <c r="T814" t="str">
        <f>IF(Table1[[#This Row],[Age]]&lt;25,"&lt;25",IF(Table1[[#This Row],[Age]]&lt;=35,"25-35",IF(Table1[[#This Row],[Age]]&lt;=50,"36-50","50+")))</f>
        <v>50+</v>
      </c>
    </row>
    <row r="815" spans="1:20" x14ac:dyDescent="0.3">
      <c r="A815" s="2" t="s">
        <v>744</v>
      </c>
      <c r="B815" s="2" t="s">
        <v>16</v>
      </c>
      <c r="C815" s="3">
        <v>60</v>
      </c>
      <c r="D815" s="2" t="s">
        <v>78</v>
      </c>
      <c r="E815" s="2" t="s">
        <v>33</v>
      </c>
      <c r="F815" s="2" t="s">
        <v>44</v>
      </c>
      <c r="G815" t="s">
        <v>28</v>
      </c>
      <c r="H815" t="s">
        <v>110</v>
      </c>
      <c r="I815" s="4">
        <v>938.8</v>
      </c>
      <c r="J815" s="3">
        <v>3</v>
      </c>
      <c r="K815" s="1">
        <v>45228</v>
      </c>
      <c r="L815" s="1" t="str">
        <f>TEXT(Table1[[#This Row],[Purchase_Date]],"YYYY")</f>
        <v>2023</v>
      </c>
      <c r="M815" s="1" t="str">
        <f>TEXT(Table1[[#This Row],[Purchase_Date]],"MMM")</f>
        <v>Oct</v>
      </c>
      <c r="N815" s="1" t="str">
        <f>TEXT(Table1[[#This Row],[Purchase_Date]],"DD")</f>
        <v>29</v>
      </c>
      <c r="O815" s="2" t="s">
        <v>22</v>
      </c>
      <c r="P815" s="3">
        <v>7</v>
      </c>
      <c r="Q815" s="2" t="s">
        <v>46</v>
      </c>
      <c r="R815" s="2" t="s">
        <v>47</v>
      </c>
      <c r="S815">
        <f>Table1[[#This Row],[Purchase_Amount]]*Table1[[#This Row],[Quantity]]</f>
        <v>2816.3999999999996</v>
      </c>
      <c r="T815" t="str">
        <f>IF(Table1[[#This Row],[Age]]&lt;25,"&lt;25",IF(Table1[[#This Row],[Age]]&lt;=35,"25-35",IF(Table1[[#This Row],[Age]]&lt;=50,"36-50","50+")))</f>
        <v>50+</v>
      </c>
    </row>
    <row r="816" spans="1:20" x14ac:dyDescent="0.3">
      <c r="A816" s="2" t="s">
        <v>432</v>
      </c>
      <c r="B816" s="2" t="s">
        <v>16</v>
      </c>
      <c r="C816" s="3">
        <v>64</v>
      </c>
      <c r="D816" s="2" t="s">
        <v>60</v>
      </c>
      <c r="E816" s="2" t="s">
        <v>18</v>
      </c>
      <c r="F816" s="2" t="s">
        <v>44</v>
      </c>
      <c r="G816" t="s">
        <v>28</v>
      </c>
      <c r="H816" t="s">
        <v>269</v>
      </c>
      <c r="I816" s="4">
        <v>378.36</v>
      </c>
      <c r="J816" s="3">
        <v>4</v>
      </c>
      <c r="K816" s="1">
        <v>45334</v>
      </c>
      <c r="L816" s="1" t="str">
        <f>TEXT(Table1[[#This Row],[Purchase_Date]],"YYYY")</f>
        <v>2024</v>
      </c>
      <c r="M816" s="1" t="str">
        <f>TEXT(Table1[[#This Row],[Purchase_Date]],"MMM")</f>
        <v>Feb</v>
      </c>
      <c r="N816" s="1" t="str">
        <f>TEXT(Table1[[#This Row],[Purchase_Date]],"DD")</f>
        <v>12</v>
      </c>
      <c r="O816" s="2" t="s">
        <v>41</v>
      </c>
      <c r="P816" s="3">
        <v>6</v>
      </c>
      <c r="Q816" s="2" t="s">
        <v>23</v>
      </c>
      <c r="R816" s="2" t="s">
        <v>47</v>
      </c>
      <c r="S816">
        <f>Table1[[#This Row],[Purchase_Amount]]*Table1[[#This Row],[Quantity]]</f>
        <v>1513.44</v>
      </c>
      <c r="T816" t="str">
        <f>IF(Table1[[#This Row],[Age]]&lt;25,"&lt;25",IF(Table1[[#This Row],[Age]]&lt;=35,"25-35",IF(Table1[[#This Row],[Age]]&lt;=50,"36-50","50+")))</f>
        <v>50+</v>
      </c>
    </row>
    <row r="817" spans="1:20" x14ac:dyDescent="0.3">
      <c r="A817" s="2" t="s">
        <v>339</v>
      </c>
      <c r="B817" s="2" t="s">
        <v>16</v>
      </c>
      <c r="C817" s="3">
        <v>64</v>
      </c>
      <c r="D817" s="2" t="s">
        <v>64</v>
      </c>
      <c r="E817" s="2" t="s">
        <v>33</v>
      </c>
      <c r="F817" s="2" t="s">
        <v>27</v>
      </c>
      <c r="G817" t="s">
        <v>28</v>
      </c>
      <c r="H817" t="s">
        <v>314</v>
      </c>
      <c r="I817" s="4">
        <v>948.3</v>
      </c>
      <c r="J817" s="3">
        <v>2</v>
      </c>
      <c r="K817" s="1">
        <v>45311</v>
      </c>
      <c r="L817" s="1" t="str">
        <f>TEXT(Table1[[#This Row],[Purchase_Date]],"YYYY")</f>
        <v>2024</v>
      </c>
      <c r="M817" s="1" t="str">
        <f>TEXT(Table1[[#This Row],[Purchase_Date]],"MMM")</f>
        <v>Jan</v>
      </c>
      <c r="N817" s="1" t="str">
        <f>TEXT(Table1[[#This Row],[Purchase_Date]],"DD")</f>
        <v>20</v>
      </c>
      <c r="O817" s="2" t="s">
        <v>36</v>
      </c>
      <c r="P817" s="3">
        <v>7</v>
      </c>
      <c r="Q817" s="2" t="s">
        <v>46</v>
      </c>
      <c r="R817" s="2" t="s">
        <v>47</v>
      </c>
      <c r="S817">
        <f>Table1[[#This Row],[Purchase_Amount]]*Table1[[#This Row],[Quantity]]</f>
        <v>1896.6</v>
      </c>
      <c r="T817" t="str">
        <f>IF(Table1[[#This Row],[Age]]&lt;25,"&lt;25",IF(Table1[[#This Row],[Age]]&lt;=35,"25-35",IF(Table1[[#This Row],[Age]]&lt;=50,"36-50","50+")))</f>
        <v>50+</v>
      </c>
    </row>
    <row r="818" spans="1:20" x14ac:dyDescent="0.3">
      <c r="A818" s="2" t="s">
        <v>116</v>
      </c>
      <c r="B818" s="2" t="s">
        <v>16</v>
      </c>
      <c r="C818" s="3">
        <v>66</v>
      </c>
      <c r="D818" s="2" t="s">
        <v>43</v>
      </c>
      <c r="E818" s="2" t="s">
        <v>33</v>
      </c>
      <c r="F818" s="2" t="s">
        <v>19</v>
      </c>
      <c r="G818" t="s">
        <v>28</v>
      </c>
      <c r="H818" t="s">
        <v>117</v>
      </c>
      <c r="I818" s="4">
        <v>822.05</v>
      </c>
      <c r="J818" s="3">
        <v>2</v>
      </c>
      <c r="K818" s="1">
        <v>45351</v>
      </c>
      <c r="L818" s="1" t="str">
        <f>TEXT(Table1[[#This Row],[Purchase_Date]],"YYYY")</f>
        <v>2024</v>
      </c>
      <c r="M818" s="1" t="str">
        <f>TEXT(Table1[[#This Row],[Purchase_Date]],"MMM")</f>
        <v>Feb</v>
      </c>
      <c r="N818" s="1" t="str">
        <f>TEXT(Table1[[#This Row],[Purchase_Date]],"DD")</f>
        <v>29</v>
      </c>
      <c r="O818" s="2" t="s">
        <v>41</v>
      </c>
      <c r="P818" s="3">
        <v>9</v>
      </c>
      <c r="Q818" s="2" t="s">
        <v>23</v>
      </c>
      <c r="R818" s="2" t="s">
        <v>24</v>
      </c>
      <c r="S818">
        <f>Table1[[#This Row],[Purchase_Amount]]*Table1[[#This Row],[Quantity]]</f>
        <v>1644.1</v>
      </c>
      <c r="T818" t="str">
        <f>IF(Table1[[#This Row],[Age]]&lt;25,"&lt;25",IF(Table1[[#This Row],[Age]]&lt;=35,"25-35",IF(Table1[[#This Row],[Age]]&lt;=50,"36-50","50+")))</f>
        <v>50+</v>
      </c>
    </row>
    <row r="819" spans="1:20" x14ac:dyDescent="0.3">
      <c r="A819" s="2" t="s">
        <v>15</v>
      </c>
      <c r="B819" s="2" t="s">
        <v>16</v>
      </c>
      <c r="C819" s="3">
        <v>20</v>
      </c>
      <c r="D819" s="2" t="s">
        <v>17</v>
      </c>
      <c r="E819" s="2" t="s">
        <v>18</v>
      </c>
      <c r="F819" s="2" t="s">
        <v>19</v>
      </c>
      <c r="G819" t="s">
        <v>20</v>
      </c>
      <c r="H819" t="s">
        <v>21</v>
      </c>
      <c r="I819" s="4">
        <v>728.12</v>
      </c>
      <c r="J819" s="3">
        <v>1</v>
      </c>
      <c r="K819" s="1">
        <v>45039</v>
      </c>
      <c r="L819" s="1" t="str">
        <f>TEXT(Table1[[#This Row],[Purchase_Date]],"YYYY")</f>
        <v>2023</v>
      </c>
      <c r="M819" s="1" t="str">
        <f>TEXT(Table1[[#This Row],[Purchase_Date]],"MMM")</f>
        <v>Apr</v>
      </c>
      <c r="N819" s="1" t="str">
        <f>TEXT(Table1[[#This Row],[Purchase_Date]],"DD")</f>
        <v>23</v>
      </c>
      <c r="O819" s="2" t="s">
        <v>22</v>
      </c>
      <c r="P819" s="3">
        <v>7</v>
      </c>
      <c r="Q819" s="2" t="s">
        <v>23</v>
      </c>
      <c r="R819" s="2" t="s">
        <v>24</v>
      </c>
      <c r="S819">
        <f>Table1[[#This Row],[Purchase_Amount]]*Table1[[#This Row],[Quantity]]</f>
        <v>728.12</v>
      </c>
      <c r="T819" t="str">
        <f>IF(Table1[[#This Row],[Age]]&lt;25,"&lt;25",IF(Table1[[#This Row],[Age]]&lt;=35,"25-35",IF(Table1[[#This Row],[Age]]&lt;=50,"36-50","50+")))</f>
        <v>&lt;25</v>
      </c>
    </row>
    <row r="820" spans="1:20" x14ac:dyDescent="0.3">
      <c r="A820" s="2" t="s">
        <v>936</v>
      </c>
      <c r="B820" s="2" t="s">
        <v>16</v>
      </c>
      <c r="C820" s="3">
        <v>20</v>
      </c>
      <c r="D820" s="2" t="s">
        <v>38</v>
      </c>
      <c r="E820" s="2" t="s">
        <v>33</v>
      </c>
      <c r="F820" s="2" t="s">
        <v>44</v>
      </c>
      <c r="G820" t="s">
        <v>20</v>
      </c>
      <c r="H820" t="s">
        <v>227</v>
      </c>
      <c r="I820" s="4">
        <v>774.43</v>
      </c>
      <c r="J820" s="3">
        <v>2</v>
      </c>
      <c r="K820" s="1">
        <v>45129</v>
      </c>
      <c r="L820" s="1" t="str">
        <f>TEXT(Table1[[#This Row],[Purchase_Date]],"YYYY")</f>
        <v>2023</v>
      </c>
      <c r="M820" s="1" t="str">
        <f>TEXT(Table1[[#This Row],[Purchase_Date]],"MMM")</f>
        <v>Jul</v>
      </c>
      <c r="N820" s="1" t="str">
        <f>TEXT(Table1[[#This Row],[Purchase_Date]],"DD")</f>
        <v>22</v>
      </c>
      <c r="O820" s="2" t="s">
        <v>36</v>
      </c>
      <c r="P820" s="3">
        <v>3</v>
      </c>
      <c r="Q820" s="2" t="s">
        <v>23</v>
      </c>
      <c r="R820" s="2" t="s">
        <v>24</v>
      </c>
      <c r="S820">
        <f>Table1[[#This Row],[Purchase_Amount]]*Table1[[#This Row],[Quantity]]</f>
        <v>1548.86</v>
      </c>
      <c r="T820" t="str">
        <f>IF(Table1[[#This Row],[Age]]&lt;25,"&lt;25",IF(Table1[[#This Row],[Age]]&lt;=35,"25-35",IF(Table1[[#This Row],[Age]]&lt;=50,"36-50","50+")))</f>
        <v>&lt;25</v>
      </c>
    </row>
    <row r="821" spans="1:20" x14ac:dyDescent="0.3">
      <c r="A821" s="2" t="s">
        <v>1091</v>
      </c>
      <c r="B821" s="2" t="s">
        <v>16</v>
      </c>
      <c r="C821" s="3">
        <v>21</v>
      </c>
      <c r="D821" s="2" t="s">
        <v>78</v>
      </c>
      <c r="E821" s="2" t="s">
        <v>49</v>
      </c>
      <c r="F821" s="2" t="s">
        <v>44</v>
      </c>
      <c r="G821" t="s">
        <v>20</v>
      </c>
      <c r="H821" t="s">
        <v>198</v>
      </c>
      <c r="I821" s="4">
        <v>122.83</v>
      </c>
      <c r="J821" s="3">
        <v>4</v>
      </c>
      <c r="K821" s="1">
        <v>45074</v>
      </c>
      <c r="L821" s="1" t="str">
        <f>TEXT(Table1[[#This Row],[Purchase_Date]],"YYYY")</f>
        <v>2023</v>
      </c>
      <c r="M821" s="1" t="str">
        <f>TEXT(Table1[[#This Row],[Purchase_Date]],"MMM")</f>
        <v>May</v>
      </c>
      <c r="N821" s="1" t="str">
        <f>TEXT(Table1[[#This Row],[Purchase_Date]],"DD")</f>
        <v>28</v>
      </c>
      <c r="O821" s="2" t="s">
        <v>36</v>
      </c>
      <c r="P821" s="3">
        <v>9</v>
      </c>
      <c r="Q821" s="2" t="s">
        <v>23</v>
      </c>
      <c r="R821" s="2" t="s">
        <v>24</v>
      </c>
      <c r="S821">
        <f>Table1[[#This Row],[Purchase_Amount]]*Table1[[#This Row],[Quantity]]</f>
        <v>491.32</v>
      </c>
      <c r="T821" t="str">
        <f>IF(Table1[[#This Row],[Age]]&lt;25,"&lt;25",IF(Table1[[#This Row],[Age]]&lt;=35,"25-35",IF(Table1[[#This Row],[Age]]&lt;=50,"36-50","50+")))</f>
        <v>&lt;25</v>
      </c>
    </row>
    <row r="822" spans="1:20" x14ac:dyDescent="0.3">
      <c r="A822" s="2" t="s">
        <v>580</v>
      </c>
      <c r="B822" s="2" t="s">
        <v>16</v>
      </c>
      <c r="C822" s="3">
        <v>21</v>
      </c>
      <c r="D822" s="2" t="s">
        <v>43</v>
      </c>
      <c r="E822" s="2" t="s">
        <v>49</v>
      </c>
      <c r="F822" s="2" t="s">
        <v>27</v>
      </c>
      <c r="G822" t="s">
        <v>20</v>
      </c>
      <c r="H822" t="s">
        <v>328</v>
      </c>
      <c r="I822" s="4">
        <v>923.38</v>
      </c>
      <c r="J822" s="3">
        <v>2</v>
      </c>
      <c r="K822" s="1">
        <v>44934</v>
      </c>
      <c r="L822" s="1" t="str">
        <f>TEXT(Table1[[#This Row],[Purchase_Date]],"YYYY")</f>
        <v>2023</v>
      </c>
      <c r="M822" s="1" t="str">
        <f>TEXT(Table1[[#This Row],[Purchase_Date]],"MMM")</f>
        <v>Jan</v>
      </c>
      <c r="N822" s="1" t="str">
        <f>TEXT(Table1[[#This Row],[Purchase_Date]],"DD")</f>
        <v>08</v>
      </c>
      <c r="O822" s="2" t="s">
        <v>22</v>
      </c>
      <c r="P822" s="3">
        <v>6</v>
      </c>
      <c r="Q822" s="2" t="s">
        <v>23</v>
      </c>
      <c r="R822" s="2" t="s">
        <v>47</v>
      </c>
      <c r="S822">
        <f>Table1[[#This Row],[Purchase_Amount]]*Table1[[#This Row],[Quantity]]</f>
        <v>1846.76</v>
      </c>
      <c r="T822" t="str">
        <f>IF(Table1[[#This Row],[Age]]&lt;25,"&lt;25",IF(Table1[[#This Row],[Age]]&lt;=35,"25-35",IF(Table1[[#This Row],[Age]]&lt;=50,"36-50","50+")))</f>
        <v>&lt;25</v>
      </c>
    </row>
    <row r="823" spans="1:20" x14ac:dyDescent="0.3">
      <c r="A823" s="2" t="s">
        <v>337</v>
      </c>
      <c r="B823" s="2" t="s">
        <v>16</v>
      </c>
      <c r="C823" s="3">
        <v>22</v>
      </c>
      <c r="D823" s="2" t="s">
        <v>32</v>
      </c>
      <c r="E823" s="2" t="s">
        <v>33</v>
      </c>
      <c r="F823" s="2" t="s">
        <v>44</v>
      </c>
      <c r="G823" t="s">
        <v>20</v>
      </c>
      <c r="H823" t="s">
        <v>134</v>
      </c>
      <c r="I823" s="4">
        <v>187.3</v>
      </c>
      <c r="J823" s="3">
        <v>5</v>
      </c>
      <c r="K823" s="1">
        <v>45391</v>
      </c>
      <c r="L823" s="1" t="str">
        <f>TEXT(Table1[[#This Row],[Purchase_Date]],"YYYY")</f>
        <v>2024</v>
      </c>
      <c r="M823" s="1" t="str">
        <f>TEXT(Table1[[#This Row],[Purchase_Date]],"MMM")</f>
        <v>Apr</v>
      </c>
      <c r="N823" s="1" t="str">
        <f>TEXT(Table1[[#This Row],[Purchase_Date]],"DD")</f>
        <v>09</v>
      </c>
      <c r="O823" s="2" t="s">
        <v>30</v>
      </c>
      <c r="P823" s="3">
        <v>7</v>
      </c>
      <c r="Q823" s="2" t="s">
        <v>23</v>
      </c>
      <c r="R823" s="2" t="s">
        <v>47</v>
      </c>
      <c r="S823">
        <f>Table1[[#This Row],[Purchase_Amount]]*Table1[[#This Row],[Quantity]]</f>
        <v>936.5</v>
      </c>
      <c r="T823" t="str">
        <f>IF(Table1[[#This Row],[Age]]&lt;25,"&lt;25",IF(Table1[[#This Row],[Age]]&lt;=35,"25-35",IF(Table1[[#This Row],[Age]]&lt;=50,"36-50","50+")))</f>
        <v>&lt;25</v>
      </c>
    </row>
    <row r="824" spans="1:20" x14ac:dyDescent="0.3">
      <c r="A824" s="2" t="s">
        <v>102</v>
      </c>
      <c r="B824" s="2" t="s">
        <v>16</v>
      </c>
      <c r="C824" s="3">
        <v>22</v>
      </c>
      <c r="D824" s="2" t="s">
        <v>38</v>
      </c>
      <c r="E824" s="2" t="s">
        <v>33</v>
      </c>
      <c r="F824" s="2" t="s">
        <v>27</v>
      </c>
      <c r="G824" t="s">
        <v>20</v>
      </c>
      <c r="H824" t="s">
        <v>103</v>
      </c>
      <c r="I824" s="4">
        <v>257.47000000000003</v>
      </c>
      <c r="J824" s="3">
        <v>3</v>
      </c>
      <c r="K824" s="1">
        <v>45125</v>
      </c>
      <c r="L824" s="1" t="str">
        <f>TEXT(Table1[[#This Row],[Purchase_Date]],"YYYY")</f>
        <v>2023</v>
      </c>
      <c r="M824" s="1" t="str">
        <f>TEXT(Table1[[#This Row],[Purchase_Date]],"MMM")</f>
        <v>Jul</v>
      </c>
      <c r="N824" s="1" t="str">
        <f>TEXT(Table1[[#This Row],[Purchase_Date]],"DD")</f>
        <v>18</v>
      </c>
      <c r="O824" s="2" t="s">
        <v>36</v>
      </c>
      <c r="P824" s="3">
        <v>4</v>
      </c>
      <c r="Q824" s="2" t="s">
        <v>23</v>
      </c>
      <c r="R824" s="2" t="s">
        <v>24</v>
      </c>
      <c r="S824">
        <f>Table1[[#This Row],[Purchase_Amount]]*Table1[[#This Row],[Quantity]]</f>
        <v>772.41000000000008</v>
      </c>
      <c r="T824" t="str">
        <f>IF(Table1[[#This Row],[Age]]&lt;25,"&lt;25",IF(Table1[[#This Row],[Age]]&lt;=35,"25-35",IF(Table1[[#This Row],[Age]]&lt;=50,"36-50","50+")))</f>
        <v>&lt;25</v>
      </c>
    </row>
    <row r="825" spans="1:20" x14ac:dyDescent="0.3">
      <c r="A825" s="2" t="s">
        <v>617</v>
      </c>
      <c r="B825" s="2" t="s">
        <v>16</v>
      </c>
      <c r="C825" s="3">
        <v>22</v>
      </c>
      <c r="D825" s="2" t="s">
        <v>64</v>
      </c>
      <c r="E825" s="2" t="s">
        <v>49</v>
      </c>
      <c r="F825" s="2" t="s">
        <v>19</v>
      </c>
      <c r="G825" t="s">
        <v>20</v>
      </c>
      <c r="H825" t="s">
        <v>520</v>
      </c>
      <c r="I825" s="4">
        <v>743.26</v>
      </c>
      <c r="J825" s="3">
        <v>5</v>
      </c>
      <c r="K825" s="1">
        <v>45291</v>
      </c>
      <c r="L825" s="1" t="str">
        <f>TEXT(Table1[[#This Row],[Purchase_Date]],"YYYY")</f>
        <v>2023</v>
      </c>
      <c r="M825" s="1" t="str">
        <f>TEXT(Table1[[#This Row],[Purchase_Date]],"MMM")</f>
        <v>Dec</v>
      </c>
      <c r="N825" s="1" t="str">
        <f>TEXT(Table1[[#This Row],[Purchase_Date]],"DD")</f>
        <v>31</v>
      </c>
      <c r="O825" s="2" t="s">
        <v>22</v>
      </c>
      <c r="P825" s="3">
        <v>6</v>
      </c>
      <c r="Q825" s="2" t="s">
        <v>46</v>
      </c>
      <c r="R825" s="2" t="s">
        <v>24</v>
      </c>
      <c r="S825">
        <f>Table1[[#This Row],[Purchase_Amount]]*Table1[[#This Row],[Quantity]]</f>
        <v>3716.3</v>
      </c>
      <c r="T825" t="str">
        <f>IF(Table1[[#This Row],[Age]]&lt;25,"&lt;25",IF(Table1[[#This Row],[Age]]&lt;=35,"25-35",IF(Table1[[#This Row],[Age]]&lt;=50,"36-50","50+")))</f>
        <v>&lt;25</v>
      </c>
    </row>
    <row r="826" spans="1:20" x14ac:dyDescent="0.3">
      <c r="A826" s="2" t="s">
        <v>1115</v>
      </c>
      <c r="B826" s="2" t="s">
        <v>16</v>
      </c>
      <c r="C826" s="3">
        <v>23</v>
      </c>
      <c r="D826" s="2" t="s">
        <v>78</v>
      </c>
      <c r="E826" s="2" t="s">
        <v>49</v>
      </c>
      <c r="F826" s="2" t="s">
        <v>27</v>
      </c>
      <c r="G826" t="s">
        <v>20</v>
      </c>
      <c r="H826" t="s">
        <v>243</v>
      </c>
      <c r="I826" s="4">
        <v>869.32</v>
      </c>
      <c r="J826" s="3">
        <v>1</v>
      </c>
      <c r="K826" s="1">
        <v>45226</v>
      </c>
      <c r="L826" s="1" t="str">
        <f>TEXT(Table1[[#This Row],[Purchase_Date]],"YYYY")</f>
        <v>2023</v>
      </c>
      <c r="M826" s="1" t="str">
        <f>TEXT(Table1[[#This Row],[Purchase_Date]],"MMM")</f>
        <v>Oct</v>
      </c>
      <c r="N826" s="1" t="str">
        <f>TEXT(Table1[[#This Row],[Purchase_Date]],"DD")</f>
        <v>27</v>
      </c>
      <c r="O826" s="2" t="s">
        <v>41</v>
      </c>
      <c r="P826" s="3">
        <v>7</v>
      </c>
      <c r="Q826" s="2" t="s">
        <v>23</v>
      </c>
      <c r="R826" s="2" t="s">
        <v>47</v>
      </c>
      <c r="S826">
        <f>Table1[[#This Row],[Purchase_Amount]]*Table1[[#This Row],[Quantity]]</f>
        <v>869.32</v>
      </c>
      <c r="T826" t="str">
        <f>IF(Table1[[#This Row],[Age]]&lt;25,"&lt;25",IF(Table1[[#This Row],[Age]]&lt;=35,"25-35",IF(Table1[[#This Row],[Age]]&lt;=50,"36-50","50+")))</f>
        <v>&lt;25</v>
      </c>
    </row>
    <row r="827" spans="1:20" x14ac:dyDescent="0.3">
      <c r="A827" s="2" t="s">
        <v>689</v>
      </c>
      <c r="B827" s="2" t="s">
        <v>16</v>
      </c>
      <c r="C827" s="3">
        <v>24</v>
      </c>
      <c r="D827" s="2" t="s">
        <v>78</v>
      </c>
      <c r="E827" s="2" t="s">
        <v>18</v>
      </c>
      <c r="F827" s="2" t="s">
        <v>19</v>
      </c>
      <c r="G827" t="s">
        <v>20</v>
      </c>
      <c r="H827" t="s">
        <v>289</v>
      </c>
      <c r="I827" s="4">
        <v>88.92</v>
      </c>
      <c r="J827" s="3">
        <v>5</v>
      </c>
      <c r="K827" s="1">
        <v>45063</v>
      </c>
      <c r="L827" s="1" t="str">
        <f>TEXT(Table1[[#This Row],[Purchase_Date]],"YYYY")</f>
        <v>2023</v>
      </c>
      <c r="M827" s="1" t="str">
        <f>TEXT(Table1[[#This Row],[Purchase_Date]],"MMM")</f>
        <v>May</v>
      </c>
      <c r="N827" s="1" t="str">
        <f>TEXT(Table1[[#This Row],[Purchase_Date]],"DD")</f>
        <v>17</v>
      </c>
      <c r="O827" s="2" t="s">
        <v>22</v>
      </c>
      <c r="P827" s="3">
        <v>5</v>
      </c>
      <c r="Q827" s="2" t="s">
        <v>46</v>
      </c>
      <c r="R827" s="2" t="s">
        <v>24</v>
      </c>
      <c r="S827">
        <f>Table1[[#This Row],[Purchase_Amount]]*Table1[[#This Row],[Quantity]]</f>
        <v>444.6</v>
      </c>
      <c r="T827" t="str">
        <f>IF(Table1[[#This Row],[Age]]&lt;25,"&lt;25",IF(Table1[[#This Row],[Age]]&lt;=35,"25-35",IF(Table1[[#This Row],[Age]]&lt;=50,"36-50","50+")))</f>
        <v>&lt;25</v>
      </c>
    </row>
    <row r="828" spans="1:20" x14ac:dyDescent="0.3">
      <c r="A828" s="2" t="s">
        <v>559</v>
      </c>
      <c r="B828" s="2" t="s">
        <v>16</v>
      </c>
      <c r="C828" s="3">
        <v>25</v>
      </c>
      <c r="D828" s="2" t="s">
        <v>43</v>
      </c>
      <c r="E828" s="2" t="s">
        <v>49</v>
      </c>
      <c r="F828" s="2" t="s">
        <v>44</v>
      </c>
      <c r="G828" t="s">
        <v>20</v>
      </c>
      <c r="H828" t="s">
        <v>129</v>
      </c>
      <c r="I828" s="4">
        <v>441.04</v>
      </c>
      <c r="J828" s="3">
        <v>5</v>
      </c>
      <c r="K828" s="1">
        <v>45272</v>
      </c>
      <c r="L828" s="1" t="str">
        <f>TEXT(Table1[[#This Row],[Purchase_Date]],"YYYY")</f>
        <v>2023</v>
      </c>
      <c r="M828" s="1" t="str">
        <f>TEXT(Table1[[#This Row],[Purchase_Date]],"MMM")</f>
        <v>Dec</v>
      </c>
      <c r="N828" s="1" t="str">
        <f>TEXT(Table1[[#This Row],[Purchase_Date]],"DD")</f>
        <v>12</v>
      </c>
      <c r="O828" s="2" t="s">
        <v>30</v>
      </c>
      <c r="P828" s="3">
        <v>4</v>
      </c>
      <c r="Q828" s="2" t="s">
        <v>46</v>
      </c>
      <c r="R828" s="2" t="s">
        <v>47</v>
      </c>
      <c r="S828">
        <f>Table1[[#This Row],[Purchase_Amount]]*Table1[[#This Row],[Quantity]]</f>
        <v>2205.2000000000003</v>
      </c>
      <c r="T828" t="str">
        <f>IF(Table1[[#This Row],[Age]]&lt;25,"&lt;25",IF(Table1[[#This Row],[Age]]&lt;=35,"25-35",IF(Table1[[#This Row],[Age]]&lt;=50,"36-50","50+")))</f>
        <v>25-35</v>
      </c>
    </row>
    <row r="829" spans="1:20" x14ac:dyDescent="0.3">
      <c r="A829" s="2" t="s">
        <v>1041</v>
      </c>
      <c r="B829" s="2" t="s">
        <v>16</v>
      </c>
      <c r="C829" s="3">
        <v>27</v>
      </c>
      <c r="D829" s="2" t="s">
        <v>32</v>
      </c>
      <c r="E829" s="2" t="s">
        <v>18</v>
      </c>
      <c r="F829" s="2" t="s">
        <v>19</v>
      </c>
      <c r="G829" t="s">
        <v>20</v>
      </c>
      <c r="H829" t="s">
        <v>158</v>
      </c>
      <c r="I829" s="4">
        <v>690.36</v>
      </c>
      <c r="J829" s="3">
        <v>2</v>
      </c>
      <c r="K829" s="1">
        <v>45407</v>
      </c>
      <c r="L829" s="1" t="str">
        <f>TEXT(Table1[[#This Row],[Purchase_Date]],"YYYY")</f>
        <v>2024</v>
      </c>
      <c r="M829" s="1" t="str">
        <f>TEXT(Table1[[#This Row],[Purchase_Date]],"MMM")</f>
        <v>Apr</v>
      </c>
      <c r="N829" s="1" t="str">
        <f>TEXT(Table1[[#This Row],[Purchase_Date]],"DD")</f>
        <v>25</v>
      </c>
      <c r="O829" s="2" t="s">
        <v>36</v>
      </c>
      <c r="P829" s="3">
        <v>2</v>
      </c>
      <c r="Q829" s="2" t="s">
        <v>23</v>
      </c>
      <c r="R829" s="2" t="s">
        <v>47</v>
      </c>
      <c r="S829">
        <f>Table1[[#This Row],[Purchase_Amount]]*Table1[[#This Row],[Quantity]]</f>
        <v>1380.72</v>
      </c>
      <c r="T829" t="str">
        <f>IF(Table1[[#This Row],[Age]]&lt;25,"&lt;25",IF(Table1[[#This Row],[Age]]&lt;=35,"25-35",IF(Table1[[#This Row],[Age]]&lt;=50,"36-50","50+")))</f>
        <v>25-35</v>
      </c>
    </row>
    <row r="830" spans="1:20" x14ac:dyDescent="0.3">
      <c r="A830" s="2" t="s">
        <v>909</v>
      </c>
      <c r="B830" s="2" t="s">
        <v>16</v>
      </c>
      <c r="C830" s="3">
        <v>29</v>
      </c>
      <c r="D830" s="2" t="s">
        <v>32</v>
      </c>
      <c r="E830" s="2" t="s">
        <v>49</v>
      </c>
      <c r="F830" s="2" t="s">
        <v>19</v>
      </c>
      <c r="G830" t="s">
        <v>20</v>
      </c>
      <c r="H830" t="s">
        <v>62</v>
      </c>
      <c r="I830" s="4">
        <v>948.89</v>
      </c>
      <c r="J830" s="3">
        <v>3</v>
      </c>
      <c r="K830" s="1">
        <v>44985</v>
      </c>
      <c r="L830" s="1" t="str">
        <f>TEXT(Table1[[#This Row],[Purchase_Date]],"YYYY")</f>
        <v>2023</v>
      </c>
      <c r="M830" s="1" t="str">
        <f>TEXT(Table1[[#This Row],[Purchase_Date]],"MMM")</f>
        <v>Feb</v>
      </c>
      <c r="N830" s="1" t="str">
        <f>TEXT(Table1[[#This Row],[Purchase_Date]],"DD")</f>
        <v>28</v>
      </c>
      <c r="O830" s="2" t="s">
        <v>22</v>
      </c>
      <c r="P830" s="3">
        <v>4</v>
      </c>
      <c r="Q830" s="2" t="s">
        <v>23</v>
      </c>
      <c r="R830" s="2" t="s">
        <v>24</v>
      </c>
      <c r="S830">
        <f>Table1[[#This Row],[Purchase_Amount]]*Table1[[#This Row],[Quantity]]</f>
        <v>2846.67</v>
      </c>
      <c r="T830" t="str">
        <f>IF(Table1[[#This Row],[Age]]&lt;25,"&lt;25",IF(Table1[[#This Row],[Age]]&lt;=35,"25-35",IF(Table1[[#This Row],[Age]]&lt;=50,"36-50","50+")))</f>
        <v>25-35</v>
      </c>
    </row>
    <row r="831" spans="1:20" x14ac:dyDescent="0.3">
      <c r="A831" s="2" t="s">
        <v>976</v>
      </c>
      <c r="B831" s="2" t="s">
        <v>16</v>
      </c>
      <c r="C831" s="3">
        <v>29</v>
      </c>
      <c r="D831" s="2" t="s">
        <v>60</v>
      </c>
      <c r="E831" s="2" t="s">
        <v>33</v>
      </c>
      <c r="F831" s="2" t="s">
        <v>27</v>
      </c>
      <c r="G831" t="s">
        <v>20</v>
      </c>
      <c r="H831" t="s">
        <v>45</v>
      </c>
      <c r="I831" s="4">
        <v>966.96</v>
      </c>
      <c r="J831" s="3">
        <v>2</v>
      </c>
      <c r="K831" s="1">
        <v>45275</v>
      </c>
      <c r="L831" s="1" t="str">
        <f>TEXT(Table1[[#This Row],[Purchase_Date]],"YYYY")</f>
        <v>2023</v>
      </c>
      <c r="M831" s="1" t="str">
        <f>TEXT(Table1[[#This Row],[Purchase_Date]],"MMM")</f>
        <v>Dec</v>
      </c>
      <c r="N831" s="1" t="str">
        <f>TEXT(Table1[[#This Row],[Purchase_Date]],"DD")</f>
        <v>15</v>
      </c>
      <c r="O831" s="2" t="s">
        <v>36</v>
      </c>
      <c r="P831" s="3">
        <v>2</v>
      </c>
      <c r="Q831" s="2" t="s">
        <v>23</v>
      </c>
      <c r="R831" s="2" t="s">
        <v>47</v>
      </c>
      <c r="S831">
        <f>Table1[[#This Row],[Purchase_Amount]]*Table1[[#This Row],[Quantity]]</f>
        <v>1933.92</v>
      </c>
      <c r="T831" t="str">
        <f>IF(Table1[[#This Row],[Age]]&lt;25,"&lt;25",IF(Table1[[#This Row],[Age]]&lt;=35,"25-35",IF(Table1[[#This Row],[Age]]&lt;=50,"36-50","50+")))</f>
        <v>25-35</v>
      </c>
    </row>
    <row r="832" spans="1:20" x14ac:dyDescent="0.3">
      <c r="A832" s="2" t="s">
        <v>1000</v>
      </c>
      <c r="B832" s="2" t="s">
        <v>16</v>
      </c>
      <c r="C832" s="3">
        <v>34</v>
      </c>
      <c r="D832" s="2" t="s">
        <v>64</v>
      </c>
      <c r="E832" s="2" t="s">
        <v>49</v>
      </c>
      <c r="F832" s="2" t="s">
        <v>27</v>
      </c>
      <c r="G832" t="s">
        <v>20</v>
      </c>
      <c r="H832" t="s">
        <v>358</v>
      </c>
      <c r="I832" s="4">
        <v>611.25</v>
      </c>
      <c r="J832" s="3">
        <v>5</v>
      </c>
      <c r="K832" s="1">
        <v>45467</v>
      </c>
      <c r="L832" s="1" t="str">
        <f>TEXT(Table1[[#This Row],[Purchase_Date]],"YYYY")</f>
        <v>2024</v>
      </c>
      <c r="M832" s="1" t="str">
        <f>TEXT(Table1[[#This Row],[Purchase_Date]],"MMM")</f>
        <v>Jun</v>
      </c>
      <c r="N832" s="1" t="str">
        <f>TEXT(Table1[[#This Row],[Purchase_Date]],"DD")</f>
        <v>24</v>
      </c>
      <c r="O832" s="2" t="s">
        <v>30</v>
      </c>
      <c r="P832" s="3">
        <v>3</v>
      </c>
      <c r="Q832" s="2" t="s">
        <v>46</v>
      </c>
      <c r="R832" s="2" t="s">
        <v>24</v>
      </c>
      <c r="S832">
        <f>Table1[[#This Row],[Purchase_Amount]]*Table1[[#This Row],[Quantity]]</f>
        <v>3056.25</v>
      </c>
      <c r="T832" t="str">
        <f>IF(Table1[[#This Row],[Age]]&lt;25,"&lt;25",IF(Table1[[#This Row],[Age]]&lt;=35,"25-35",IF(Table1[[#This Row],[Age]]&lt;=50,"36-50","50+")))</f>
        <v>25-35</v>
      </c>
    </row>
    <row r="833" spans="1:20" x14ac:dyDescent="0.3">
      <c r="A833" s="2" t="s">
        <v>385</v>
      </c>
      <c r="B833" s="2" t="s">
        <v>16</v>
      </c>
      <c r="C833" s="3">
        <v>35</v>
      </c>
      <c r="D833" s="2" t="s">
        <v>78</v>
      </c>
      <c r="E833" s="2" t="s">
        <v>49</v>
      </c>
      <c r="F833" s="2" t="s">
        <v>44</v>
      </c>
      <c r="G833" t="s">
        <v>20</v>
      </c>
      <c r="H833" t="s">
        <v>56</v>
      </c>
      <c r="I833" s="4">
        <v>699.12</v>
      </c>
      <c r="J833" s="3">
        <v>2</v>
      </c>
      <c r="K833" s="1">
        <v>45378</v>
      </c>
      <c r="L833" s="1" t="str">
        <f>TEXT(Table1[[#This Row],[Purchase_Date]],"YYYY")</f>
        <v>2024</v>
      </c>
      <c r="M833" s="1" t="str">
        <f>TEXT(Table1[[#This Row],[Purchase_Date]],"MMM")</f>
        <v>Mar</v>
      </c>
      <c r="N833" s="1" t="str">
        <f>TEXT(Table1[[#This Row],[Purchase_Date]],"DD")</f>
        <v>27</v>
      </c>
      <c r="O833" s="2" t="s">
        <v>30</v>
      </c>
      <c r="P833" s="3">
        <v>6</v>
      </c>
      <c r="Q833" s="2" t="s">
        <v>46</v>
      </c>
      <c r="R833" s="2" t="s">
        <v>47</v>
      </c>
      <c r="S833">
        <f>Table1[[#This Row],[Purchase_Amount]]*Table1[[#This Row],[Quantity]]</f>
        <v>1398.24</v>
      </c>
      <c r="T833" t="str">
        <f>IF(Table1[[#This Row],[Age]]&lt;25,"&lt;25",IF(Table1[[#This Row],[Age]]&lt;=35,"25-35",IF(Table1[[#This Row],[Age]]&lt;=50,"36-50","50+")))</f>
        <v>25-35</v>
      </c>
    </row>
    <row r="834" spans="1:20" x14ac:dyDescent="0.3">
      <c r="A834" s="2" t="s">
        <v>761</v>
      </c>
      <c r="B834" s="2" t="s">
        <v>16</v>
      </c>
      <c r="C834" s="3">
        <v>36</v>
      </c>
      <c r="D834" s="2" t="s">
        <v>60</v>
      </c>
      <c r="E834" s="2" t="s">
        <v>33</v>
      </c>
      <c r="F834" s="2" t="s">
        <v>27</v>
      </c>
      <c r="G834" t="s">
        <v>20</v>
      </c>
      <c r="H834" t="s">
        <v>762</v>
      </c>
      <c r="I834" s="4">
        <v>976.85</v>
      </c>
      <c r="J834" s="3">
        <v>3</v>
      </c>
      <c r="K834" s="1">
        <v>45046</v>
      </c>
      <c r="L834" s="1" t="str">
        <f>TEXT(Table1[[#This Row],[Purchase_Date]],"YYYY")</f>
        <v>2023</v>
      </c>
      <c r="M834" s="1" t="str">
        <f>TEXT(Table1[[#This Row],[Purchase_Date]],"MMM")</f>
        <v>Apr</v>
      </c>
      <c r="N834" s="1" t="str">
        <f>TEXT(Table1[[#This Row],[Purchase_Date]],"DD")</f>
        <v>30</v>
      </c>
      <c r="O834" s="2" t="s">
        <v>41</v>
      </c>
      <c r="P834" s="3">
        <v>3</v>
      </c>
      <c r="Q834" s="2" t="s">
        <v>23</v>
      </c>
      <c r="R834" s="2" t="s">
        <v>24</v>
      </c>
      <c r="S834">
        <f>Table1[[#This Row],[Purchase_Amount]]*Table1[[#This Row],[Quantity]]</f>
        <v>2930.55</v>
      </c>
      <c r="T834" t="str">
        <f>IF(Table1[[#This Row],[Age]]&lt;25,"&lt;25",IF(Table1[[#This Row],[Age]]&lt;=35,"25-35",IF(Table1[[#This Row],[Age]]&lt;=50,"36-50","50+")))</f>
        <v>36-50</v>
      </c>
    </row>
    <row r="835" spans="1:20" x14ac:dyDescent="0.3">
      <c r="A835" s="2" t="s">
        <v>677</v>
      </c>
      <c r="B835" s="2" t="s">
        <v>16</v>
      </c>
      <c r="C835" s="3">
        <v>39</v>
      </c>
      <c r="D835" s="2" t="s">
        <v>64</v>
      </c>
      <c r="E835" s="2" t="s">
        <v>18</v>
      </c>
      <c r="F835" s="2" t="s">
        <v>27</v>
      </c>
      <c r="G835" t="s">
        <v>20</v>
      </c>
      <c r="H835" t="s">
        <v>232</v>
      </c>
      <c r="I835" s="4">
        <v>257.25</v>
      </c>
      <c r="J835" s="3">
        <v>5</v>
      </c>
      <c r="K835" s="1">
        <v>45321</v>
      </c>
      <c r="L835" s="1" t="str">
        <f>TEXT(Table1[[#This Row],[Purchase_Date]],"YYYY")</f>
        <v>2024</v>
      </c>
      <c r="M835" s="1" t="str">
        <f>TEXT(Table1[[#This Row],[Purchase_Date]],"MMM")</f>
        <v>Jan</v>
      </c>
      <c r="N835" s="1" t="str">
        <f>TEXT(Table1[[#This Row],[Purchase_Date]],"DD")</f>
        <v>30</v>
      </c>
      <c r="O835" s="2" t="s">
        <v>41</v>
      </c>
      <c r="P835" s="3">
        <v>4</v>
      </c>
      <c r="Q835" s="2" t="s">
        <v>23</v>
      </c>
      <c r="R835" s="2" t="s">
        <v>24</v>
      </c>
      <c r="S835">
        <f>Table1[[#This Row],[Purchase_Amount]]*Table1[[#This Row],[Quantity]]</f>
        <v>1286.25</v>
      </c>
      <c r="T835" t="str">
        <f>IF(Table1[[#This Row],[Age]]&lt;25,"&lt;25",IF(Table1[[#This Row],[Age]]&lt;=35,"25-35",IF(Table1[[#This Row],[Age]]&lt;=50,"36-50","50+")))</f>
        <v>36-50</v>
      </c>
    </row>
    <row r="836" spans="1:20" x14ac:dyDescent="0.3">
      <c r="A836" s="2" t="s">
        <v>373</v>
      </c>
      <c r="B836" s="2" t="s">
        <v>16</v>
      </c>
      <c r="C836" s="3">
        <v>40</v>
      </c>
      <c r="D836" s="2" t="s">
        <v>43</v>
      </c>
      <c r="E836" s="2" t="s">
        <v>49</v>
      </c>
      <c r="F836" s="2" t="s">
        <v>19</v>
      </c>
      <c r="G836" t="s">
        <v>20</v>
      </c>
      <c r="H836" t="s">
        <v>177</v>
      </c>
      <c r="I836" s="4">
        <v>600.5</v>
      </c>
      <c r="J836" s="3">
        <v>5</v>
      </c>
      <c r="K836" s="1">
        <v>45100</v>
      </c>
      <c r="L836" s="1" t="str">
        <f>TEXT(Table1[[#This Row],[Purchase_Date]],"YYYY")</f>
        <v>2023</v>
      </c>
      <c r="M836" s="1" t="str">
        <f>TEXT(Table1[[#This Row],[Purchase_Date]],"MMM")</f>
        <v>Jun</v>
      </c>
      <c r="N836" s="1" t="str">
        <f>TEXT(Table1[[#This Row],[Purchase_Date]],"DD")</f>
        <v>23</v>
      </c>
      <c r="O836" s="2" t="s">
        <v>22</v>
      </c>
      <c r="P836" s="3">
        <v>2</v>
      </c>
      <c r="Q836" s="2" t="s">
        <v>46</v>
      </c>
      <c r="R836" s="2" t="s">
        <v>47</v>
      </c>
      <c r="S836">
        <f>Table1[[#This Row],[Purchase_Amount]]*Table1[[#This Row],[Quantity]]</f>
        <v>3002.5</v>
      </c>
      <c r="T836" t="str">
        <f>IF(Table1[[#This Row],[Age]]&lt;25,"&lt;25",IF(Table1[[#This Row],[Age]]&lt;=35,"25-35",IF(Table1[[#This Row],[Age]]&lt;=50,"36-50","50+")))</f>
        <v>36-50</v>
      </c>
    </row>
    <row r="837" spans="1:20" x14ac:dyDescent="0.3">
      <c r="A837" s="2" t="s">
        <v>774</v>
      </c>
      <c r="B837" s="2" t="s">
        <v>16</v>
      </c>
      <c r="C837" s="3">
        <v>41</v>
      </c>
      <c r="D837" s="2" t="s">
        <v>38</v>
      </c>
      <c r="E837" s="2" t="s">
        <v>33</v>
      </c>
      <c r="F837" s="2" t="s">
        <v>27</v>
      </c>
      <c r="G837" t="s">
        <v>20</v>
      </c>
      <c r="H837" t="s">
        <v>129</v>
      </c>
      <c r="I837" s="4">
        <v>399.82</v>
      </c>
      <c r="J837" s="3">
        <v>1</v>
      </c>
      <c r="K837" s="1">
        <v>45561</v>
      </c>
      <c r="L837" s="1" t="str">
        <f>TEXT(Table1[[#This Row],[Purchase_Date]],"YYYY")</f>
        <v>2024</v>
      </c>
      <c r="M837" s="1" t="str">
        <f>TEXT(Table1[[#This Row],[Purchase_Date]],"MMM")</f>
        <v>Sep</v>
      </c>
      <c r="N837" s="1" t="str">
        <f>TEXT(Table1[[#This Row],[Purchase_Date]],"DD")</f>
        <v>26</v>
      </c>
      <c r="O837" s="2" t="s">
        <v>41</v>
      </c>
      <c r="P837" s="3">
        <v>1</v>
      </c>
      <c r="Q837" s="2" t="s">
        <v>23</v>
      </c>
      <c r="R837" s="2" t="s">
        <v>47</v>
      </c>
      <c r="S837">
        <f>Table1[[#This Row],[Purchase_Amount]]*Table1[[#This Row],[Quantity]]</f>
        <v>399.82</v>
      </c>
      <c r="T837" t="str">
        <f>IF(Table1[[#This Row],[Age]]&lt;25,"&lt;25",IF(Table1[[#This Row],[Age]]&lt;=35,"25-35",IF(Table1[[#This Row],[Age]]&lt;=50,"36-50","50+")))</f>
        <v>36-50</v>
      </c>
    </row>
    <row r="838" spans="1:20" x14ac:dyDescent="0.3">
      <c r="A838" s="2" t="s">
        <v>694</v>
      </c>
      <c r="B838" s="2" t="s">
        <v>16</v>
      </c>
      <c r="C838" s="3">
        <v>43</v>
      </c>
      <c r="D838" s="2" t="s">
        <v>38</v>
      </c>
      <c r="E838" s="2" t="s">
        <v>33</v>
      </c>
      <c r="F838" s="2" t="s">
        <v>27</v>
      </c>
      <c r="G838" t="s">
        <v>20</v>
      </c>
      <c r="H838" t="s">
        <v>151</v>
      </c>
      <c r="I838" s="4">
        <v>134.85</v>
      </c>
      <c r="J838" s="3">
        <v>4</v>
      </c>
      <c r="K838" s="1">
        <v>44943</v>
      </c>
      <c r="L838" s="1" t="str">
        <f>TEXT(Table1[[#This Row],[Purchase_Date]],"YYYY")</f>
        <v>2023</v>
      </c>
      <c r="M838" s="1" t="str">
        <f>TEXT(Table1[[#This Row],[Purchase_Date]],"MMM")</f>
        <v>Jan</v>
      </c>
      <c r="N838" s="1" t="str">
        <f>TEXT(Table1[[#This Row],[Purchase_Date]],"DD")</f>
        <v>17</v>
      </c>
      <c r="O838" s="2" t="s">
        <v>41</v>
      </c>
      <c r="P838" s="3">
        <v>3</v>
      </c>
      <c r="Q838" s="2" t="s">
        <v>23</v>
      </c>
      <c r="R838" s="2" t="s">
        <v>47</v>
      </c>
      <c r="S838">
        <f>Table1[[#This Row],[Purchase_Amount]]*Table1[[#This Row],[Quantity]]</f>
        <v>539.4</v>
      </c>
      <c r="T838" t="str">
        <f>IF(Table1[[#This Row],[Age]]&lt;25,"&lt;25",IF(Table1[[#This Row],[Age]]&lt;=35,"25-35",IF(Table1[[#This Row],[Age]]&lt;=50,"36-50","50+")))</f>
        <v>36-50</v>
      </c>
    </row>
    <row r="839" spans="1:20" x14ac:dyDescent="0.3">
      <c r="A839" s="2" t="s">
        <v>437</v>
      </c>
      <c r="B839" s="2" t="s">
        <v>16</v>
      </c>
      <c r="C839" s="3">
        <v>43</v>
      </c>
      <c r="D839" s="2" t="s">
        <v>17</v>
      </c>
      <c r="E839" s="2" t="s">
        <v>49</v>
      </c>
      <c r="F839" s="2" t="s">
        <v>27</v>
      </c>
      <c r="G839" t="s">
        <v>20</v>
      </c>
      <c r="H839" t="s">
        <v>179</v>
      </c>
      <c r="I839" s="4">
        <v>601.45000000000005</v>
      </c>
      <c r="J839" s="3">
        <v>3</v>
      </c>
      <c r="K839" s="1">
        <v>44951</v>
      </c>
      <c r="L839" s="1" t="str">
        <f>TEXT(Table1[[#This Row],[Purchase_Date]],"YYYY")</f>
        <v>2023</v>
      </c>
      <c r="M839" s="1" t="str">
        <f>TEXT(Table1[[#This Row],[Purchase_Date]],"MMM")</f>
        <v>Jan</v>
      </c>
      <c r="N839" s="1" t="str">
        <f>TEXT(Table1[[#This Row],[Purchase_Date]],"DD")</f>
        <v>25</v>
      </c>
      <c r="O839" s="2" t="s">
        <v>30</v>
      </c>
      <c r="P839" s="3">
        <v>5</v>
      </c>
      <c r="Q839" s="2" t="s">
        <v>46</v>
      </c>
      <c r="R839" s="2" t="s">
        <v>47</v>
      </c>
      <c r="S839">
        <f>Table1[[#This Row],[Purchase_Amount]]*Table1[[#This Row],[Quantity]]</f>
        <v>1804.3500000000001</v>
      </c>
      <c r="T839" t="str">
        <f>IF(Table1[[#This Row],[Age]]&lt;25,"&lt;25",IF(Table1[[#This Row],[Age]]&lt;=35,"25-35",IF(Table1[[#This Row],[Age]]&lt;=50,"36-50","50+")))</f>
        <v>36-50</v>
      </c>
    </row>
    <row r="840" spans="1:20" x14ac:dyDescent="0.3">
      <c r="A840" s="2" t="s">
        <v>225</v>
      </c>
      <c r="B840" s="2" t="s">
        <v>16</v>
      </c>
      <c r="C840" s="3">
        <v>43</v>
      </c>
      <c r="D840" s="2" t="s">
        <v>17</v>
      </c>
      <c r="E840" s="2" t="s">
        <v>49</v>
      </c>
      <c r="F840" s="2" t="s">
        <v>44</v>
      </c>
      <c r="G840" t="s">
        <v>20</v>
      </c>
      <c r="H840" t="s">
        <v>70</v>
      </c>
      <c r="I840" s="4">
        <v>820.68</v>
      </c>
      <c r="J840" s="3">
        <v>2</v>
      </c>
      <c r="K840" s="1">
        <v>45478</v>
      </c>
      <c r="L840" s="1" t="str">
        <f>TEXT(Table1[[#This Row],[Purchase_Date]],"YYYY")</f>
        <v>2024</v>
      </c>
      <c r="M840" s="1" t="str">
        <f>TEXT(Table1[[#This Row],[Purchase_Date]],"MMM")</f>
        <v>Jul</v>
      </c>
      <c r="N840" s="1" t="str">
        <f>TEXT(Table1[[#This Row],[Purchase_Date]],"DD")</f>
        <v>05</v>
      </c>
      <c r="O840" s="2" t="s">
        <v>30</v>
      </c>
      <c r="P840" s="3">
        <v>9</v>
      </c>
      <c r="Q840" s="2" t="s">
        <v>23</v>
      </c>
      <c r="R840" s="2" t="s">
        <v>24</v>
      </c>
      <c r="S840">
        <f>Table1[[#This Row],[Purchase_Amount]]*Table1[[#This Row],[Quantity]]</f>
        <v>1641.36</v>
      </c>
      <c r="T840" t="str">
        <f>IF(Table1[[#This Row],[Age]]&lt;25,"&lt;25",IF(Table1[[#This Row],[Age]]&lt;=35,"25-35",IF(Table1[[#This Row],[Age]]&lt;=50,"36-50","50+")))</f>
        <v>36-50</v>
      </c>
    </row>
    <row r="841" spans="1:20" x14ac:dyDescent="0.3">
      <c r="A841" s="2" t="s">
        <v>359</v>
      </c>
      <c r="B841" s="2" t="s">
        <v>16</v>
      </c>
      <c r="C841" s="3">
        <v>44</v>
      </c>
      <c r="D841" s="2" t="s">
        <v>78</v>
      </c>
      <c r="E841" s="2" t="s">
        <v>33</v>
      </c>
      <c r="F841" s="2" t="s">
        <v>27</v>
      </c>
      <c r="G841" t="s">
        <v>20</v>
      </c>
      <c r="H841" t="s">
        <v>321</v>
      </c>
      <c r="I841" s="4">
        <v>888.59</v>
      </c>
      <c r="J841" s="3">
        <v>3</v>
      </c>
      <c r="K841" s="1">
        <v>45569</v>
      </c>
      <c r="L841" s="1" t="str">
        <f>TEXT(Table1[[#This Row],[Purchase_Date]],"YYYY")</f>
        <v>2024</v>
      </c>
      <c r="M841" s="1" t="str">
        <f>TEXT(Table1[[#This Row],[Purchase_Date]],"MMM")</f>
        <v>Oct</v>
      </c>
      <c r="N841" s="1" t="str">
        <f>TEXT(Table1[[#This Row],[Purchase_Date]],"DD")</f>
        <v>04</v>
      </c>
      <c r="O841" s="2" t="s">
        <v>22</v>
      </c>
      <c r="P841" s="3">
        <v>6</v>
      </c>
      <c r="Q841" s="2" t="s">
        <v>23</v>
      </c>
      <c r="R841" s="2" t="s">
        <v>47</v>
      </c>
      <c r="S841">
        <f>Table1[[#This Row],[Purchase_Amount]]*Table1[[#This Row],[Quantity]]</f>
        <v>2665.77</v>
      </c>
      <c r="T841" t="str">
        <f>IF(Table1[[#This Row],[Age]]&lt;25,"&lt;25",IF(Table1[[#This Row],[Age]]&lt;=35,"25-35",IF(Table1[[#This Row],[Age]]&lt;=50,"36-50","50+")))</f>
        <v>36-50</v>
      </c>
    </row>
    <row r="842" spans="1:20" x14ac:dyDescent="0.3">
      <c r="A842" s="2" t="s">
        <v>620</v>
      </c>
      <c r="B842" s="2" t="s">
        <v>16</v>
      </c>
      <c r="C842" s="3">
        <v>47</v>
      </c>
      <c r="D842" s="2" t="s">
        <v>60</v>
      </c>
      <c r="E842" s="2" t="s">
        <v>33</v>
      </c>
      <c r="F842" s="2" t="s">
        <v>27</v>
      </c>
      <c r="G842" t="s">
        <v>20</v>
      </c>
      <c r="H842" t="s">
        <v>391</v>
      </c>
      <c r="I842" s="4">
        <v>972.74</v>
      </c>
      <c r="J842" s="3">
        <v>3</v>
      </c>
      <c r="K842" s="1">
        <v>45435</v>
      </c>
      <c r="L842" s="1" t="str">
        <f>TEXT(Table1[[#This Row],[Purchase_Date]],"YYYY")</f>
        <v>2024</v>
      </c>
      <c r="M842" s="1" t="str">
        <f>TEXT(Table1[[#This Row],[Purchase_Date]],"MMM")</f>
        <v>May</v>
      </c>
      <c r="N842" s="1" t="str">
        <f>TEXT(Table1[[#This Row],[Purchase_Date]],"DD")</f>
        <v>23</v>
      </c>
      <c r="O842" s="2" t="s">
        <v>36</v>
      </c>
      <c r="P842" s="3">
        <v>9</v>
      </c>
      <c r="Q842" s="2" t="s">
        <v>46</v>
      </c>
      <c r="R842" s="2" t="s">
        <v>24</v>
      </c>
      <c r="S842">
        <f>Table1[[#This Row],[Purchase_Amount]]*Table1[[#This Row],[Quantity]]</f>
        <v>2918.2200000000003</v>
      </c>
      <c r="T842" t="str">
        <f>IF(Table1[[#This Row],[Age]]&lt;25,"&lt;25",IF(Table1[[#This Row],[Age]]&lt;=35,"25-35",IF(Table1[[#This Row],[Age]]&lt;=50,"36-50","50+")))</f>
        <v>36-50</v>
      </c>
    </row>
    <row r="843" spans="1:20" x14ac:dyDescent="0.3">
      <c r="A843" s="2" t="s">
        <v>1114</v>
      </c>
      <c r="B843" s="2" t="s">
        <v>16</v>
      </c>
      <c r="C843" s="3">
        <v>50</v>
      </c>
      <c r="D843" s="2" t="s">
        <v>17</v>
      </c>
      <c r="E843" s="2" t="s">
        <v>18</v>
      </c>
      <c r="F843" s="2" t="s">
        <v>27</v>
      </c>
      <c r="G843" t="s">
        <v>20</v>
      </c>
      <c r="H843" t="s">
        <v>536</v>
      </c>
      <c r="I843" s="4">
        <v>653.05999999999995</v>
      </c>
      <c r="J843" s="3">
        <v>1</v>
      </c>
      <c r="K843" s="1">
        <v>45350</v>
      </c>
      <c r="L843" s="1" t="str">
        <f>TEXT(Table1[[#This Row],[Purchase_Date]],"YYYY")</f>
        <v>2024</v>
      </c>
      <c r="M843" s="1" t="str">
        <f>TEXT(Table1[[#This Row],[Purchase_Date]],"MMM")</f>
        <v>Feb</v>
      </c>
      <c r="N843" s="1" t="str">
        <f>TEXT(Table1[[#This Row],[Purchase_Date]],"DD")</f>
        <v>28</v>
      </c>
      <c r="O843" s="2" t="s">
        <v>41</v>
      </c>
      <c r="P843" s="3">
        <v>7</v>
      </c>
      <c r="Q843" s="2" t="s">
        <v>23</v>
      </c>
      <c r="R843" s="2" t="s">
        <v>24</v>
      </c>
      <c r="S843">
        <f>Table1[[#This Row],[Purchase_Amount]]*Table1[[#This Row],[Quantity]]</f>
        <v>653.05999999999995</v>
      </c>
      <c r="T843" t="str">
        <f>IF(Table1[[#This Row],[Age]]&lt;25,"&lt;25",IF(Table1[[#This Row],[Age]]&lt;=35,"25-35",IF(Table1[[#This Row],[Age]]&lt;=50,"36-50","50+")))</f>
        <v>36-50</v>
      </c>
    </row>
    <row r="844" spans="1:20" x14ac:dyDescent="0.3">
      <c r="A844" s="2" t="s">
        <v>601</v>
      </c>
      <c r="B844" s="2" t="s">
        <v>16</v>
      </c>
      <c r="C844" s="3">
        <v>53</v>
      </c>
      <c r="D844" s="2" t="s">
        <v>38</v>
      </c>
      <c r="E844" s="2" t="s">
        <v>18</v>
      </c>
      <c r="F844" s="2" t="s">
        <v>27</v>
      </c>
      <c r="G844" t="s">
        <v>20</v>
      </c>
      <c r="H844" t="s">
        <v>85</v>
      </c>
      <c r="I844" s="4">
        <v>443.34</v>
      </c>
      <c r="J844" s="3">
        <v>3</v>
      </c>
      <c r="K844" s="1">
        <v>45037</v>
      </c>
      <c r="L844" s="1" t="str">
        <f>TEXT(Table1[[#This Row],[Purchase_Date]],"YYYY")</f>
        <v>2023</v>
      </c>
      <c r="M844" s="1" t="str">
        <f>TEXT(Table1[[#This Row],[Purchase_Date]],"MMM")</f>
        <v>Apr</v>
      </c>
      <c r="N844" s="1" t="str">
        <f>TEXT(Table1[[#This Row],[Purchase_Date]],"DD")</f>
        <v>21</v>
      </c>
      <c r="O844" s="2" t="s">
        <v>36</v>
      </c>
      <c r="P844" s="3">
        <v>1</v>
      </c>
      <c r="Q844" s="2" t="s">
        <v>46</v>
      </c>
      <c r="R844" s="2" t="s">
        <v>47</v>
      </c>
      <c r="S844">
        <f>Table1[[#This Row],[Purchase_Amount]]*Table1[[#This Row],[Quantity]]</f>
        <v>1330.02</v>
      </c>
      <c r="T844" t="str">
        <f>IF(Table1[[#This Row],[Age]]&lt;25,"&lt;25",IF(Table1[[#This Row],[Age]]&lt;=35,"25-35",IF(Table1[[#This Row],[Age]]&lt;=50,"36-50","50+")))</f>
        <v>50+</v>
      </c>
    </row>
    <row r="845" spans="1:20" x14ac:dyDescent="0.3">
      <c r="A845" s="2" t="s">
        <v>911</v>
      </c>
      <c r="B845" s="2" t="s">
        <v>16</v>
      </c>
      <c r="C845" s="3">
        <v>54</v>
      </c>
      <c r="D845" s="2" t="s">
        <v>43</v>
      </c>
      <c r="E845" s="2" t="s">
        <v>49</v>
      </c>
      <c r="F845" s="2" t="s">
        <v>19</v>
      </c>
      <c r="G845" t="s">
        <v>20</v>
      </c>
      <c r="H845" t="s">
        <v>421</v>
      </c>
      <c r="I845" s="4">
        <v>169.83</v>
      </c>
      <c r="J845" s="3">
        <v>2</v>
      </c>
      <c r="K845" s="1">
        <v>45333</v>
      </c>
      <c r="L845" s="1" t="str">
        <f>TEXT(Table1[[#This Row],[Purchase_Date]],"YYYY")</f>
        <v>2024</v>
      </c>
      <c r="M845" s="1" t="str">
        <f>TEXT(Table1[[#This Row],[Purchase_Date]],"MMM")</f>
        <v>Feb</v>
      </c>
      <c r="N845" s="1" t="str">
        <f>TEXT(Table1[[#This Row],[Purchase_Date]],"DD")</f>
        <v>11</v>
      </c>
      <c r="O845" s="2" t="s">
        <v>30</v>
      </c>
      <c r="P845" s="3">
        <v>6</v>
      </c>
      <c r="Q845" s="2" t="s">
        <v>46</v>
      </c>
      <c r="R845" s="2" t="s">
        <v>47</v>
      </c>
      <c r="S845">
        <f>Table1[[#This Row],[Purchase_Amount]]*Table1[[#This Row],[Quantity]]</f>
        <v>339.66</v>
      </c>
      <c r="T845" t="str">
        <f>IF(Table1[[#This Row],[Age]]&lt;25,"&lt;25",IF(Table1[[#This Row],[Age]]&lt;=35,"25-35",IF(Table1[[#This Row],[Age]]&lt;=50,"36-50","50+")))</f>
        <v>50+</v>
      </c>
    </row>
    <row r="846" spans="1:20" x14ac:dyDescent="0.3">
      <c r="A846" s="2" t="s">
        <v>583</v>
      </c>
      <c r="B846" s="2" t="s">
        <v>16</v>
      </c>
      <c r="C846" s="3">
        <v>54</v>
      </c>
      <c r="D846" s="2" t="s">
        <v>43</v>
      </c>
      <c r="E846" s="2" t="s">
        <v>49</v>
      </c>
      <c r="F846" s="2" t="s">
        <v>27</v>
      </c>
      <c r="G846" t="s">
        <v>20</v>
      </c>
      <c r="H846" t="s">
        <v>35</v>
      </c>
      <c r="I846" s="4">
        <v>595.79999999999995</v>
      </c>
      <c r="J846" s="3">
        <v>3</v>
      </c>
      <c r="K846" s="1">
        <v>45372</v>
      </c>
      <c r="L846" s="1" t="str">
        <f>TEXT(Table1[[#This Row],[Purchase_Date]],"YYYY")</f>
        <v>2024</v>
      </c>
      <c r="M846" s="1" t="str">
        <f>TEXT(Table1[[#This Row],[Purchase_Date]],"MMM")</f>
        <v>Mar</v>
      </c>
      <c r="N846" s="1" t="str">
        <f>TEXT(Table1[[#This Row],[Purchase_Date]],"DD")</f>
        <v>21</v>
      </c>
      <c r="O846" s="2" t="s">
        <v>41</v>
      </c>
      <c r="P846" s="3">
        <v>2</v>
      </c>
      <c r="Q846" s="2" t="s">
        <v>46</v>
      </c>
      <c r="R846" s="2" t="s">
        <v>24</v>
      </c>
      <c r="S846">
        <f>Table1[[#This Row],[Purchase_Amount]]*Table1[[#This Row],[Quantity]]</f>
        <v>1787.3999999999999</v>
      </c>
      <c r="T846" t="str">
        <f>IF(Table1[[#This Row],[Age]]&lt;25,"&lt;25",IF(Table1[[#This Row],[Age]]&lt;=35,"25-35",IF(Table1[[#This Row],[Age]]&lt;=50,"36-50","50+")))</f>
        <v>50+</v>
      </c>
    </row>
    <row r="847" spans="1:20" x14ac:dyDescent="0.3">
      <c r="A847" s="2" t="s">
        <v>126</v>
      </c>
      <c r="B847" s="2" t="s">
        <v>16</v>
      </c>
      <c r="C847" s="3">
        <v>55</v>
      </c>
      <c r="D847" s="2" t="s">
        <v>43</v>
      </c>
      <c r="E847" s="2" t="s">
        <v>33</v>
      </c>
      <c r="F847" s="2" t="s">
        <v>19</v>
      </c>
      <c r="G847" t="s">
        <v>20</v>
      </c>
      <c r="H847" t="s">
        <v>127</v>
      </c>
      <c r="I847" s="4">
        <v>517.75</v>
      </c>
      <c r="J847" s="3">
        <v>3</v>
      </c>
      <c r="K847" s="1">
        <v>45450</v>
      </c>
      <c r="L847" s="1" t="str">
        <f>TEXT(Table1[[#This Row],[Purchase_Date]],"YYYY")</f>
        <v>2024</v>
      </c>
      <c r="M847" s="1" t="str">
        <f>TEXT(Table1[[#This Row],[Purchase_Date]],"MMM")</f>
        <v>Jun</v>
      </c>
      <c r="N847" s="1" t="str">
        <f>TEXT(Table1[[#This Row],[Purchase_Date]],"DD")</f>
        <v>07</v>
      </c>
      <c r="O847" s="2" t="s">
        <v>41</v>
      </c>
      <c r="P847" s="3">
        <v>1</v>
      </c>
      <c r="Q847" s="2" t="s">
        <v>23</v>
      </c>
      <c r="R847" s="2" t="s">
        <v>24</v>
      </c>
      <c r="S847">
        <f>Table1[[#This Row],[Purchase_Amount]]*Table1[[#This Row],[Quantity]]</f>
        <v>1553.25</v>
      </c>
      <c r="T847" t="str">
        <f>IF(Table1[[#This Row],[Age]]&lt;25,"&lt;25",IF(Table1[[#This Row],[Age]]&lt;=35,"25-35",IF(Table1[[#This Row],[Age]]&lt;=50,"36-50","50+")))</f>
        <v>50+</v>
      </c>
    </row>
    <row r="848" spans="1:20" x14ac:dyDescent="0.3">
      <c r="A848" s="2" t="s">
        <v>240</v>
      </c>
      <c r="B848" s="2" t="s">
        <v>16</v>
      </c>
      <c r="C848" s="3">
        <v>56</v>
      </c>
      <c r="D848" s="2" t="s">
        <v>60</v>
      </c>
      <c r="E848" s="2" t="s">
        <v>18</v>
      </c>
      <c r="F848" s="2" t="s">
        <v>19</v>
      </c>
      <c r="G848" t="s">
        <v>20</v>
      </c>
      <c r="H848" t="s">
        <v>149</v>
      </c>
      <c r="I848" s="4">
        <v>559.99</v>
      </c>
      <c r="J848" s="3">
        <v>5</v>
      </c>
      <c r="K848" s="1">
        <v>45580</v>
      </c>
      <c r="L848" s="1" t="str">
        <f>TEXT(Table1[[#This Row],[Purchase_Date]],"YYYY")</f>
        <v>2024</v>
      </c>
      <c r="M848" s="1" t="str">
        <f>TEXT(Table1[[#This Row],[Purchase_Date]],"MMM")</f>
        <v>Oct</v>
      </c>
      <c r="N848" s="1" t="str">
        <f>TEXT(Table1[[#This Row],[Purchase_Date]],"DD")</f>
        <v>15</v>
      </c>
      <c r="O848" s="2" t="s">
        <v>36</v>
      </c>
      <c r="P848" s="3">
        <v>6</v>
      </c>
      <c r="Q848" s="2" t="s">
        <v>46</v>
      </c>
      <c r="R848" s="2" t="s">
        <v>24</v>
      </c>
      <c r="S848">
        <f>Table1[[#This Row],[Purchase_Amount]]*Table1[[#This Row],[Quantity]]</f>
        <v>2799.95</v>
      </c>
      <c r="T848" t="str">
        <f>IF(Table1[[#This Row],[Age]]&lt;25,"&lt;25",IF(Table1[[#This Row],[Age]]&lt;=35,"25-35",IF(Table1[[#This Row],[Age]]&lt;=50,"36-50","50+")))</f>
        <v>50+</v>
      </c>
    </row>
    <row r="849" spans="1:20" x14ac:dyDescent="0.3">
      <c r="A849" s="2" t="s">
        <v>154</v>
      </c>
      <c r="B849" s="2" t="s">
        <v>16</v>
      </c>
      <c r="C849" s="3">
        <v>57</v>
      </c>
      <c r="D849" s="2" t="s">
        <v>38</v>
      </c>
      <c r="E849" s="2" t="s">
        <v>18</v>
      </c>
      <c r="F849" s="2" t="s">
        <v>27</v>
      </c>
      <c r="G849" t="s">
        <v>20</v>
      </c>
      <c r="H849" t="s">
        <v>155</v>
      </c>
      <c r="I849" s="4">
        <v>76.930000000000007</v>
      </c>
      <c r="J849" s="3">
        <v>3</v>
      </c>
      <c r="K849" s="1">
        <v>45295</v>
      </c>
      <c r="L849" s="1" t="str">
        <f>TEXT(Table1[[#This Row],[Purchase_Date]],"YYYY")</f>
        <v>2024</v>
      </c>
      <c r="M849" s="1" t="str">
        <f>TEXT(Table1[[#This Row],[Purchase_Date]],"MMM")</f>
        <v>Jan</v>
      </c>
      <c r="N849" s="1" t="str">
        <f>TEXT(Table1[[#This Row],[Purchase_Date]],"DD")</f>
        <v>04</v>
      </c>
      <c r="O849" s="2" t="s">
        <v>36</v>
      </c>
      <c r="P849" s="3">
        <v>7</v>
      </c>
      <c r="Q849" s="2" t="s">
        <v>23</v>
      </c>
      <c r="R849" s="2" t="s">
        <v>24</v>
      </c>
      <c r="S849">
        <f>Table1[[#This Row],[Purchase_Amount]]*Table1[[#This Row],[Quantity]]</f>
        <v>230.79000000000002</v>
      </c>
      <c r="T849" t="str">
        <f>IF(Table1[[#This Row],[Age]]&lt;25,"&lt;25",IF(Table1[[#This Row],[Age]]&lt;=35,"25-35",IF(Table1[[#This Row],[Age]]&lt;=50,"36-50","50+")))</f>
        <v>50+</v>
      </c>
    </row>
    <row r="850" spans="1:20" x14ac:dyDescent="0.3">
      <c r="A850" s="2" t="s">
        <v>490</v>
      </c>
      <c r="B850" s="2" t="s">
        <v>16</v>
      </c>
      <c r="C850" s="3">
        <v>57</v>
      </c>
      <c r="D850" s="2" t="s">
        <v>60</v>
      </c>
      <c r="E850" s="2" t="s">
        <v>33</v>
      </c>
      <c r="F850" s="2" t="s">
        <v>27</v>
      </c>
      <c r="G850" t="s">
        <v>20</v>
      </c>
      <c r="H850" t="s">
        <v>441</v>
      </c>
      <c r="I850" s="4">
        <v>487.78</v>
      </c>
      <c r="J850" s="3">
        <v>2</v>
      </c>
      <c r="K850" s="1">
        <v>44959</v>
      </c>
      <c r="L850" s="1" t="str">
        <f>TEXT(Table1[[#This Row],[Purchase_Date]],"YYYY")</f>
        <v>2023</v>
      </c>
      <c r="M850" s="1" t="str">
        <f>TEXT(Table1[[#This Row],[Purchase_Date]],"MMM")</f>
        <v>Feb</v>
      </c>
      <c r="N850" s="1" t="str">
        <f>TEXT(Table1[[#This Row],[Purchase_Date]],"DD")</f>
        <v>02</v>
      </c>
      <c r="O850" s="2" t="s">
        <v>36</v>
      </c>
      <c r="P850" s="3">
        <v>6</v>
      </c>
      <c r="Q850" s="2" t="s">
        <v>23</v>
      </c>
      <c r="R850" s="2" t="s">
        <v>47</v>
      </c>
      <c r="S850">
        <f>Table1[[#This Row],[Purchase_Amount]]*Table1[[#This Row],[Quantity]]</f>
        <v>975.56</v>
      </c>
      <c r="T850" t="str">
        <f>IF(Table1[[#This Row],[Age]]&lt;25,"&lt;25",IF(Table1[[#This Row],[Age]]&lt;=35,"25-35",IF(Table1[[#This Row],[Age]]&lt;=50,"36-50","50+")))</f>
        <v>50+</v>
      </c>
    </row>
    <row r="851" spans="1:20" x14ac:dyDescent="0.3">
      <c r="A851" s="2" t="s">
        <v>409</v>
      </c>
      <c r="B851" s="2" t="s">
        <v>16</v>
      </c>
      <c r="C851" s="3">
        <v>57</v>
      </c>
      <c r="D851" s="2" t="s">
        <v>43</v>
      </c>
      <c r="E851" s="2" t="s">
        <v>33</v>
      </c>
      <c r="F851" s="2" t="s">
        <v>27</v>
      </c>
      <c r="G851" t="s">
        <v>20</v>
      </c>
      <c r="H851" t="s">
        <v>369</v>
      </c>
      <c r="I851" s="4">
        <v>911.72</v>
      </c>
      <c r="J851" s="3">
        <v>3</v>
      </c>
      <c r="K851" s="1">
        <v>45229</v>
      </c>
      <c r="L851" s="1" t="str">
        <f>TEXT(Table1[[#This Row],[Purchase_Date]],"YYYY")</f>
        <v>2023</v>
      </c>
      <c r="M851" s="1" t="str">
        <f>TEXT(Table1[[#This Row],[Purchase_Date]],"MMM")</f>
        <v>Oct</v>
      </c>
      <c r="N851" s="1" t="str">
        <f>TEXT(Table1[[#This Row],[Purchase_Date]],"DD")</f>
        <v>30</v>
      </c>
      <c r="O851" s="2" t="s">
        <v>36</v>
      </c>
      <c r="P851" s="3">
        <v>5</v>
      </c>
      <c r="Q851" s="2" t="s">
        <v>23</v>
      </c>
      <c r="R851" s="2" t="s">
        <v>24</v>
      </c>
      <c r="S851">
        <f>Table1[[#This Row],[Purchase_Amount]]*Table1[[#This Row],[Quantity]]</f>
        <v>2735.16</v>
      </c>
      <c r="T851" t="str">
        <f>IF(Table1[[#This Row],[Age]]&lt;25,"&lt;25",IF(Table1[[#This Row],[Age]]&lt;=35,"25-35",IF(Table1[[#This Row],[Age]]&lt;=50,"36-50","50+")))</f>
        <v>50+</v>
      </c>
    </row>
    <row r="852" spans="1:20" x14ac:dyDescent="0.3">
      <c r="A852" s="2" t="s">
        <v>438</v>
      </c>
      <c r="B852" s="2" t="s">
        <v>16</v>
      </c>
      <c r="C852" s="3">
        <v>58</v>
      </c>
      <c r="D852" s="2" t="s">
        <v>38</v>
      </c>
      <c r="E852" s="2" t="s">
        <v>33</v>
      </c>
      <c r="F852" s="2" t="s">
        <v>27</v>
      </c>
      <c r="G852" t="s">
        <v>20</v>
      </c>
      <c r="H852" t="s">
        <v>439</v>
      </c>
      <c r="I852" s="4">
        <v>882.09</v>
      </c>
      <c r="J852" s="3">
        <v>3</v>
      </c>
      <c r="K852" s="1">
        <v>45341</v>
      </c>
      <c r="L852" s="1" t="str">
        <f>TEXT(Table1[[#This Row],[Purchase_Date]],"YYYY")</f>
        <v>2024</v>
      </c>
      <c r="M852" s="1" t="str">
        <f>TEXT(Table1[[#This Row],[Purchase_Date]],"MMM")</f>
        <v>Feb</v>
      </c>
      <c r="N852" s="1" t="str">
        <f>TEXT(Table1[[#This Row],[Purchase_Date]],"DD")</f>
        <v>19</v>
      </c>
      <c r="O852" s="2" t="s">
        <v>30</v>
      </c>
      <c r="P852" s="3">
        <v>10</v>
      </c>
      <c r="Q852" s="2" t="s">
        <v>23</v>
      </c>
      <c r="R852" s="2" t="s">
        <v>47</v>
      </c>
      <c r="S852">
        <f>Table1[[#This Row],[Purchase_Amount]]*Table1[[#This Row],[Quantity]]</f>
        <v>2646.27</v>
      </c>
      <c r="T852" t="str">
        <f>IF(Table1[[#This Row],[Age]]&lt;25,"&lt;25",IF(Table1[[#This Row],[Age]]&lt;=35,"25-35",IF(Table1[[#This Row],[Age]]&lt;=50,"36-50","50+")))</f>
        <v>50+</v>
      </c>
    </row>
    <row r="853" spans="1:20" x14ac:dyDescent="0.3">
      <c r="A853" s="2" t="s">
        <v>649</v>
      </c>
      <c r="B853" s="2" t="s">
        <v>16</v>
      </c>
      <c r="C853" s="3">
        <v>60</v>
      </c>
      <c r="D853" s="2" t="s">
        <v>43</v>
      </c>
      <c r="E853" s="2" t="s">
        <v>33</v>
      </c>
      <c r="F853" s="2" t="s">
        <v>27</v>
      </c>
      <c r="G853" t="s">
        <v>20</v>
      </c>
      <c r="H853" t="s">
        <v>650</v>
      </c>
      <c r="I853" s="4">
        <v>575.20000000000005</v>
      </c>
      <c r="J853" s="3">
        <v>1</v>
      </c>
      <c r="K853" s="1">
        <v>44940</v>
      </c>
      <c r="L853" s="1" t="str">
        <f>TEXT(Table1[[#This Row],[Purchase_Date]],"YYYY")</f>
        <v>2023</v>
      </c>
      <c r="M853" s="1" t="str">
        <f>TEXT(Table1[[#This Row],[Purchase_Date]],"MMM")</f>
        <v>Jan</v>
      </c>
      <c r="N853" s="1" t="str">
        <f>TEXT(Table1[[#This Row],[Purchase_Date]],"DD")</f>
        <v>14</v>
      </c>
      <c r="O853" s="2" t="s">
        <v>30</v>
      </c>
      <c r="P853" s="3">
        <v>6</v>
      </c>
      <c r="Q853" s="2" t="s">
        <v>23</v>
      </c>
      <c r="R853" s="2" t="s">
        <v>47</v>
      </c>
      <c r="S853">
        <f>Table1[[#This Row],[Purchase_Amount]]*Table1[[#This Row],[Quantity]]</f>
        <v>575.20000000000005</v>
      </c>
      <c r="T853" t="str">
        <f>IF(Table1[[#This Row],[Age]]&lt;25,"&lt;25",IF(Table1[[#This Row],[Age]]&lt;=35,"25-35",IF(Table1[[#This Row],[Age]]&lt;=50,"36-50","50+")))</f>
        <v>50+</v>
      </c>
    </row>
    <row r="854" spans="1:20" x14ac:dyDescent="0.3">
      <c r="A854" s="2" t="s">
        <v>148</v>
      </c>
      <c r="B854" s="2" t="s">
        <v>16</v>
      </c>
      <c r="C854" s="3">
        <v>61</v>
      </c>
      <c r="D854" s="2" t="s">
        <v>109</v>
      </c>
      <c r="E854" s="2" t="s">
        <v>49</v>
      </c>
      <c r="F854" s="2" t="s">
        <v>27</v>
      </c>
      <c r="G854" t="s">
        <v>20</v>
      </c>
      <c r="H854" t="s">
        <v>149</v>
      </c>
      <c r="I854" s="4">
        <v>744.87</v>
      </c>
      <c r="J854" s="3">
        <v>5</v>
      </c>
      <c r="K854" s="1">
        <v>45352</v>
      </c>
      <c r="L854" s="1" t="str">
        <f>TEXT(Table1[[#This Row],[Purchase_Date]],"YYYY")</f>
        <v>2024</v>
      </c>
      <c r="M854" s="1" t="str">
        <f>TEXT(Table1[[#This Row],[Purchase_Date]],"MMM")</f>
        <v>Mar</v>
      </c>
      <c r="N854" s="1" t="str">
        <f>TEXT(Table1[[#This Row],[Purchase_Date]],"DD")</f>
        <v>01</v>
      </c>
      <c r="O854" s="2" t="s">
        <v>41</v>
      </c>
      <c r="P854" s="3">
        <v>9</v>
      </c>
      <c r="Q854" s="2" t="s">
        <v>23</v>
      </c>
      <c r="R854" s="2" t="s">
        <v>24</v>
      </c>
      <c r="S854">
        <f>Table1[[#This Row],[Purchase_Amount]]*Table1[[#This Row],[Quantity]]</f>
        <v>3724.35</v>
      </c>
      <c r="T854" t="str">
        <f>IF(Table1[[#This Row],[Age]]&lt;25,"&lt;25",IF(Table1[[#This Row],[Age]]&lt;=35,"25-35",IF(Table1[[#This Row],[Age]]&lt;=50,"36-50","50+")))</f>
        <v>50+</v>
      </c>
    </row>
    <row r="855" spans="1:20" x14ac:dyDescent="0.3">
      <c r="A855" s="2" t="s">
        <v>1189</v>
      </c>
      <c r="B855" s="2" t="s">
        <v>16</v>
      </c>
      <c r="C855" s="3">
        <v>61</v>
      </c>
      <c r="D855" s="2" t="s">
        <v>60</v>
      </c>
      <c r="E855" s="2" t="s">
        <v>33</v>
      </c>
      <c r="F855" s="2" t="s">
        <v>27</v>
      </c>
      <c r="G855" t="s">
        <v>20</v>
      </c>
      <c r="H855" t="s">
        <v>206</v>
      </c>
      <c r="I855" s="4">
        <v>840.45</v>
      </c>
      <c r="J855" s="3">
        <v>4</v>
      </c>
      <c r="K855" s="1">
        <v>45122</v>
      </c>
      <c r="L855" s="1" t="str">
        <f>TEXT(Table1[[#This Row],[Purchase_Date]],"YYYY")</f>
        <v>2023</v>
      </c>
      <c r="M855" s="1" t="str">
        <f>TEXT(Table1[[#This Row],[Purchase_Date]],"MMM")</f>
        <v>Jul</v>
      </c>
      <c r="N855" s="1" t="str">
        <f>TEXT(Table1[[#This Row],[Purchase_Date]],"DD")</f>
        <v>15</v>
      </c>
      <c r="O855" s="2" t="s">
        <v>22</v>
      </c>
      <c r="P855" s="3">
        <v>3</v>
      </c>
      <c r="Q855" s="2" t="s">
        <v>46</v>
      </c>
      <c r="R855" s="2" t="s">
        <v>24</v>
      </c>
      <c r="S855">
        <f>Table1[[#This Row],[Purchase_Amount]]*Table1[[#This Row],[Quantity]]</f>
        <v>3361.8</v>
      </c>
      <c r="T855" t="str">
        <f>IF(Table1[[#This Row],[Age]]&lt;25,"&lt;25",IF(Table1[[#This Row],[Age]]&lt;=35,"25-35",IF(Table1[[#This Row],[Age]]&lt;=50,"36-50","50+")))</f>
        <v>50+</v>
      </c>
    </row>
    <row r="856" spans="1:20" x14ac:dyDescent="0.3">
      <c r="A856" s="2" t="s">
        <v>1027</v>
      </c>
      <c r="B856" s="2" t="s">
        <v>16</v>
      </c>
      <c r="C856" s="3">
        <v>62</v>
      </c>
      <c r="D856" s="2" t="s">
        <v>78</v>
      </c>
      <c r="E856" s="2" t="s">
        <v>49</v>
      </c>
      <c r="F856" s="2" t="s">
        <v>44</v>
      </c>
      <c r="G856" t="s">
        <v>20</v>
      </c>
      <c r="H856" t="s">
        <v>479</v>
      </c>
      <c r="I856" s="4">
        <v>373.01</v>
      </c>
      <c r="J856" s="3">
        <v>1</v>
      </c>
      <c r="K856" s="1">
        <v>45557</v>
      </c>
      <c r="L856" s="1" t="str">
        <f>TEXT(Table1[[#This Row],[Purchase_Date]],"YYYY")</f>
        <v>2024</v>
      </c>
      <c r="M856" s="1" t="str">
        <f>TEXT(Table1[[#This Row],[Purchase_Date]],"MMM")</f>
        <v>Sep</v>
      </c>
      <c r="N856" s="1" t="str">
        <f>TEXT(Table1[[#This Row],[Purchase_Date]],"DD")</f>
        <v>22</v>
      </c>
      <c r="O856" s="2" t="s">
        <v>30</v>
      </c>
      <c r="P856" s="3">
        <v>1</v>
      </c>
      <c r="Q856" s="2" t="s">
        <v>23</v>
      </c>
      <c r="R856" s="2" t="s">
        <v>24</v>
      </c>
      <c r="S856">
        <f>Table1[[#This Row],[Purchase_Amount]]*Table1[[#This Row],[Quantity]]</f>
        <v>373.01</v>
      </c>
      <c r="T856" t="str">
        <f>IF(Table1[[#This Row],[Age]]&lt;25,"&lt;25",IF(Table1[[#This Row],[Age]]&lt;=35,"25-35",IF(Table1[[#This Row],[Age]]&lt;=50,"36-50","50+")))</f>
        <v>50+</v>
      </c>
    </row>
    <row r="857" spans="1:20" x14ac:dyDescent="0.3">
      <c r="A857" s="2" t="s">
        <v>1069</v>
      </c>
      <c r="B857" s="2" t="s">
        <v>16</v>
      </c>
      <c r="C857" s="3">
        <v>62</v>
      </c>
      <c r="D857" s="2" t="s">
        <v>32</v>
      </c>
      <c r="E857" s="2" t="s">
        <v>18</v>
      </c>
      <c r="F857" s="2" t="s">
        <v>44</v>
      </c>
      <c r="G857" t="s">
        <v>20</v>
      </c>
      <c r="H857" t="s">
        <v>485</v>
      </c>
      <c r="I857" s="4">
        <v>583.52</v>
      </c>
      <c r="J857" s="3">
        <v>5</v>
      </c>
      <c r="K857" s="1">
        <v>45416</v>
      </c>
      <c r="L857" s="1" t="str">
        <f>TEXT(Table1[[#This Row],[Purchase_Date]],"YYYY")</f>
        <v>2024</v>
      </c>
      <c r="M857" s="1" t="str">
        <f>TEXT(Table1[[#This Row],[Purchase_Date]],"MMM")</f>
        <v>May</v>
      </c>
      <c r="N857" s="1" t="str">
        <f>TEXT(Table1[[#This Row],[Purchase_Date]],"DD")</f>
        <v>04</v>
      </c>
      <c r="O857" s="2" t="s">
        <v>36</v>
      </c>
      <c r="P857" s="3">
        <v>6</v>
      </c>
      <c r="Q857" s="2" t="s">
        <v>46</v>
      </c>
      <c r="R857" s="2" t="s">
        <v>47</v>
      </c>
      <c r="S857">
        <f>Table1[[#This Row],[Purchase_Amount]]*Table1[[#This Row],[Quantity]]</f>
        <v>2917.6</v>
      </c>
      <c r="T857" t="str">
        <f>IF(Table1[[#This Row],[Age]]&lt;25,"&lt;25",IF(Table1[[#This Row],[Age]]&lt;=35,"25-35",IF(Table1[[#This Row],[Age]]&lt;=50,"36-50","50+")))</f>
        <v>50+</v>
      </c>
    </row>
    <row r="858" spans="1:20" x14ac:dyDescent="0.3">
      <c r="A858" s="2" t="s">
        <v>688</v>
      </c>
      <c r="B858" s="2" t="s">
        <v>16</v>
      </c>
      <c r="C858" s="3">
        <v>62</v>
      </c>
      <c r="D858" s="2" t="s">
        <v>109</v>
      </c>
      <c r="E858" s="2" t="s">
        <v>18</v>
      </c>
      <c r="F858" s="2" t="s">
        <v>19</v>
      </c>
      <c r="G858" t="s">
        <v>20</v>
      </c>
      <c r="H858" t="s">
        <v>138</v>
      </c>
      <c r="I858" s="4">
        <v>607.17999999999995</v>
      </c>
      <c r="J858" s="3">
        <v>4</v>
      </c>
      <c r="K858" s="1">
        <v>45595</v>
      </c>
      <c r="L858" s="1" t="str">
        <f>TEXT(Table1[[#This Row],[Purchase_Date]],"YYYY")</f>
        <v>2024</v>
      </c>
      <c r="M858" s="1" t="str">
        <f>TEXT(Table1[[#This Row],[Purchase_Date]],"MMM")</f>
        <v>Oct</v>
      </c>
      <c r="N858" s="1" t="str">
        <f>TEXT(Table1[[#This Row],[Purchase_Date]],"DD")</f>
        <v>30</v>
      </c>
      <c r="O858" s="2" t="s">
        <v>36</v>
      </c>
      <c r="P858" s="3">
        <v>6</v>
      </c>
      <c r="Q858" s="2" t="s">
        <v>46</v>
      </c>
      <c r="R858" s="2" t="s">
        <v>24</v>
      </c>
      <c r="S858">
        <f>Table1[[#This Row],[Purchase_Amount]]*Table1[[#This Row],[Quantity]]</f>
        <v>2428.7199999999998</v>
      </c>
      <c r="T858" t="str">
        <f>IF(Table1[[#This Row],[Age]]&lt;25,"&lt;25",IF(Table1[[#This Row],[Age]]&lt;=35,"25-35",IF(Table1[[#This Row],[Age]]&lt;=50,"36-50","50+")))</f>
        <v>50+</v>
      </c>
    </row>
    <row r="859" spans="1:20" x14ac:dyDescent="0.3">
      <c r="A859" s="2" t="s">
        <v>793</v>
      </c>
      <c r="B859" s="2" t="s">
        <v>16</v>
      </c>
      <c r="C859" s="3">
        <v>62</v>
      </c>
      <c r="D859" s="2" t="s">
        <v>38</v>
      </c>
      <c r="E859" s="2" t="s">
        <v>18</v>
      </c>
      <c r="F859" s="2" t="s">
        <v>27</v>
      </c>
      <c r="G859" t="s">
        <v>20</v>
      </c>
      <c r="H859" t="s">
        <v>136</v>
      </c>
      <c r="I859" s="4">
        <v>704.09</v>
      </c>
      <c r="J859" s="3">
        <v>1</v>
      </c>
      <c r="K859" s="1">
        <v>45188</v>
      </c>
      <c r="L859" s="1" t="str">
        <f>TEXT(Table1[[#This Row],[Purchase_Date]],"YYYY")</f>
        <v>2023</v>
      </c>
      <c r="M859" s="1" t="str">
        <f>TEXT(Table1[[#This Row],[Purchase_Date]],"MMM")</f>
        <v>Sep</v>
      </c>
      <c r="N859" s="1" t="str">
        <f>TEXT(Table1[[#This Row],[Purchase_Date]],"DD")</f>
        <v>19</v>
      </c>
      <c r="O859" s="2" t="s">
        <v>30</v>
      </c>
      <c r="P859" s="3">
        <v>4</v>
      </c>
      <c r="Q859" s="2" t="s">
        <v>23</v>
      </c>
      <c r="R859" s="2" t="s">
        <v>47</v>
      </c>
      <c r="S859">
        <f>Table1[[#This Row],[Purchase_Amount]]*Table1[[#This Row],[Quantity]]</f>
        <v>704.09</v>
      </c>
      <c r="T859" t="str">
        <f>IF(Table1[[#This Row],[Age]]&lt;25,"&lt;25",IF(Table1[[#This Row],[Age]]&lt;=35,"25-35",IF(Table1[[#This Row],[Age]]&lt;=50,"36-50","50+")))</f>
        <v>50+</v>
      </c>
    </row>
    <row r="860" spans="1:20" x14ac:dyDescent="0.3">
      <c r="A860" s="2" t="s">
        <v>915</v>
      </c>
      <c r="B860" s="2" t="s">
        <v>16</v>
      </c>
      <c r="C860" s="3">
        <v>63</v>
      </c>
      <c r="D860" s="2" t="s">
        <v>64</v>
      </c>
      <c r="E860" s="2" t="s">
        <v>49</v>
      </c>
      <c r="F860" s="2" t="s">
        <v>27</v>
      </c>
      <c r="G860" t="s">
        <v>20</v>
      </c>
      <c r="H860" t="s">
        <v>380</v>
      </c>
      <c r="I860" s="4">
        <v>265.06</v>
      </c>
      <c r="J860" s="3">
        <v>1</v>
      </c>
      <c r="K860" s="1">
        <v>45424</v>
      </c>
      <c r="L860" s="1" t="str">
        <f>TEXT(Table1[[#This Row],[Purchase_Date]],"YYYY")</f>
        <v>2024</v>
      </c>
      <c r="M860" s="1" t="str">
        <f>TEXT(Table1[[#This Row],[Purchase_Date]],"MMM")</f>
        <v>May</v>
      </c>
      <c r="N860" s="1" t="str">
        <f>TEXT(Table1[[#This Row],[Purchase_Date]],"DD")</f>
        <v>12</v>
      </c>
      <c r="O860" s="2" t="s">
        <v>30</v>
      </c>
      <c r="P860" s="3">
        <v>8</v>
      </c>
      <c r="Q860" s="2" t="s">
        <v>23</v>
      </c>
      <c r="R860" s="2" t="s">
        <v>24</v>
      </c>
      <c r="S860">
        <f>Table1[[#This Row],[Purchase_Amount]]*Table1[[#This Row],[Quantity]]</f>
        <v>265.06</v>
      </c>
      <c r="T860" t="str">
        <f>IF(Table1[[#This Row],[Age]]&lt;25,"&lt;25",IF(Table1[[#This Row],[Age]]&lt;=35,"25-35",IF(Table1[[#This Row],[Age]]&lt;=50,"36-50","50+")))</f>
        <v>50+</v>
      </c>
    </row>
    <row r="861" spans="1:20" x14ac:dyDescent="0.3">
      <c r="A861" s="2" t="s">
        <v>697</v>
      </c>
      <c r="B861" s="2" t="s">
        <v>16</v>
      </c>
      <c r="C861" s="3">
        <v>63</v>
      </c>
      <c r="D861" s="2" t="s">
        <v>38</v>
      </c>
      <c r="E861" s="2" t="s">
        <v>49</v>
      </c>
      <c r="F861" s="2" t="s">
        <v>27</v>
      </c>
      <c r="G861" t="s">
        <v>20</v>
      </c>
      <c r="H861" t="s">
        <v>283</v>
      </c>
      <c r="I861" s="4">
        <v>412.35</v>
      </c>
      <c r="J861" s="3">
        <v>2</v>
      </c>
      <c r="K861" s="1">
        <v>44995</v>
      </c>
      <c r="L861" s="1" t="str">
        <f>TEXT(Table1[[#This Row],[Purchase_Date]],"YYYY")</f>
        <v>2023</v>
      </c>
      <c r="M861" s="1" t="str">
        <f>TEXT(Table1[[#This Row],[Purchase_Date]],"MMM")</f>
        <v>Mar</v>
      </c>
      <c r="N861" s="1" t="str">
        <f>TEXT(Table1[[#This Row],[Purchase_Date]],"DD")</f>
        <v>10</v>
      </c>
      <c r="O861" s="2" t="s">
        <v>22</v>
      </c>
      <c r="P861" s="3">
        <v>10</v>
      </c>
      <c r="Q861" s="2" t="s">
        <v>46</v>
      </c>
      <c r="R861" s="2" t="s">
        <v>24</v>
      </c>
      <c r="S861">
        <f>Table1[[#This Row],[Purchase_Amount]]*Table1[[#This Row],[Quantity]]</f>
        <v>824.7</v>
      </c>
      <c r="T861" t="str">
        <f>IF(Table1[[#This Row],[Age]]&lt;25,"&lt;25",IF(Table1[[#This Row],[Age]]&lt;=35,"25-35",IF(Table1[[#This Row],[Age]]&lt;=50,"36-50","50+")))</f>
        <v>50+</v>
      </c>
    </row>
    <row r="862" spans="1:20" x14ac:dyDescent="0.3">
      <c r="A862" s="2" t="s">
        <v>1237</v>
      </c>
      <c r="B862" s="2" t="s">
        <v>16</v>
      </c>
      <c r="C862" s="3">
        <v>63</v>
      </c>
      <c r="D862" s="2" t="s">
        <v>60</v>
      </c>
      <c r="E862" s="2" t="s">
        <v>18</v>
      </c>
      <c r="F862" s="2" t="s">
        <v>27</v>
      </c>
      <c r="G862" t="s">
        <v>20</v>
      </c>
      <c r="H862" t="s">
        <v>29</v>
      </c>
      <c r="I862" s="4">
        <v>582.97</v>
      </c>
      <c r="J862" s="3">
        <v>3</v>
      </c>
      <c r="K862" s="1">
        <v>45201</v>
      </c>
      <c r="L862" s="1" t="str">
        <f>TEXT(Table1[[#This Row],[Purchase_Date]],"YYYY")</f>
        <v>2023</v>
      </c>
      <c r="M862" s="1" t="str">
        <f>TEXT(Table1[[#This Row],[Purchase_Date]],"MMM")</f>
        <v>Oct</v>
      </c>
      <c r="N862" s="1" t="str">
        <f>TEXT(Table1[[#This Row],[Purchase_Date]],"DD")</f>
        <v>02</v>
      </c>
      <c r="O862" s="2" t="s">
        <v>30</v>
      </c>
      <c r="P862" s="3">
        <v>2</v>
      </c>
      <c r="Q862" s="2" t="s">
        <v>46</v>
      </c>
      <c r="R862" s="2" t="s">
        <v>24</v>
      </c>
      <c r="S862">
        <f>Table1[[#This Row],[Purchase_Amount]]*Table1[[#This Row],[Quantity]]</f>
        <v>1748.91</v>
      </c>
      <c r="T862" t="str">
        <f>IF(Table1[[#This Row],[Age]]&lt;25,"&lt;25",IF(Table1[[#This Row],[Age]]&lt;=35,"25-35",IF(Table1[[#This Row],[Age]]&lt;=50,"36-50","50+")))</f>
        <v>50+</v>
      </c>
    </row>
    <row r="863" spans="1:20" x14ac:dyDescent="0.3">
      <c r="A863" s="2" t="s">
        <v>1218</v>
      </c>
      <c r="B863" s="2" t="s">
        <v>16</v>
      </c>
      <c r="C863" s="3">
        <v>63</v>
      </c>
      <c r="D863" s="2" t="s">
        <v>60</v>
      </c>
      <c r="E863" s="2" t="s">
        <v>18</v>
      </c>
      <c r="F863" s="2" t="s">
        <v>27</v>
      </c>
      <c r="G863" t="s">
        <v>20</v>
      </c>
      <c r="H863" t="s">
        <v>183</v>
      </c>
      <c r="I863" s="4">
        <v>600.38</v>
      </c>
      <c r="J863" s="3">
        <v>2</v>
      </c>
      <c r="K863" s="1">
        <v>45545</v>
      </c>
      <c r="L863" s="1" t="str">
        <f>TEXT(Table1[[#This Row],[Purchase_Date]],"YYYY")</f>
        <v>2024</v>
      </c>
      <c r="M863" s="1" t="str">
        <f>TEXT(Table1[[#This Row],[Purchase_Date]],"MMM")</f>
        <v>Sep</v>
      </c>
      <c r="N863" s="1" t="str">
        <f>TEXT(Table1[[#This Row],[Purchase_Date]],"DD")</f>
        <v>10</v>
      </c>
      <c r="O863" s="2" t="s">
        <v>36</v>
      </c>
      <c r="P863" s="3">
        <v>3</v>
      </c>
      <c r="Q863" s="2" t="s">
        <v>46</v>
      </c>
      <c r="R863" s="2" t="s">
        <v>47</v>
      </c>
      <c r="S863">
        <f>Table1[[#This Row],[Purchase_Amount]]*Table1[[#This Row],[Quantity]]</f>
        <v>1200.76</v>
      </c>
      <c r="T863" t="str">
        <f>IF(Table1[[#This Row],[Age]]&lt;25,"&lt;25",IF(Table1[[#This Row],[Age]]&lt;=35,"25-35",IF(Table1[[#This Row],[Age]]&lt;=50,"36-50","50+")))</f>
        <v>50+</v>
      </c>
    </row>
    <row r="864" spans="1:20" x14ac:dyDescent="0.3">
      <c r="A864" s="2" t="s">
        <v>947</v>
      </c>
      <c r="B864" s="2" t="s">
        <v>16</v>
      </c>
      <c r="C864" s="3">
        <v>66</v>
      </c>
      <c r="D864" s="2" t="s">
        <v>78</v>
      </c>
      <c r="E864" s="2" t="s">
        <v>49</v>
      </c>
      <c r="F864" s="2" t="s">
        <v>44</v>
      </c>
      <c r="G864" t="s">
        <v>20</v>
      </c>
      <c r="H864" t="s">
        <v>215</v>
      </c>
      <c r="I864" s="4">
        <v>811.88</v>
      </c>
      <c r="J864" s="3">
        <v>2</v>
      </c>
      <c r="K864" s="1">
        <v>45243</v>
      </c>
      <c r="L864" s="1" t="str">
        <f>TEXT(Table1[[#This Row],[Purchase_Date]],"YYYY")</f>
        <v>2023</v>
      </c>
      <c r="M864" s="1" t="str">
        <f>TEXT(Table1[[#This Row],[Purchase_Date]],"MMM")</f>
        <v>Nov</v>
      </c>
      <c r="N864" s="1" t="str">
        <f>TEXT(Table1[[#This Row],[Purchase_Date]],"DD")</f>
        <v>13</v>
      </c>
      <c r="O864" s="2" t="s">
        <v>41</v>
      </c>
      <c r="P864" s="3">
        <v>9</v>
      </c>
      <c r="Q864" s="2" t="s">
        <v>46</v>
      </c>
      <c r="R864" s="2" t="s">
        <v>24</v>
      </c>
      <c r="S864">
        <f>Table1[[#This Row],[Purchase_Amount]]*Table1[[#This Row],[Quantity]]</f>
        <v>1623.76</v>
      </c>
      <c r="T864" t="str">
        <f>IF(Table1[[#This Row],[Age]]&lt;25,"&lt;25",IF(Table1[[#This Row],[Age]]&lt;=35,"25-35",IF(Table1[[#This Row],[Age]]&lt;=50,"36-50","50+")))</f>
        <v>50+</v>
      </c>
    </row>
    <row r="865" spans="1:20" x14ac:dyDescent="0.3">
      <c r="A865" s="2" t="s">
        <v>950</v>
      </c>
      <c r="B865" s="2" t="s">
        <v>16</v>
      </c>
      <c r="C865" s="3">
        <v>67</v>
      </c>
      <c r="D865" s="2" t="s">
        <v>17</v>
      </c>
      <c r="E865" s="2" t="s">
        <v>33</v>
      </c>
      <c r="F865" s="2" t="s">
        <v>27</v>
      </c>
      <c r="G865" t="s">
        <v>20</v>
      </c>
      <c r="H865" t="s">
        <v>93</v>
      </c>
      <c r="I865" s="4">
        <v>509.46</v>
      </c>
      <c r="J865" s="3">
        <v>2</v>
      </c>
      <c r="K865" s="1">
        <v>44982</v>
      </c>
      <c r="L865" s="1" t="str">
        <f>TEXT(Table1[[#This Row],[Purchase_Date]],"YYYY")</f>
        <v>2023</v>
      </c>
      <c r="M865" s="1" t="str">
        <f>TEXT(Table1[[#This Row],[Purchase_Date]],"MMM")</f>
        <v>Feb</v>
      </c>
      <c r="N865" s="1" t="str">
        <f>TEXT(Table1[[#This Row],[Purchase_Date]],"DD")</f>
        <v>25</v>
      </c>
      <c r="O865" s="2" t="s">
        <v>30</v>
      </c>
      <c r="P865" s="3">
        <v>5</v>
      </c>
      <c r="Q865" s="2" t="s">
        <v>23</v>
      </c>
      <c r="R865" s="2" t="s">
        <v>24</v>
      </c>
      <c r="S865">
        <f>Table1[[#This Row],[Purchase_Amount]]*Table1[[#This Row],[Quantity]]</f>
        <v>1018.92</v>
      </c>
      <c r="T865" t="str">
        <f>IF(Table1[[#This Row],[Age]]&lt;25,"&lt;25",IF(Table1[[#This Row],[Age]]&lt;=35,"25-35",IF(Table1[[#This Row],[Age]]&lt;=50,"36-50","50+")))</f>
        <v>50+</v>
      </c>
    </row>
    <row r="866" spans="1:20" x14ac:dyDescent="0.3">
      <c r="A866" s="2" t="s">
        <v>751</v>
      </c>
      <c r="B866" s="2" t="s">
        <v>16</v>
      </c>
      <c r="C866" s="3">
        <v>67</v>
      </c>
      <c r="D866" s="2" t="s">
        <v>38</v>
      </c>
      <c r="E866" s="2" t="s">
        <v>18</v>
      </c>
      <c r="F866" s="2" t="s">
        <v>27</v>
      </c>
      <c r="G866" t="s">
        <v>20</v>
      </c>
      <c r="H866" t="s">
        <v>99</v>
      </c>
      <c r="I866" s="4">
        <v>800.02</v>
      </c>
      <c r="J866" s="3">
        <v>2</v>
      </c>
      <c r="K866" s="1">
        <v>45482</v>
      </c>
      <c r="L866" s="1" t="str">
        <f>TEXT(Table1[[#This Row],[Purchase_Date]],"YYYY")</f>
        <v>2024</v>
      </c>
      <c r="M866" s="1" t="str">
        <f>TEXT(Table1[[#This Row],[Purchase_Date]],"MMM")</f>
        <v>Jul</v>
      </c>
      <c r="N866" s="1" t="str">
        <f>TEXT(Table1[[#This Row],[Purchase_Date]],"DD")</f>
        <v>09</v>
      </c>
      <c r="O866" s="2" t="s">
        <v>22</v>
      </c>
      <c r="P866" s="3">
        <v>9</v>
      </c>
      <c r="Q866" s="2" t="s">
        <v>23</v>
      </c>
      <c r="R866" s="2" t="s">
        <v>47</v>
      </c>
      <c r="S866">
        <f>Table1[[#This Row],[Purchase_Amount]]*Table1[[#This Row],[Quantity]]</f>
        <v>1600.04</v>
      </c>
      <c r="T866" t="str">
        <f>IF(Table1[[#This Row],[Age]]&lt;25,"&lt;25",IF(Table1[[#This Row],[Age]]&lt;=35,"25-35",IF(Table1[[#This Row],[Age]]&lt;=50,"36-50","50+")))</f>
        <v>50+</v>
      </c>
    </row>
    <row r="867" spans="1:20" x14ac:dyDescent="0.3">
      <c r="A867" s="2" t="s">
        <v>121</v>
      </c>
      <c r="B867" s="2" t="s">
        <v>16</v>
      </c>
      <c r="C867" s="3">
        <v>18</v>
      </c>
      <c r="D867" s="2" t="s">
        <v>78</v>
      </c>
      <c r="E867" s="2" t="s">
        <v>33</v>
      </c>
      <c r="F867" s="2" t="s">
        <v>19</v>
      </c>
      <c r="G867" t="s">
        <v>39</v>
      </c>
      <c r="H867" t="s">
        <v>122</v>
      </c>
      <c r="I867" s="4">
        <v>463.45</v>
      </c>
      <c r="J867" s="3">
        <v>2</v>
      </c>
      <c r="K867" s="1">
        <v>45246</v>
      </c>
      <c r="L867" s="1" t="str">
        <f>TEXT(Table1[[#This Row],[Purchase_Date]],"YYYY")</f>
        <v>2023</v>
      </c>
      <c r="M867" s="1" t="str">
        <f>TEXT(Table1[[#This Row],[Purchase_Date]],"MMM")</f>
        <v>Nov</v>
      </c>
      <c r="N867" s="1" t="str">
        <f>TEXT(Table1[[#This Row],[Purchase_Date]],"DD")</f>
        <v>16</v>
      </c>
      <c r="O867" s="2" t="s">
        <v>41</v>
      </c>
      <c r="P867" s="3">
        <v>10</v>
      </c>
      <c r="Q867" s="2" t="s">
        <v>46</v>
      </c>
      <c r="R867" s="2" t="s">
        <v>47</v>
      </c>
      <c r="S867">
        <f>Table1[[#This Row],[Purchase_Amount]]*Table1[[#This Row],[Quantity]]</f>
        <v>926.9</v>
      </c>
      <c r="T867" t="str">
        <f>IF(Table1[[#This Row],[Age]]&lt;25,"&lt;25",IF(Table1[[#This Row],[Age]]&lt;=35,"25-35",IF(Table1[[#This Row],[Age]]&lt;=50,"36-50","50+")))</f>
        <v>&lt;25</v>
      </c>
    </row>
    <row r="868" spans="1:20" x14ac:dyDescent="0.3">
      <c r="A868" s="2" t="s">
        <v>1007</v>
      </c>
      <c r="B868" s="2" t="s">
        <v>16</v>
      </c>
      <c r="C868" s="3">
        <v>20</v>
      </c>
      <c r="D868" s="2" t="s">
        <v>60</v>
      </c>
      <c r="E868" s="2" t="s">
        <v>18</v>
      </c>
      <c r="F868" s="2" t="s">
        <v>44</v>
      </c>
      <c r="G868" t="s">
        <v>39</v>
      </c>
      <c r="H868" t="s">
        <v>58</v>
      </c>
      <c r="I868" s="4">
        <v>843.21</v>
      </c>
      <c r="J868" s="3">
        <v>3</v>
      </c>
      <c r="K868" s="1">
        <v>45339</v>
      </c>
      <c r="L868" s="1" t="str">
        <f>TEXT(Table1[[#This Row],[Purchase_Date]],"YYYY")</f>
        <v>2024</v>
      </c>
      <c r="M868" s="1" t="str">
        <f>TEXT(Table1[[#This Row],[Purchase_Date]],"MMM")</f>
        <v>Feb</v>
      </c>
      <c r="N868" s="1" t="str">
        <f>TEXT(Table1[[#This Row],[Purchase_Date]],"DD")</f>
        <v>17</v>
      </c>
      <c r="O868" s="2" t="s">
        <v>22</v>
      </c>
      <c r="P868" s="3">
        <v>4</v>
      </c>
      <c r="Q868" s="2" t="s">
        <v>46</v>
      </c>
      <c r="R868" s="2" t="s">
        <v>47</v>
      </c>
      <c r="S868">
        <f>Table1[[#This Row],[Purchase_Amount]]*Table1[[#This Row],[Quantity]]</f>
        <v>2529.63</v>
      </c>
      <c r="T868" t="str">
        <f>IF(Table1[[#This Row],[Age]]&lt;25,"&lt;25",IF(Table1[[#This Row],[Age]]&lt;=35,"25-35",IF(Table1[[#This Row],[Age]]&lt;=50,"36-50","50+")))</f>
        <v>&lt;25</v>
      </c>
    </row>
    <row r="869" spans="1:20" x14ac:dyDescent="0.3">
      <c r="A869" s="2" t="s">
        <v>226</v>
      </c>
      <c r="B869" s="2" t="s">
        <v>16</v>
      </c>
      <c r="C869" s="3">
        <v>21</v>
      </c>
      <c r="D869" s="2" t="s">
        <v>17</v>
      </c>
      <c r="E869" s="2" t="s">
        <v>49</v>
      </c>
      <c r="F869" s="2" t="s">
        <v>44</v>
      </c>
      <c r="G869" t="s">
        <v>39</v>
      </c>
      <c r="H869" t="s">
        <v>227</v>
      </c>
      <c r="I869" s="4">
        <v>343.96</v>
      </c>
      <c r="J869" s="3">
        <v>2</v>
      </c>
      <c r="K869" s="1">
        <v>45441</v>
      </c>
      <c r="L869" s="1" t="str">
        <f>TEXT(Table1[[#This Row],[Purchase_Date]],"YYYY")</f>
        <v>2024</v>
      </c>
      <c r="M869" s="1" t="str">
        <f>TEXT(Table1[[#This Row],[Purchase_Date]],"MMM")</f>
        <v>May</v>
      </c>
      <c r="N869" s="1" t="str">
        <f>TEXT(Table1[[#This Row],[Purchase_Date]],"DD")</f>
        <v>29</v>
      </c>
      <c r="O869" s="2" t="s">
        <v>36</v>
      </c>
      <c r="P869" s="3">
        <v>8</v>
      </c>
      <c r="Q869" s="2" t="s">
        <v>23</v>
      </c>
      <c r="R869" s="2" t="s">
        <v>24</v>
      </c>
      <c r="S869">
        <f>Table1[[#This Row],[Purchase_Amount]]*Table1[[#This Row],[Quantity]]</f>
        <v>687.92</v>
      </c>
      <c r="T869" t="str">
        <f>IF(Table1[[#This Row],[Age]]&lt;25,"&lt;25",IF(Table1[[#This Row],[Age]]&lt;=35,"25-35",IF(Table1[[#This Row],[Age]]&lt;=50,"36-50","50+")))</f>
        <v>&lt;25</v>
      </c>
    </row>
    <row r="870" spans="1:20" x14ac:dyDescent="0.3">
      <c r="A870" s="2" t="s">
        <v>104</v>
      </c>
      <c r="B870" s="2" t="s">
        <v>16</v>
      </c>
      <c r="C870" s="3">
        <v>23</v>
      </c>
      <c r="D870" s="2" t="s">
        <v>43</v>
      </c>
      <c r="E870" s="2" t="s">
        <v>18</v>
      </c>
      <c r="F870" s="2" t="s">
        <v>44</v>
      </c>
      <c r="G870" t="s">
        <v>39</v>
      </c>
      <c r="H870" t="s">
        <v>105</v>
      </c>
      <c r="I870" s="4">
        <v>82.63</v>
      </c>
      <c r="J870" s="3">
        <v>4</v>
      </c>
      <c r="K870" s="1">
        <v>45239</v>
      </c>
      <c r="L870" s="1" t="str">
        <f>TEXT(Table1[[#This Row],[Purchase_Date]],"YYYY")</f>
        <v>2023</v>
      </c>
      <c r="M870" s="1" t="str">
        <f>TEXT(Table1[[#This Row],[Purchase_Date]],"MMM")</f>
        <v>Nov</v>
      </c>
      <c r="N870" s="1" t="str">
        <f>TEXT(Table1[[#This Row],[Purchase_Date]],"DD")</f>
        <v>09</v>
      </c>
      <c r="O870" s="2" t="s">
        <v>30</v>
      </c>
      <c r="P870" s="3">
        <v>1</v>
      </c>
      <c r="Q870" s="2" t="s">
        <v>46</v>
      </c>
      <c r="R870" s="2" t="s">
        <v>24</v>
      </c>
      <c r="S870">
        <f>Table1[[#This Row],[Purchase_Amount]]*Table1[[#This Row],[Quantity]]</f>
        <v>330.52</v>
      </c>
      <c r="T870" t="str">
        <f>IF(Table1[[#This Row],[Age]]&lt;25,"&lt;25",IF(Table1[[#This Row],[Age]]&lt;=35,"25-35",IF(Table1[[#This Row],[Age]]&lt;=50,"36-50","50+")))</f>
        <v>&lt;25</v>
      </c>
    </row>
    <row r="871" spans="1:20" x14ac:dyDescent="0.3">
      <c r="A871" s="2" t="s">
        <v>370</v>
      </c>
      <c r="B871" s="2" t="s">
        <v>16</v>
      </c>
      <c r="C871" s="3">
        <v>23</v>
      </c>
      <c r="D871" s="2" t="s">
        <v>78</v>
      </c>
      <c r="E871" s="2" t="s">
        <v>49</v>
      </c>
      <c r="F871" s="2" t="s">
        <v>27</v>
      </c>
      <c r="G871" t="s">
        <v>39</v>
      </c>
      <c r="H871" t="s">
        <v>371</v>
      </c>
      <c r="I871" s="4">
        <v>362.4</v>
      </c>
      <c r="J871" s="3">
        <v>1</v>
      </c>
      <c r="K871" s="1">
        <v>44960</v>
      </c>
      <c r="L871" s="1" t="str">
        <f>TEXT(Table1[[#This Row],[Purchase_Date]],"YYYY")</f>
        <v>2023</v>
      </c>
      <c r="M871" s="1" t="str">
        <f>TEXT(Table1[[#This Row],[Purchase_Date]],"MMM")</f>
        <v>Feb</v>
      </c>
      <c r="N871" s="1" t="str">
        <f>TEXT(Table1[[#This Row],[Purchase_Date]],"DD")</f>
        <v>03</v>
      </c>
      <c r="O871" s="2" t="s">
        <v>41</v>
      </c>
      <c r="P871" s="3">
        <v>1</v>
      </c>
      <c r="Q871" s="2" t="s">
        <v>23</v>
      </c>
      <c r="R871" s="2" t="s">
        <v>47</v>
      </c>
      <c r="S871">
        <f>Table1[[#This Row],[Purchase_Amount]]*Table1[[#This Row],[Quantity]]</f>
        <v>362.4</v>
      </c>
      <c r="T871" t="str">
        <f>IF(Table1[[#This Row],[Age]]&lt;25,"&lt;25",IF(Table1[[#This Row],[Age]]&lt;=35,"25-35",IF(Table1[[#This Row],[Age]]&lt;=50,"36-50","50+")))</f>
        <v>&lt;25</v>
      </c>
    </row>
    <row r="872" spans="1:20" x14ac:dyDescent="0.3">
      <c r="A872" s="2" t="s">
        <v>551</v>
      </c>
      <c r="B872" s="2" t="s">
        <v>16</v>
      </c>
      <c r="C872" s="3">
        <v>24</v>
      </c>
      <c r="D872" s="2" t="s">
        <v>43</v>
      </c>
      <c r="E872" s="2" t="s">
        <v>18</v>
      </c>
      <c r="F872" s="2" t="s">
        <v>19</v>
      </c>
      <c r="G872" t="s">
        <v>39</v>
      </c>
      <c r="H872" t="s">
        <v>219</v>
      </c>
      <c r="I872" s="4">
        <v>204.52</v>
      </c>
      <c r="J872" s="3">
        <v>4</v>
      </c>
      <c r="K872" s="1">
        <v>45188</v>
      </c>
      <c r="L872" s="1" t="str">
        <f>TEXT(Table1[[#This Row],[Purchase_Date]],"YYYY")</f>
        <v>2023</v>
      </c>
      <c r="M872" s="1" t="str">
        <f>TEXT(Table1[[#This Row],[Purchase_Date]],"MMM")</f>
        <v>Sep</v>
      </c>
      <c r="N872" s="1" t="str">
        <f>TEXT(Table1[[#This Row],[Purchase_Date]],"DD")</f>
        <v>19</v>
      </c>
      <c r="O872" s="2" t="s">
        <v>22</v>
      </c>
      <c r="P872" s="3">
        <v>8</v>
      </c>
      <c r="Q872" s="2" t="s">
        <v>46</v>
      </c>
      <c r="R872" s="2" t="s">
        <v>24</v>
      </c>
      <c r="S872">
        <f>Table1[[#This Row],[Purchase_Amount]]*Table1[[#This Row],[Quantity]]</f>
        <v>818.08</v>
      </c>
      <c r="T872" t="str">
        <f>IF(Table1[[#This Row],[Age]]&lt;25,"&lt;25",IF(Table1[[#This Row],[Age]]&lt;=35,"25-35",IF(Table1[[#This Row],[Age]]&lt;=50,"36-50","50+")))</f>
        <v>&lt;25</v>
      </c>
    </row>
    <row r="873" spans="1:20" x14ac:dyDescent="0.3">
      <c r="A873" s="2" t="s">
        <v>797</v>
      </c>
      <c r="B873" s="2" t="s">
        <v>16</v>
      </c>
      <c r="C873" s="3">
        <v>27</v>
      </c>
      <c r="D873" s="2" t="s">
        <v>38</v>
      </c>
      <c r="E873" s="2" t="s">
        <v>18</v>
      </c>
      <c r="F873" s="2" t="s">
        <v>27</v>
      </c>
      <c r="G873" t="s">
        <v>39</v>
      </c>
      <c r="H873" t="s">
        <v>249</v>
      </c>
      <c r="I873" s="4">
        <v>694.8</v>
      </c>
      <c r="J873" s="3">
        <v>5</v>
      </c>
      <c r="K873" s="1">
        <v>45090</v>
      </c>
      <c r="L873" s="1" t="str">
        <f>TEXT(Table1[[#This Row],[Purchase_Date]],"YYYY")</f>
        <v>2023</v>
      </c>
      <c r="M873" s="1" t="str">
        <f>TEXT(Table1[[#This Row],[Purchase_Date]],"MMM")</f>
        <v>Jun</v>
      </c>
      <c r="N873" s="1" t="str">
        <f>TEXT(Table1[[#This Row],[Purchase_Date]],"DD")</f>
        <v>13</v>
      </c>
      <c r="O873" s="2" t="s">
        <v>36</v>
      </c>
      <c r="P873" s="3">
        <v>10</v>
      </c>
      <c r="Q873" s="2" t="s">
        <v>46</v>
      </c>
      <c r="R873" s="2" t="s">
        <v>24</v>
      </c>
      <c r="S873">
        <f>Table1[[#This Row],[Purchase_Amount]]*Table1[[#This Row],[Quantity]]</f>
        <v>3474</v>
      </c>
      <c r="T873" t="str">
        <f>IF(Table1[[#This Row],[Age]]&lt;25,"&lt;25",IF(Table1[[#This Row],[Age]]&lt;=35,"25-35",IF(Table1[[#This Row],[Age]]&lt;=50,"36-50","50+")))</f>
        <v>25-35</v>
      </c>
    </row>
    <row r="874" spans="1:20" x14ac:dyDescent="0.3">
      <c r="A874" s="2" t="s">
        <v>659</v>
      </c>
      <c r="B874" s="2" t="s">
        <v>16</v>
      </c>
      <c r="C874" s="3">
        <v>28</v>
      </c>
      <c r="D874" s="2" t="s">
        <v>60</v>
      </c>
      <c r="E874" s="2" t="s">
        <v>18</v>
      </c>
      <c r="F874" s="2" t="s">
        <v>44</v>
      </c>
      <c r="G874" t="s">
        <v>39</v>
      </c>
      <c r="H874" t="s">
        <v>119</v>
      </c>
      <c r="I874" s="4">
        <v>866.42</v>
      </c>
      <c r="J874" s="3">
        <v>3</v>
      </c>
      <c r="K874" s="1">
        <v>45067</v>
      </c>
      <c r="L874" s="1" t="str">
        <f>TEXT(Table1[[#This Row],[Purchase_Date]],"YYYY")</f>
        <v>2023</v>
      </c>
      <c r="M874" s="1" t="str">
        <f>TEXT(Table1[[#This Row],[Purchase_Date]],"MMM")</f>
        <v>May</v>
      </c>
      <c r="N874" s="1" t="str">
        <f>TEXT(Table1[[#This Row],[Purchase_Date]],"DD")</f>
        <v>21</v>
      </c>
      <c r="O874" s="2" t="s">
        <v>41</v>
      </c>
      <c r="P874" s="3">
        <v>1</v>
      </c>
      <c r="Q874" s="2" t="s">
        <v>23</v>
      </c>
      <c r="R874" s="2" t="s">
        <v>24</v>
      </c>
      <c r="S874">
        <f>Table1[[#This Row],[Purchase_Amount]]*Table1[[#This Row],[Quantity]]</f>
        <v>2599.2599999999998</v>
      </c>
      <c r="T874" t="str">
        <f>IF(Table1[[#This Row],[Age]]&lt;25,"&lt;25",IF(Table1[[#This Row],[Age]]&lt;=35,"25-35",IF(Table1[[#This Row],[Age]]&lt;=50,"36-50","50+")))</f>
        <v>25-35</v>
      </c>
    </row>
    <row r="875" spans="1:20" x14ac:dyDescent="0.3">
      <c r="A875" s="2" t="s">
        <v>1106</v>
      </c>
      <c r="B875" s="2" t="s">
        <v>16</v>
      </c>
      <c r="C875" s="3">
        <v>29</v>
      </c>
      <c r="D875" s="2" t="s">
        <v>32</v>
      </c>
      <c r="E875" s="2" t="s">
        <v>49</v>
      </c>
      <c r="F875" s="2" t="s">
        <v>27</v>
      </c>
      <c r="G875" t="s">
        <v>39</v>
      </c>
      <c r="H875" t="s">
        <v>191</v>
      </c>
      <c r="I875" s="4">
        <v>797.06</v>
      </c>
      <c r="J875" s="3">
        <v>1</v>
      </c>
      <c r="K875" s="1">
        <v>45264</v>
      </c>
      <c r="L875" s="1" t="str">
        <f>TEXT(Table1[[#This Row],[Purchase_Date]],"YYYY")</f>
        <v>2023</v>
      </c>
      <c r="M875" s="1" t="str">
        <f>TEXT(Table1[[#This Row],[Purchase_Date]],"MMM")</f>
        <v>Dec</v>
      </c>
      <c r="N875" s="1" t="str">
        <f>TEXT(Table1[[#This Row],[Purchase_Date]],"DD")</f>
        <v>04</v>
      </c>
      <c r="O875" s="2" t="s">
        <v>41</v>
      </c>
      <c r="P875" s="3">
        <v>5</v>
      </c>
      <c r="Q875" s="2" t="s">
        <v>46</v>
      </c>
      <c r="R875" s="2" t="s">
        <v>24</v>
      </c>
      <c r="S875">
        <f>Table1[[#This Row],[Purchase_Amount]]*Table1[[#This Row],[Quantity]]</f>
        <v>797.06</v>
      </c>
      <c r="T875" t="str">
        <f>IF(Table1[[#This Row],[Age]]&lt;25,"&lt;25",IF(Table1[[#This Row],[Age]]&lt;=35,"25-35",IF(Table1[[#This Row],[Age]]&lt;=50,"36-50","50+")))</f>
        <v>25-35</v>
      </c>
    </row>
    <row r="876" spans="1:20" x14ac:dyDescent="0.3">
      <c r="A876" s="2" t="s">
        <v>1170</v>
      </c>
      <c r="B876" s="2" t="s">
        <v>16</v>
      </c>
      <c r="C876" s="3">
        <v>35</v>
      </c>
      <c r="D876" s="2" t="s">
        <v>64</v>
      </c>
      <c r="E876" s="2" t="s">
        <v>18</v>
      </c>
      <c r="F876" s="2" t="s">
        <v>19</v>
      </c>
      <c r="G876" t="s">
        <v>39</v>
      </c>
      <c r="H876" t="s">
        <v>893</v>
      </c>
      <c r="I876" s="4">
        <v>361.73</v>
      </c>
      <c r="J876" s="3">
        <v>2</v>
      </c>
      <c r="K876" s="1">
        <v>45124</v>
      </c>
      <c r="L876" s="1" t="str">
        <f>TEXT(Table1[[#This Row],[Purchase_Date]],"YYYY")</f>
        <v>2023</v>
      </c>
      <c r="M876" s="1" t="str">
        <f>TEXT(Table1[[#This Row],[Purchase_Date]],"MMM")</f>
        <v>Jul</v>
      </c>
      <c r="N876" s="1" t="str">
        <f>TEXT(Table1[[#This Row],[Purchase_Date]],"DD")</f>
        <v>17</v>
      </c>
      <c r="O876" s="2" t="s">
        <v>22</v>
      </c>
      <c r="P876" s="3">
        <v>4</v>
      </c>
      <c r="Q876" s="2" t="s">
        <v>23</v>
      </c>
      <c r="R876" s="2" t="s">
        <v>24</v>
      </c>
      <c r="S876">
        <f>Table1[[#This Row],[Purchase_Amount]]*Table1[[#This Row],[Quantity]]</f>
        <v>723.46</v>
      </c>
      <c r="T876" t="str">
        <f>IF(Table1[[#This Row],[Age]]&lt;25,"&lt;25",IF(Table1[[#This Row],[Age]]&lt;=35,"25-35",IF(Table1[[#This Row],[Age]]&lt;=50,"36-50","50+")))</f>
        <v>25-35</v>
      </c>
    </row>
    <row r="877" spans="1:20" x14ac:dyDescent="0.3">
      <c r="A877" s="2" t="s">
        <v>661</v>
      </c>
      <c r="B877" s="2" t="s">
        <v>16</v>
      </c>
      <c r="C877" s="3">
        <v>35</v>
      </c>
      <c r="D877" s="2" t="s">
        <v>32</v>
      </c>
      <c r="E877" s="2" t="s">
        <v>18</v>
      </c>
      <c r="F877" s="2" t="s">
        <v>44</v>
      </c>
      <c r="G877" t="s">
        <v>39</v>
      </c>
      <c r="H877" t="s">
        <v>253</v>
      </c>
      <c r="I877" s="4">
        <v>703.86</v>
      </c>
      <c r="J877" s="3">
        <v>5</v>
      </c>
      <c r="K877" s="1">
        <v>45501</v>
      </c>
      <c r="L877" s="1" t="str">
        <f>TEXT(Table1[[#This Row],[Purchase_Date]],"YYYY")</f>
        <v>2024</v>
      </c>
      <c r="M877" s="1" t="str">
        <f>TEXT(Table1[[#This Row],[Purchase_Date]],"MMM")</f>
        <v>Jul</v>
      </c>
      <c r="N877" s="1" t="str">
        <f>TEXT(Table1[[#This Row],[Purchase_Date]],"DD")</f>
        <v>28</v>
      </c>
      <c r="O877" s="2" t="s">
        <v>30</v>
      </c>
      <c r="P877" s="3">
        <v>3</v>
      </c>
      <c r="Q877" s="2" t="s">
        <v>23</v>
      </c>
      <c r="R877" s="2" t="s">
        <v>47</v>
      </c>
      <c r="S877">
        <f>Table1[[#This Row],[Purchase_Amount]]*Table1[[#This Row],[Quantity]]</f>
        <v>3519.3</v>
      </c>
      <c r="T877" t="str">
        <f>IF(Table1[[#This Row],[Age]]&lt;25,"&lt;25",IF(Table1[[#This Row],[Age]]&lt;=35,"25-35",IF(Table1[[#This Row],[Age]]&lt;=50,"36-50","50+")))</f>
        <v>25-35</v>
      </c>
    </row>
    <row r="878" spans="1:20" x14ac:dyDescent="0.3">
      <c r="A878" s="2" t="s">
        <v>543</v>
      </c>
      <c r="B878" s="2" t="s">
        <v>16</v>
      </c>
      <c r="C878" s="3">
        <v>36</v>
      </c>
      <c r="D878" s="2" t="s">
        <v>64</v>
      </c>
      <c r="E878" s="2" t="s">
        <v>33</v>
      </c>
      <c r="F878" s="2" t="s">
        <v>27</v>
      </c>
      <c r="G878" t="s">
        <v>39</v>
      </c>
      <c r="H878" t="s">
        <v>153</v>
      </c>
      <c r="I878" s="4">
        <v>779.03</v>
      </c>
      <c r="J878" s="3">
        <v>5</v>
      </c>
      <c r="K878" s="1">
        <v>45380</v>
      </c>
      <c r="L878" s="1" t="str">
        <f>TEXT(Table1[[#This Row],[Purchase_Date]],"YYYY")</f>
        <v>2024</v>
      </c>
      <c r="M878" s="1" t="str">
        <f>TEXT(Table1[[#This Row],[Purchase_Date]],"MMM")</f>
        <v>Mar</v>
      </c>
      <c r="N878" s="1" t="str">
        <f>TEXT(Table1[[#This Row],[Purchase_Date]],"DD")</f>
        <v>29</v>
      </c>
      <c r="O878" s="2" t="s">
        <v>41</v>
      </c>
      <c r="P878" s="3">
        <v>7</v>
      </c>
      <c r="Q878" s="2" t="s">
        <v>46</v>
      </c>
      <c r="R878" s="2" t="s">
        <v>47</v>
      </c>
      <c r="S878">
        <f>Table1[[#This Row],[Purchase_Amount]]*Table1[[#This Row],[Quantity]]</f>
        <v>3895.1499999999996</v>
      </c>
      <c r="T878" t="str">
        <f>IF(Table1[[#This Row],[Age]]&lt;25,"&lt;25",IF(Table1[[#This Row],[Age]]&lt;=35,"25-35",IF(Table1[[#This Row],[Age]]&lt;=50,"36-50","50+")))</f>
        <v>36-50</v>
      </c>
    </row>
    <row r="879" spans="1:20" x14ac:dyDescent="0.3">
      <c r="A879" s="2" t="s">
        <v>616</v>
      </c>
      <c r="B879" s="2" t="s">
        <v>16</v>
      </c>
      <c r="C879" s="3">
        <v>37</v>
      </c>
      <c r="D879" s="2" t="s">
        <v>64</v>
      </c>
      <c r="E879" s="2" t="s">
        <v>33</v>
      </c>
      <c r="F879" s="2" t="s">
        <v>44</v>
      </c>
      <c r="G879" t="s">
        <v>39</v>
      </c>
      <c r="H879" t="s">
        <v>229</v>
      </c>
      <c r="I879" s="4">
        <v>557.29</v>
      </c>
      <c r="J879" s="3">
        <v>1</v>
      </c>
      <c r="K879" s="1">
        <v>45175</v>
      </c>
      <c r="L879" s="1" t="str">
        <f>TEXT(Table1[[#This Row],[Purchase_Date]],"YYYY")</f>
        <v>2023</v>
      </c>
      <c r="M879" s="1" t="str">
        <f>TEXT(Table1[[#This Row],[Purchase_Date]],"MMM")</f>
        <v>Sep</v>
      </c>
      <c r="N879" s="1" t="str">
        <f>TEXT(Table1[[#This Row],[Purchase_Date]],"DD")</f>
        <v>06</v>
      </c>
      <c r="O879" s="2" t="s">
        <v>41</v>
      </c>
      <c r="P879" s="3">
        <v>8</v>
      </c>
      <c r="Q879" s="2" t="s">
        <v>23</v>
      </c>
      <c r="R879" s="2" t="s">
        <v>24</v>
      </c>
      <c r="S879">
        <f>Table1[[#This Row],[Purchase_Amount]]*Table1[[#This Row],[Quantity]]</f>
        <v>557.29</v>
      </c>
      <c r="T879" t="str">
        <f>IF(Table1[[#This Row],[Age]]&lt;25,"&lt;25",IF(Table1[[#This Row],[Age]]&lt;=35,"25-35",IF(Table1[[#This Row],[Age]]&lt;=50,"36-50","50+")))</f>
        <v>36-50</v>
      </c>
    </row>
    <row r="880" spans="1:20" x14ac:dyDescent="0.3">
      <c r="A880" s="2" t="s">
        <v>648</v>
      </c>
      <c r="B880" s="2" t="s">
        <v>16</v>
      </c>
      <c r="C880" s="3">
        <v>39</v>
      </c>
      <c r="D880" s="2" t="s">
        <v>64</v>
      </c>
      <c r="E880" s="2" t="s">
        <v>33</v>
      </c>
      <c r="F880" s="2" t="s">
        <v>27</v>
      </c>
      <c r="G880" t="s">
        <v>39</v>
      </c>
      <c r="H880" t="s">
        <v>273</v>
      </c>
      <c r="I880" s="4">
        <v>581.84</v>
      </c>
      <c r="J880" s="3">
        <v>2</v>
      </c>
      <c r="K880" s="1">
        <v>45363</v>
      </c>
      <c r="L880" s="1" t="str">
        <f>TEXT(Table1[[#This Row],[Purchase_Date]],"YYYY")</f>
        <v>2024</v>
      </c>
      <c r="M880" s="1" t="str">
        <f>TEXT(Table1[[#This Row],[Purchase_Date]],"MMM")</f>
        <v>Mar</v>
      </c>
      <c r="N880" s="1" t="str">
        <f>TEXT(Table1[[#This Row],[Purchase_Date]],"DD")</f>
        <v>12</v>
      </c>
      <c r="O880" s="2" t="s">
        <v>30</v>
      </c>
      <c r="P880" s="3">
        <v>4</v>
      </c>
      <c r="Q880" s="2" t="s">
        <v>46</v>
      </c>
      <c r="R880" s="2" t="s">
        <v>24</v>
      </c>
      <c r="S880">
        <f>Table1[[#This Row],[Purchase_Amount]]*Table1[[#This Row],[Quantity]]</f>
        <v>1163.68</v>
      </c>
      <c r="T880" t="str">
        <f>IF(Table1[[#This Row],[Age]]&lt;25,"&lt;25",IF(Table1[[#This Row],[Age]]&lt;=35,"25-35",IF(Table1[[#This Row],[Age]]&lt;=50,"36-50","50+")))</f>
        <v>36-50</v>
      </c>
    </row>
    <row r="881" spans="1:20" x14ac:dyDescent="0.3">
      <c r="A881" s="2" t="s">
        <v>574</v>
      </c>
      <c r="B881" s="2" t="s">
        <v>16</v>
      </c>
      <c r="C881" s="3">
        <v>41</v>
      </c>
      <c r="D881" s="2" t="s">
        <v>38</v>
      </c>
      <c r="E881" s="2" t="s">
        <v>18</v>
      </c>
      <c r="F881" s="2" t="s">
        <v>27</v>
      </c>
      <c r="G881" t="s">
        <v>39</v>
      </c>
      <c r="H881" t="s">
        <v>151</v>
      </c>
      <c r="I881" s="4">
        <v>604.58000000000004</v>
      </c>
      <c r="J881" s="3">
        <v>2</v>
      </c>
      <c r="K881" s="1">
        <v>45028</v>
      </c>
      <c r="L881" s="1" t="str">
        <f>TEXT(Table1[[#This Row],[Purchase_Date]],"YYYY")</f>
        <v>2023</v>
      </c>
      <c r="M881" s="1" t="str">
        <f>TEXT(Table1[[#This Row],[Purchase_Date]],"MMM")</f>
        <v>Apr</v>
      </c>
      <c r="N881" s="1" t="str">
        <f>TEXT(Table1[[#This Row],[Purchase_Date]],"DD")</f>
        <v>12</v>
      </c>
      <c r="O881" s="2" t="s">
        <v>30</v>
      </c>
      <c r="P881" s="3">
        <v>6</v>
      </c>
      <c r="Q881" s="2" t="s">
        <v>46</v>
      </c>
      <c r="R881" s="2" t="s">
        <v>24</v>
      </c>
      <c r="S881">
        <f>Table1[[#This Row],[Purchase_Amount]]*Table1[[#This Row],[Quantity]]</f>
        <v>1209.1600000000001</v>
      </c>
      <c r="T881" t="str">
        <f>IF(Table1[[#This Row],[Age]]&lt;25,"&lt;25",IF(Table1[[#This Row],[Age]]&lt;=35,"25-35",IF(Table1[[#This Row],[Age]]&lt;=50,"36-50","50+")))</f>
        <v>36-50</v>
      </c>
    </row>
    <row r="882" spans="1:20" x14ac:dyDescent="0.3">
      <c r="A882" s="2" t="s">
        <v>51</v>
      </c>
      <c r="B882" s="2" t="s">
        <v>16</v>
      </c>
      <c r="C882" s="3">
        <v>41</v>
      </c>
      <c r="D882" s="2" t="s">
        <v>43</v>
      </c>
      <c r="E882" s="2" t="s">
        <v>18</v>
      </c>
      <c r="F882" s="2" t="s">
        <v>44</v>
      </c>
      <c r="G882" t="s">
        <v>39</v>
      </c>
      <c r="H882" t="s">
        <v>52</v>
      </c>
      <c r="I882" s="4">
        <v>682.37</v>
      </c>
      <c r="J882" s="3">
        <v>4</v>
      </c>
      <c r="K882" s="1">
        <v>45340</v>
      </c>
      <c r="L882" s="1" t="str">
        <f>TEXT(Table1[[#This Row],[Purchase_Date]],"YYYY")</f>
        <v>2024</v>
      </c>
      <c r="M882" s="1" t="str">
        <f>TEXT(Table1[[#This Row],[Purchase_Date]],"MMM")</f>
        <v>Feb</v>
      </c>
      <c r="N882" s="1" t="str">
        <f>TEXT(Table1[[#This Row],[Purchase_Date]],"DD")</f>
        <v>18</v>
      </c>
      <c r="O882" s="2" t="s">
        <v>41</v>
      </c>
      <c r="P882" s="3">
        <v>6</v>
      </c>
      <c r="Q882" s="2" t="s">
        <v>23</v>
      </c>
      <c r="R882" s="2" t="s">
        <v>24</v>
      </c>
      <c r="S882">
        <f>Table1[[#This Row],[Purchase_Amount]]*Table1[[#This Row],[Quantity]]</f>
        <v>2729.48</v>
      </c>
      <c r="T882" t="str">
        <f>IF(Table1[[#This Row],[Age]]&lt;25,"&lt;25",IF(Table1[[#This Row],[Age]]&lt;=35,"25-35",IF(Table1[[#This Row],[Age]]&lt;=50,"36-50","50+")))</f>
        <v>36-50</v>
      </c>
    </row>
    <row r="883" spans="1:20" x14ac:dyDescent="0.3">
      <c r="A883" s="2" t="s">
        <v>306</v>
      </c>
      <c r="B883" s="2" t="s">
        <v>16</v>
      </c>
      <c r="C883" s="3">
        <v>44</v>
      </c>
      <c r="D883" s="2" t="s">
        <v>109</v>
      </c>
      <c r="E883" s="2" t="s">
        <v>49</v>
      </c>
      <c r="F883" s="2" t="s">
        <v>27</v>
      </c>
      <c r="G883" t="s">
        <v>39</v>
      </c>
      <c r="H883" t="s">
        <v>307</v>
      </c>
      <c r="I883" s="4">
        <v>549.11</v>
      </c>
      <c r="J883" s="3">
        <v>2</v>
      </c>
      <c r="K883" s="1">
        <v>45173</v>
      </c>
      <c r="L883" s="1" t="str">
        <f>TEXT(Table1[[#This Row],[Purchase_Date]],"YYYY")</f>
        <v>2023</v>
      </c>
      <c r="M883" s="1" t="str">
        <f>TEXT(Table1[[#This Row],[Purchase_Date]],"MMM")</f>
        <v>Sep</v>
      </c>
      <c r="N883" s="1" t="str">
        <f>TEXT(Table1[[#This Row],[Purchase_Date]],"DD")</f>
        <v>04</v>
      </c>
      <c r="O883" s="2" t="s">
        <v>22</v>
      </c>
      <c r="P883" s="3">
        <v>1</v>
      </c>
      <c r="Q883" s="2" t="s">
        <v>23</v>
      </c>
      <c r="R883" s="2" t="s">
        <v>47</v>
      </c>
      <c r="S883">
        <f>Table1[[#This Row],[Purchase_Amount]]*Table1[[#This Row],[Quantity]]</f>
        <v>1098.22</v>
      </c>
      <c r="T883" t="str">
        <f>IF(Table1[[#This Row],[Age]]&lt;25,"&lt;25",IF(Table1[[#This Row],[Age]]&lt;=35,"25-35",IF(Table1[[#This Row],[Age]]&lt;=50,"36-50","50+")))</f>
        <v>36-50</v>
      </c>
    </row>
    <row r="884" spans="1:20" x14ac:dyDescent="0.3">
      <c r="A884" s="2" t="s">
        <v>474</v>
      </c>
      <c r="B884" s="2" t="s">
        <v>16</v>
      </c>
      <c r="C884" s="3">
        <v>45</v>
      </c>
      <c r="D884" s="2" t="s">
        <v>38</v>
      </c>
      <c r="E884" s="2" t="s">
        <v>49</v>
      </c>
      <c r="F884" s="2" t="s">
        <v>44</v>
      </c>
      <c r="G884" t="s">
        <v>39</v>
      </c>
      <c r="H884" t="s">
        <v>125</v>
      </c>
      <c r="I884" s="4">
        <v>407.86</v>
      </c>
      <c r="J884" s="3">
        <v>3</v>
      </c>
      <c r="K884" s="1">
        <v>45476</v>
      </c>
      <c r="L884" s="1" t="str">
        <f>TEXT(Table1[[#This Row],[Purchase_Date]],"YYYY")</f>
        <v>2024</v>
      </c>
      <c r="M884" s="1" t="str">
        <f>TEXT(Table1[[#This Row],[Purchase_Date]],"MMM")</f>
        <v>Jul</v>
      </c>
      <c r="N884" s="1" t="str">
        <f>TEXT(Table1[[#This Row],[Purchase_Date]],"DD")</f>
        <v>03</v>
      </c>
      <c r="O884" s="2" t="s">
        <v>41</v>
      </c>
      <c r="P884" s="3">
        <v>4</v>
      </c>
      <c r="Q884" s="2" t="s">
        <v>23</v>
      </c>
      <c r="R884" s="2" t="s">
        <v>24</v>
      </c>
      <c r="S884">
        <f>Table1[[#This Row],[Purchase_Amount]]*Table1[[#This Row],[Quantity]]</f>
        <v>1223.58</v>
      </c>
      <c r="T884" t="str">
        <f>IF(Table1[[#This Row],[Age]]&lt;25,"&lt;25",IF(Table1[[#This Row],[Age]]&lt;=35,"25-35",IF(Table1[[#This Row],[Age]]&lt;=50,"36-50","50+")))</f>
        <v>36-50</v>
      </c>
    </row>
    <row r="885" spans="1:20" x14ac:dyDescent="0.3">
      <c r="A885" s="2" t="s">
        <v>1126</v>
      </c>
      <c r="B885" s="2" t="s">
        <v>16</v>
      </c>
      <c r="C885" s="3">
        <v>46</v>
      </c>
      <c r="D885" s="2" t="s">
        <v>109</v>
      </c>
      <c r="E885" s="2" t="s">
        <v>49</v>
      </c>
      <c r="F885" s="2" t="s">
        <v>27</v>
      </c>
      <c r="G885" t="s">
        <v>39</v>
      </c>
      <c r="H885" t="s">
        <v>477</v>
      </c>
      <c r="I885" s="4">
        <v>614.27</v>
      </c>
      <c r="J885" s="3">
        <v>2</v>
      </c>
      <c r="K885" s="1">
        <v>45410</v>
      </c>
      <c r="L885" s="1" t="str">
        <f>TEXT(Table1[[#This Row],[Purchase_Date]],"YYYY")</f>
        <v>2024</v>
      </c>
      <c r="M885" s="1" t="str">
        <f>TEXT(Table1[[#This Row],[Purchase_Date]],"MMM")</f>
        <v>Apr</v>
      </c>
      <c r="N885" s="1" t="str">
        <f>TEXT(Table1[[#This Row],[Purchase_Date]],"DD")</f>
        <v>28</v>
      </c>
      <c r="O885" s="2" t="s">
        <v>30</v>
      </c>
      <c r="P885" s="3">
        <v>10</v>
      </c>
      <c r="Q885" s="2" t="s">
        <v>23</v>
      </c>
      <c r="R885" s="2" t="s">
        <v>47</v>
      </c>
      <c r="S885">
        <f>Table1[[#This Row],[Purchase_Amount]]*Table1[[#This Row],[Quantity]]</f>
        <v>1228.54</v>
      </c>
      <c r="T885" t="str">
        <f>IF(Table1[[#This Row],[Age]]&lt;25,"&lt;25",IF(Table1[[#This Row],[Age]]&lt;=35,"25-35",IF(Table1[[#This Row],[Age]]&lt;=50,"36-50","50+")))</f>
        <v>36-50</v>
      </c>
    </row>
    <row r="886" spans="1:20" x14ac:dyDescent="0.3">
      <c r="A886" s="2" t="s">
        <v>926</v>
      </c>
      <c r="B886" s="2" t="s">
        <v>16</v>
      </c>
      <c r="C886" s="3">
        <v>46</v>
      </c>
      <c r="D886" s="2" t="s">
        <v>78</v>
      </c>
      <c r="E886" s="2" t="s">
        <v>18</v>
      </c>
      <c r="F886" s="2" t="s">
        <v>27</v>
      </c>
      <c r="G886" t="s">
        <v>39</v>
      </c>
      <c r="H886" t="s">
        <v>314</v>
      </c>
      <c r="I886" s="4">
        <v>854.78</v>
      </c>
      <c r="J886" s="3">
        <v>2</v>
      </c>
      <c r="K886" s="1">
        <v>45042</v>
      </c>
      <c r="L886" s="1" t="str">
        <f>TEXT(Table1[[#This Row],[Purchase_Date]],"YYYY")</f>
        <v>2023</v>
      </c>
      <c r="M886" s="1" t="str">
        <f>TEXT(Table1[[#This Row],[Purchase_Date]],"MMM")</f>
        <v>Apr</v>
      </c>
      <c r="N886" s="1" t="str">
        <f>TEXT(Table1[[#This Row],[Purchase_Date]],"DD")</f>
        <v>26</v>
      </c>
      <c r="O886" s="2" t="s">
        <v>22</v>
      </c>
      <c r="P886" s="3">
        <v>10</v>
      </c>
      <c r="Q886" s="2" t="s">
        <v>23</v>
      </c>
      <c r="R886" s="2" t="s">
        <v>24</v>
      </c>
      <c r="S886">
        <f>Table1[[#This Row],[Purchase_Amount]]*Table1[[#This Row],[Quantity]]</f>
        <v>1709.56</v>
      </c>
      <c r="T886" t="str">
        <f>IF(Table1[[#This Row],[Age]]&lt;25,"&lt;25",IF(Table1[[#This Row],[Age]]&lt;=35,"25-35",IF(Table1[[#This Row],[Age]]&lt;=50,"36-50","50+")))</f>
        <v>36-50</v>
      </c>
    </row>
    <row r="887" spans="1:20" x14ac:dyDescent="0.3">
      <c r="A887" s="2" t="s">
        <v>892</v>
      </c>
      <c r="B887" s="2" t="s">
        <v>16</v>
      </c>
      <c r="C887" s="3">
        <v>47</v>
      </c>
      <c r="D887" s="2" t="s">
        <v>17</v>
      </c>
      <c r="E887" s="2" t="s">
        <v>49</v>
      </c>
      <c r="F887" s="2" t="s">
        <v>19</v>
      </c>
      <c r="G887" t="s">
        <v>39</v>
      </c>
      <c r="H887" t="s">
        <v>893</v>
      </c>
      <c r="I887" s="4">
        <v>91.75</v>
      </c>
      <c r="J887" s="3">
        <v>1</v>
      </c>
      <c r="K887" s="1">
        <v>44929</v>
      </c>
      <c r="L887" s="1" t="str">
        <f>TEXT(Table1[[#This Row],[Purchase_Date]],"YYYY")</f>
        <v>2023</v>
      </c>
      <c r="M887" s="1" t="str">
        <f>TEXT(Table1[[#This Row],[Purchase_Date]],"MMM")</f>
        <v>Jan</v>
      </c>
      <c r="N887" s="1" t="str">
        <f>TEXT(Table1[[#This Row],[Purchase_Date]],"DD")</f>
        <v>03</v>
      </c>
      <c r="O887" s="2" t="s">
        <v>30</v>
      </c>
      <c r="P887" s="3">
        <v>5</v>
      </c>
      <c r="Q887" s="2" t="s">
        <v>46</v>
      </c>
      <c r="R887" s="2" t="s">
        <v>24</v>
      </c>
      <c r="S887">
        <f>Table1[[#This Row],[Purchase_Amount]]*Table1[[#This Row],[Quantity]]</f>
        <v>91.75</v>
      </c>
      <c r="T887" t="str">
        <f>IF(Table1[[#This Row],[Age]]&lt;25,"&lt;25",IF(Table1[[#This Row],[Age]]&lt;=35,"25-35",IF(Table1[[#This Row],[Age]]&lt;=50,"36-50","50+")))</f>
        <v>36-50</v>
      </c>
    </row>
    <row r="888" spans="1:20" x14ac:dyDescent="0.3">
      <c r="A888" s="2" t="s">
        <v>1196</v>
      </c>
      <c r="B888" s="2" t="s">
        <v>16</v>
      </c>
      <c r="C888" s="3">
        <v>47</v>
      </c>
      <c r="D888" s="2" t="s">
        <v>43</v>
      </c>
      <c r="E888" s="2" t="s">
        <v>33</v>
      </c>
      <c r="F888" s="2" t="s">
        <v>44</v>
      </c>
      <c r="G888" t="s">
        <v>39</v>
      </c>
      <c r="H888" t="s">
        <v>215</v>
      </c>
      <c r="I888" s="4">
        <v>822.3</v>
      </c>
      <c r="J888" s="3">
        <v>2</v>
      </c>
      <c r="K888" s="1">
        <v>45248</v>
      </c>
      <c r="L888" s="1" t="str">
        <f>TEXT(Table1[[#This Row],[Purchase_Date]],"YYYY")</f>
        <v>2023</v>
      </c>
      <c r="M888" s="1" t="str">
        <f>TEXT(Table1[[#This Row],[Purchase_Date]],"MMM")</f>
        <v>Nov</v>
      </c>
      <c r="N888" s="1" t="str">
        <f>TEXT(Table1[[#This Row],[Purchase_Date]],"DD")</f>
        <v>18</v>
      </c>
      <c r="O888" s="2" t="s">
        <v>41</v>
      </c>
      <c r="P888" s="3">
        <v>7</v>
      </c>
      <c r="Q888" s="2" t="s">
        <v>46</v>
      </c>
      <c r="R888" s="2" t="s">
        <v>24</v>
      </c>
      <c r="S888">
        <f>Table1[[#This Row],[Purchase_Amount]]*Table1[[#This Row],[Quantity]]</f>
        <v>1644.6</v>
      </c>
      <c r="T888" t="str">
        <f>IF(Table1[[#This Row],[Age]]&lt;25,"&lt;25",IF(Table1[[#This Row],[Age]]&lt;=35,"25-35",IF(Table1[[#This Row],[Age]]&lt;=50,"36-50","50+")))</f>
        <v>36-50</v>
      </c>
    </row>
    <row r="889" spans="1:20" x14ac:dyDescent="0.3">
      <c r="A889" s="2" t="s">
        <v>796</v>
      </c>
      <c r="B889" s="2" t="s">
        <v>16</v>
      </c>
      <c r="C889" s="3">
        <v>49</v>
      </c>
      <c r="D889" s="2" t="s">
        <v>109</v>
      </c>
      <c r="E889" s="2" t="s">
        <v>49</v>
      </c>
      <c r="F889" s="2" t="s">
        <v>44</v>
      </c>
      <c r="G889" t="s">
        <v>39</v>
      </c>
      <c r="H889" t="s">
        <v>160</v>
      </c>
      <c r="I889" s="4">
        <v>17.28</v>
      </c>
      <c r="J889" s="3">
        <v>3</v>
      </c>
      <c r="K889" s="1">
        <v>45293</v>
      </c>
      <c r="L889" s="1" t="str">
        <f>TEXT(Table1[[#This Row],[Purchase_Date]],"YYYY")</f>
        <v>2024</v>
      </c>
      <c r="M889" s="1" t="str">
        <f>TEXT(Table1[[#This Row],[Purchase_Date]],"MMM")</f>
        <v>Jan</v>
      </c>
      <c r="N889" s="1" t="str">
        <f>TEXT(Table1[[#This Row],[Purchase_Date]],"DD")</f>
        <v>02</v>
      </c>
      <c r="O889" s="2" t="s">
        <v>36</v>
      </c>
      <c r="P889" s="3">
        <v>10</v>
      </c>
      <c r="Q889" s="2" t="s">
        <v>23</v>
      </c>
      <c r="R889" s="2" t="s">
        <v>47</v>
      </c>
      <c r="S889">
        <f>Table1[[#This Row],[Purchase_Amount]]*Table1[[#This Row],[Quantity]]</f>
        <v>51.84</v>
      </c>
      <c r="T889" t="str">
        <f>IF(Table1[[#This Row],[Age]]&lt;25,"&lt;25",IF(Table1[[#This Row],[Age]]&lt;=35,"25-35",IF(Table1[[#This Row],[Age]]&lt;=50,"36-50","50+")))</f>
        <v>36-50</v>
      </c>
    </row>
    <row r="890" spans="1:20" x14ac:dyDescent="0.3">
      <c r="A890" s="2" t="s">
        <v>308</v>
      </c>
      <c r="B890" s="2" t="s">
        <v>16</v>
      </c>
      <c r="C890" s="3">
        <v>50</v>
      </c>
      <c r="D890" s="2" t="s">
        <v>109</v>
      </c>
      <c r="E890" s="2" t="s">
        <v>18</v>
      </c>
      <c r="F890" s="2" t="s">
        <v>27</v>
      </c>
      <c r="G890" t="s">
        <v>39</v>
      </c>
      <c r="H890" t="s">
        <v>265</v>
      </c>
      <c r="I890" s="4">
        <v>168.28</v>
      </c>
      <c r="J890" s="3">
        <v>5</v>
      </c>
      <c r="K890" s="1">
        <v>45281</v>
      </c>
      <c r="L890" s="1" t="str">
        <f>TEXT(Table1[[#This Row],[Purchase_Date]],"YYYY")</f>
        <v>2023</v>
      </c>
      <c r="M890" s="1" t="str">
        <f>TEXT(Table1[[#This Row],[Purchase_Date]],"MMM")</f>
        <v>Dec</v>
      </c>
      <c r="N890" s="1" t="str">
        <f>TEXT(Table1[[#This Row],[Purchase_Date]],"DD")</f>
        <v>21</v>
      </c>
      <c r="O890" s="2" t="s">
        <v>30</v>
      </c>
      <c r="P890" s="3">
        <v>1</v>
      </c>
      <c r="Q890" s="2" t="s">
        <v>23</v>
      </c>
      <c r="R890" s="2" t="s">
        <v>47</v>
      </c>
      <c r="S890">
        <f>Table1[[#This Row],[Purchase_Amount]]*Table1[[#This Row],[Quantity]]</f>
        <v>841.4</v>
      </c>
      <c r="T890" t="str">
        <f>IF(Table1[[#This Row],[Age]]&lt;25,"&lt;25",IF(Table1[[#This Row],[Age]]&lt;=35,"25-35",IF(Table1[[#This Row],[Age]]&lt;=50,"36-50","50+")))</f>
        <v>36-50</v>
      </c>
    </row>
    <row r="891" spans="1:20" x14ac:dyDescent="0.3">
      <c r="A891" s="2" t="s">
        <v>668</v>
      </c>
      <c r="B891" s="2" t="s">
        <v>16</v>
      </c>
      <c r="C891" s="3">
        <v>51</v>
      </c>
      <c r="D891" s="2" t="s">
        <v>60</v>
      </c>
      <c r="E891" s="2" t="s">
        <v>18</v>
      </c>
      <c r="F891" s="2" t="s">
        <v>27</v>
      </c>
      <c r="G891" t="s">
        <v>39</v>
      </c>
      <c r="H891" t="s">
        <v>131</v>
      </c>
      <c r="I891" s="4">
        <v>289.10000000000002</v>
      </c>
      <c r="J891" s="3">
        <v>3</v>
      </c>
      <c r="K891" s="1">
        <v>45202</v>
      </c>
      <c r="L891" s="1" t="str">
        <f>TEXT(Table1[[#This Row],[Purchase_Date]],"YYYY")</f>
        <v>2023</v>
      </c>
      <c r="M891" s="1" t="str">
        <f>TEXT(Table1[[#This Row],[Purchase_Date]],"MMM")</f>
        <v>Oct</v>
      </c>
      <c r="N891" s="1" t="str">
        <f>TEXT(Table1[[#This Row],[Purchase_Date]],"DD")</f>
        <v>03</v>
      </c>
      <c r="O891" s="2" t="s">
        <v>22</v>
      </c>
      <c r="P891" s="3">
        <v>5</v>
      </c>
      <c r="Q891" s="2" t="s">
        <v>23</v>
      </c>
      <c r="R891" s="2" t="s">
        <v>24</v>
      </c>
      <c r="S891">
        <f>Table1[[#This Row],[Purchase_Amount]]*Table1[[#This Row],[Quantity]]</f>
        <v>867.30000000000007</v>
      </c>
      <c r="T891" t="str">
        <f>IF(Table1[[#This Row],[Age]]&lt;25,"&lt;25",IF(Table1[[#This Row],[Age]]&lt;=35,"25-35",IF(Table1[[#This Row],[Age]]&lt;=50,"36-50","50+")))</f>
        <v>50+</v>
      </c>
    </row>
    <row r="892" spans="1:20" x14ac:dyDescent="0.3">
      <c r="A892" s="2" t="s">
        <v>1125</v>
      </c>
      <c r="B892" s="2" t="s">
        <v>16</v>
      </c>
      <c r="C892" s="3">
        <v>51</v>
      </c>
      <c r="D892" s="2" t="s">
        <v>64</v>
      </c>
      <c r="E892" s="2" t="s">
        <v>18</v>
      </c>
      <c r="F892" s="2" t="s">
        <v>27</v>
      </c>
      <c r="G892" t="s">
        <v>39</v>
      </c>
      <c r="H892" t="s">
        <v>149</v>
      </c>
      <c r="I892" s="4">
        <v>943.55</v>
      </c>
      <c r="J892" s="3">
        <v>5</v>
      </c>
      <c r="K892" s="1">
        <v>45526</v>
      </c>
      <c r="L892" s="1" t="str">
        <f>TEXT(Table1[[#This Row],[Purchase_Date]],"YYYY")</f>
        <v>2024</v>
      </c>
      <c r="M892" s="1" t="str">
        <f>TEXT(Table1[[#This Row],[Purchase_Date]],"MMM")</f>
        <v>Aug</v>
      </c>
      <c r="N892" s="1" t="str">
        <f>TEXT(Table1[[#This Row],[Purchase_Date]],"DD")</f>
        <v>22</v>
      </c>
      <c r="O892" s="2" t="s">
        <v>22</v>
      </c>
      <c r="P892" s="3">
        <v>2</v>
      </c>
      <c r="Q892" s="2" t="s">
        <v>46</v>
      </c>
      <c r="R892" s="2" t="s">
        <v>24</v>
      </c>
      <c r="S892">
        <f>Table1[[#This Row],[Purchase_Amount]]*Table1[[#This Row],[Quantity]]</f>
        <v>4717.75</v>
      </c>
      <c r="T892" t="str">
        <f>IF(Table1[[#This Row],[Age]]&lt;25,"&lt;25",IF(Table1[[#This Row],[Age]]&lt;=35,"25-35",IF(Table1[[#This Row],[Age]]&lt;=50,"36-50","50+")))</f>
        <v>50+</v>
      </c>
    </row>
    <row r="893" spans="1:20" x14ac:dyDescent="0.3">
      <c r="A893" s="2" t="s">
        <v>440</v>
      </c>
      <c r="B893" s="2" t="s">
        <v>16</v>
      </c>
      <c r="C893" s="3">
        <v>52</v>
      </c>
      <c r="D893" s="2" t="s">
        <v>78</v>
      </c>
      <c r="E893" s="2" t="s">
        <v>18</v>
      </c>
      <c r="F893" s="2" t="s">
        <v>27</v>
      </c>
      <c r="G893" t="s">
        <v>39</v>
      </c>
      <c r="H893" t="s">
        <v>441</v>
      </c>
      <c r="I893" s="4">
        <v>59.11</v>
      </c>
      <c r="J893" s="3">
        <v>2</v>
      </c>
      <c r="K893" s="1">
        <v>45393</v>
      </c>
      <c r="L893" s="1" t="str">
        <f>TEXT(Table1[[#This Row],[Purchase_Date]],"YYYY")</f>
        <v>2024</v>
      </c>
      <c r="M893" s="1" t="str">
        <f>TEXT(Table1[[#This Row],[Purchase_Date]],"MMM")</f>
        <v>Apr</v>
      </c>
      <c r="N893" s="1" t="str">
        <f>TEXT(Table1[[#This Row],[Purchase_Date]],"DD")</f>
        <v>11</v>
      </c>
      <c r="O893" s="2" t="s">
        <v>36</v>
      </c>
      <c r="P893" s="3">
        <v>3</v>
      </c>
      <c r="Q893" s="2" t="s">
        <v>46</v>
      </c>
      <c r="R893" s="2" t="s">
        <v>24</v>
      </c>
      <c r="S893">
        <f>Table1[[#This Row],[Purchase_Amount]]*Table1[[#This Row],[Quantity]]</f>
        <v>118.22</v>
      </c>
      <c r="T893" t="str">
        <f>IF(Table1[[#This Row],[Age]]&lt;25,"&lt;25",IF(Table1[[#This Row],[Age]]&lt;=35,"25-35",IF(Table1[[#This Row],[Age]]&lt;=50,"36-50","50+")))</f>
        <v>50+</v>
      </c>
    </row>
    <row r="894" spans="1:20" x14ac:dyDescent="0.3">
      <c r="A894" s="2" t="s">
        <v>821</v>
      </c>
      <c r="B894" s="2" t="s">
        <v>16</v>
      </c>
      <c r="C894" s="3">
        <v>52</v>
      </c>
      <c r="D894" s="2" t="s">
        <v>60</v>
      </c>
      <c r="E894" s="2" t="s">
        <v>18</v>
      </c>
      <c r="F894" s="2" t="s">
        <v>44</v>
      </c>
      <c r="G894" t="s">
        <v>39</v>
      </c>
      <c r="H894" t="s">
        <v>153</v>
      </c>
      <c r="I894" s="4">
        <v>211.95</v>
      </c>
      <c r="J894" s="3">
        <v>3</v>
      </c>
      <c r="K894" s="1">
        <v>45403</v>
      </c>
      <c r="L894" s="1" t="str">
        <f>TEXT(Table1[[#This Row],[Purchase_Date]],"YYYY")</f>
        <v>2024</v>
      </c>
      <c r="M894" s="1" t="str">
        <f>TEXT(Table1[[#This Row],[Purchase_Date]],"MMM")</f>
        <v>Apr</v>
      </c>
      <c r="N894" s="1" t="str">
        <f>TEXT(Table1[[#This Row],[Purchase_Date]],"DD")</f>
        <v>21</v>
      </c>
      <c r="O894" s="2" t="s">
        <v>41</v>
      </c>
      <c r="P894" s="3">
        <v>7</v>
      </c>
      <c r="Q894" s="2" t="s">
        <v>23</v>
      </c>
      <c r="R894" s="2" t="s">
        <v>24</v>
      </c>
      <c r="S894">
        <f>Table1[[#This Row],[Purchase_Amount]]*Table1[[#This Row],[Quantity]]</f>
        <v>635.84999999999991</v>
      </c>
      <c r="T894" t="str">
        <f>IF(Table1[[#This Row],[Age]]&lt;25,"&lt;25",IF(Table1[[#This Row],[Age]]&lt;=35,"25-35",IF(Table1[[#This Row],[Age]]&lt;=50,"36-50","50+")))</f>
        <v>50+</v>
      </c>
    </row>
    <row r="895" spans="1:20" x14ac:dyDescent="0.3">
      <c r="A895" s="2" t="s">
        <v>1070</v>
      </c>
      <c r="B895" s="2" t="s">
        <v>16</v>
      </c>
      <c r="C895" s="3">
        <v>52</v>
      </c>
      <c r="D895" s="2" t="s">
        <v>17</v>
      </c>
      <c r="E895" s="2" t="s">
        <v>18</v>
      </c>
      <c r="F895" s="2" t="s">
        <v>27</v>
      </c>
      <c r="G895" t="s">
        <v>39</v>
      </c>
      <c r="H895" t="s">
        <v>296</v>
      </c>
      <c r="I895" s="4">
        <v>890.11</v>
      </c>
      <c r="J895" s="3">
        <v>5</v>
      </c>
      <c r="K895" s="1">
        <v>45380</v>
      </c>
      <c r="L895" s="1" t="str">
        <f>TEXT(Table1[[#This Row],[Purchase_Date]],"YYYY")</f>
        <v>2024</v>
      </c>
      <c r="M895" s="1" t="str">
        <f>TEXT(Table1[[#This Row],[Purchase_Date]],"MMM")</f>
        <v>Mar</v>
      </c>
      <c r="N895" s="1" t="str">
        <f>TEXT(Table1[[#This Row],[Purchase_Date]],"DD")</f>
        <v>29</v>
      </c>
      <c r="O895" s="2" t="s">
        <v>36</v>
      </c>
      <c r="P895" s="3">
        <v>2</v>
      </c>
      <c r="Q895" s="2" t="s">
        <v>46</v>
      </c>
      <c r="R895" s="2" t="s">
        <v>24</v>
      </c>
      <c r="S895">
        <f>Table1[[#This Row],[Purchase_Amount]]*Table1[[#This Row],[Quantity]]</f>
        <v>4450.55</v>
      </c>
      <c r="T895" t="str">
        <f>IF(Table1[[#This Row],[Age]]&lt;25,"&lt;25",IF(Table1[[#This Row],[Age]]&lt;=35,"25-35",IF(Table1[[#This Row],[Age]]&lt;=50,"36-50","50+")))</f>
        <v>50+</v>
      </c>
    </row>
    <row r="896" spans="1:20" x14ac:dyDescent="0.3">
      <c r="A896" s="2" t="s">
        <v>1107</v>
      </c>
      <c r="B896" s="2" t="s">
        <v>16</v>
      </c>
      <c r="C896" s="3">
        <v>53</v>
      </c>
      <c r="D896" s="2" t="s">
        <v>43</v>
      </c>
      <c r="E896" s="2" t="s">
        <v>18</v>
      </c>
      <c r="F896" s="2" t="s">
        <v>27</v>
      </c>
      <c r="G896" t="s">
        <v>39</v>
      </c>
      <c r="H896" t="s">
        <v>349</v>
      </c>
      <c r="I896" s="4">
        <v>171.72</v>
      </c>
      <c r="J896" s="3">
        <v>2</v>
      </c>
      <c r="K896" s="1">
        <v>45473</v>
      </c>
      <c r="L896" s="1" t="str">
        <f>TEXT(Table1[[#This Row],[Purchase_Date]],"YYYY")</f>
        <v>2024</v>
      </c>
      <c r="M896" s="1" t="str">
        <f>TEXT(Table1[[#This Row],[Purchase_Date]],"MMM")</f>
        <v>Jun</v>
      </c>
      <c r="N896" s="1" t="str">
        <f>TEXT(Table1[[#This Row],[Purchase_Date]],"DD")</f>
        <v>30</v>
      </c>
      <c r="O896" s="2" t="s">
        <v>22</v>
      </c>
      <c r="P896" s="3">
        <v>6</v>
      </c>
      <c r="Q896" s="2" t="s">
        <v>46</v>
      </c>
      <c r="R896" s="2" t="s">
        <v>24</v>
      </c>
      <c r="S896">
        <f>Table1[[#This Row],[Purchase_Amount]]*Table1[[#This Row],[Quantity]]</f>
        <v>343.44</v>
      </c>
      <c r="T896" t="str">
        <f>IF(Table1[[#This Row],[Age]]&lt;25,"&lt;25",IF(Table1[[#This Row],[Age]]&lt;=35,"25-35",IF(Table1[[#This Row],[Age]]&lt;=50,"36-50","50+")))</f>
        <v>50+</v>
      </c>
    </row>
    <row r="897" spans="1:20" x14ac:dyDescent="0.3">
      <c r="A897" s="2" t="s">
        <v>398</v>
      </c>
      <c r="B897" s="2" t="s">
        <v>16</v>
      </c>
      <c r="C897" s="3">
        <v>54</v>
      </c>
      <c r="D897" s="2" t="s">
        <v>109</v>
      </c>
      <c r="E897" s="2" t="s">
        <v>33</v>
      </c>
      <c r="F897" s="2" t="s">
        <v>44</v>
      </c>
      <c r="G897" t="s">
        <v>39</v>
      </c>
      <c r="H897" t="s">
        <v>399</v>
      </c>
      <c r="I897" s="4">
        <v>693.15</v>
      </c>
      <c r="J897" s="3">
        <v>5</v>
      </c>
      <c r="K897" s="1">
        <v>45165</v>
      </c>
      <c r="L897" s="1" t="str">
        <f>TEXT(Table1[[#This Row],[Purchase_Date]],"YYYY")</f>
        <v>2023</v>
      </c>
      <c r="M897" s="1" t="str">
        <f>TEXT(Table1[[#This Row],[Purchase_Date]],"MMM")</f>
        <v>Aug</v>
      </c>
      <c r="N897" s="1" t="str">
        <f>TEXT(Table1[[#This Row],[Purchase_Date]],"DD")</f>
        <v>27</v>
      </c>
      <c r="O897" s="2" t="s">
        <v>41</v>
      </c>
      <c r="P897" s="3">
        <v>2</v>
      </c>
      <c r="Q897" s="2" t="s">
        <v>23</v>
      </c>
      <c r="R897" s="2" t="s">
        <v>24</v>
      </c>
      <c r="S897">
        <f>Table1[[#This Row],[Purchase_Amount]]*Table1[[#This Row],[Quantity]]</f>
        <v>3465.75</v>
      </c>
      <c r="T897" t="str">
        <f>IF(Table1[[#This Row],[Age]]&lt;25,"&lt;25",IF(Table1[[#This Row],[Age]]&lt;=35,"25-35",IF(Table1[[#This Row],[Age]]&lt;=50,"36-50","50+")))</f>
        <v>50+</v>
      </c>
    </row>
    <row r="898" spans="1:20" x14ac:dyDescent="0.3">
      <c r="A898" s="2" t="s">
        <v>987</v>
      </c>
      <c r="B898" s="2" t="s">
        <v>16</v>
      </c>
      <c r="C898" s="3">
        <v>55</v>
      </c>
      <c r="D898" s="2" t="s">
        <v>109</v>
      </c>
      <c r="E898" s="2" t="s">
        <v>18</v>
      </c>
      <c r="F898" s="2" t="s">
        <v>19</v>
      </c>
      <c r="G898" t="s">
        <v>39</v>
      </c>
      <c r="H898" t="s">
        <v>193</v>
      </c>
      <c r="I898" s="4">
        <v>322.48</v>
      </c>
      <c r="J898" s="3">
        <v>3</v>
      </c>
      <c r="K898" s="1">
        <v>45367</v>
      </c>
      <c r="L898" s="1" t="str">
        <f>TEXT(Table1[[#This Row],[Purchase_Date]],"YYYY")</f>
        <v>2024</v>
      </c>
      <c r="M898" s="1" t="str">
        <f>TEXT(Table1[[#This Row],[Purchase_Date]],"MMM")</f>
        <v>Mar</v>
      </c>
      <c r="N898" s="1" t="str">
        <f>TEXT(Table1[[#This Row],[Purchase_Date]],"DD")</f>
        <v>16</v>
      </c>
      <c r="O898" s="2" t="s">
        <v>36</v>
      </c>
      <c r="P898" s="3">
        <v>10</v>
      </c>
      <c r="Q898" s="2" t="s">
        <v>23</v>
      </c>
      <c r="R898" s="2" t="s">
        <v>47</v>
      </c>
      <c r="S898">
        <f>Table1[[#This Row],[Purchase_Amount]]*Table1[[#This Row],[Quantity]]</f>
        <v>967.44</v>
      </c>
      <c r="T898" t="str">
        <f>IF(Table1[[#This Row],[Age]]&lt;25,"&lt;25",IF(Table1[[#This Row],[Age]]&lt;=35,"25-35",IF(Table1[[#This Row],[Age]]&lt;=50,"36-50","50+")))</f>
        <v>50+</v>
      </c>
    </row>
    <row r="899" spans="1:20" x14ac:dyDescent="0.3">
      <c r="A899" s="2" t="s">
        <v>1162</v>
      </c>
      <c r="B899" s="2" t="s">
        <v>16</v>
      </c>
      <c r="C899" s="3">
        <v>55</v>
      </c>
      <c r="D899" s="2" t="s">
        <v>78</v>
      </c>
      <c r="E899" s="2" t="s">
        <v>18</v>
      </c>
      <c r="F899" s="2" t="s">
        <v>44</v>
      </c>
      <c r="G899" t="s">
        <v>39</v>
      </c>
      <c r="H899" t="s">
        <v>1023</v>
      </c>
      <c r="I899" s="4">
        <v>929.27</v>
      </c>
      <c r="J899" s="3">
        <v>4</v>
      </c>
      <c r="K899" s="1">
        <v>45335</v>
      </c>
      <c r="L899" s="1" t="str">
        <f>TEXT(Table1[[#This Row],[Purchase_Date]],"YYYY")</f>
        <v>2024</v>
      </c>
      <c r="M899" s="1" t="str">
        <f>TEXT(Table1[[#This Row],[Purchase_Date]],"MMM")</f>
        <v>Feb</v>
      </c>
      <c r="N899" s="1" t="str">
        <f>TEXT(Table1[[#This Row],[Purchase_Date]],"DD")</f>
        <v>13</v>
      </c>
      <c r="O899" s="2" t="s">
        <v>36</v>
      </c>
      <c r="P899" s="3">
        <v>4</v>
      </c>
      <c r="Q899" s="2" t="s">
        <v>23</v>
      </c>
      <c r="R899" s="2" t="s">
        <v>24</v>
      </c>
      <c r="S899">
        <f>Table1[[#This Row],[Purchase_Amount]]*Table1[[#This Row],[Quantity]]</f>
        <v>3717.08</v>
      </c>
      <c r="T899" t="str">
        <f>IF(Table1[[#This Row],[Age]]&lt;25,"&lt;25",IF(Table1[[#This Row],[Age]]&lt;=35,"25-35",IF(Table1[[#This Row],[Age]]&lt;=50,"36-50","50+")))</f>
        <v>50+</v>
      </c>
    </row>
    <row r="900" spans="1:20" x14ac:dyDescent="0.3">
      <c r="A900" s="2" t="s">
        <v>537</v>
      </c>
      <c r="B900" s="2" t="s">
        <v>16</v>
      </c>
      <c r="C900" s="3">
        <v>56</v>
      </c>
      <c r="D900" s="2" t="s">
        <v>78</v>
      </c>
      <c r="E900" s="2" t="s">
        <v>33</v>
      </c>
      <c r="F900" s="2" t="s">
        <v>27</v>
      </c>
      <c r="G900" t="s">
        <v>39</v>
      </c>
      <c r="H900" t="s">
        <v>467</v>
      </c>
      <c r="I900" s="4">
        <v>478.7</v>
      </c>
      <c r="J900" s="3">
        <v>3</v>
      </c>
      <c r="K900" s="1">
        <v>45303</v>
      </c>
      <c r="L900" s="1" t="str">
        <f>TEXT(Table1[[#This Row],[Purchase_Date]],"YYYY")</f>
        <v>2024</v>
      </c>
      <c r="M900" s="1" t="str">
        <f>TEXT(Table1[[#This Row],[Purchase_Date]],"MMM")</f>
        <v>Jan</v>
      </c>
      <c r="N900" s="1" t="str">
        <f>TEXT(Table1[[#This Row],[Purchase_Date]],"DD")</f>
        <v>12</v>
      </c>
      <c r="O900" s="2" t="s">
        <v>36</v>
      </c>
      <c r="P900" s="3">
        <v>10</v>
      </c>
      <c r="Q900" s="2" t="s">
        <v>46</v>
      </c>
      <c r="R900" s="2" t="s">
        <v>24</v>
      </c>
      <c r="S900">
        <f>Table1[[#This Row],[Purchase_Amount]]*Table1[[#This Row],[Quantity]]</f>
        <v>1436.1</v>
      </c>
      <c r="T900" t="str">
        <f>IF(Table1[[#This Row],[Age]]&lt;25,"&lt;25",IF(Table1[[#This Row],[Age]]&lt;=35,"25-35",IF(Table1[[#This Row],[Age]]&lt;=50,"36-50","50+")))</f>
        <v>50+</v>
      </c>
    </row>
    <row r="901" spans="1:20" x14ac:dyDescent="0.3">
      <c r="A901" s="2" t="s">
        <v>201</v>
      </c>
      <c r="B901" s="2" t="s">
        <v>16</v>
      </c>
      <c r="C901" s="3">
        <v>57</v>
      </c>
      <c r="D901" s="2" t="s">
        <v>60</v>
      </c>
      <c r="E901" s="2" t="s">
        <v>33</v>
      </c>
      <c r="F901" s="2" t="s">
        <v>27</v>
      </c>
      <c r="G901" t="s">
        <v>39</v>
      </c>
      <c r="H901" t="s">
        <v>202</v>
      </c>
      <c r="I901" s="4">
        <v>466.13</v>
      </c>
      <c r="J901" s="3">
        <v>4</v>
      </c>
      <c r="K901" s="1">
        <v>45198</v>
      </c>
      <c r="L901" s="1" t="str">
        <f>TEXT(Table1[[#This Row],[Purchase_Date]],"YYYY")</f>
        <v>2023</v>
      </c>
      <c r="M901" s="1" t="str">
        <f>TEXT(Table1[[#This Row],[Purchase_Date]],"MMM")</f>
        <v>Sep</v>
      </c>
      <c r="N901" s="1" t="str">
        <f>TEXT(Table1[[#This Row],[Purchase_Date]],"DD")</f>
        <v>29</v>
      </c>
      <c r="O901" s="2" t="s">
        <v>41</v>
      </c>
      <c r="P901" s="3">
        <v>9</v>
      </c>
      <c r="Q901" s="2" t="s">
        <v>46</v>
      </c>
      <c r="R901" s="2" t="s">
        <v>24</v>
      </c>
      <c r="S901">
        <f>Table1[[#This Row],[Purchase_Amount]]*Table1[[#This Row],[Quantity]]</f>
        <v>1864.52</v>
      </c>
      <c r="T901" t="str">
        <f>IF(Table1[[#This Row],[Age]]&lt;25,"&lt;25",IF(Table1[[#This Row],[Age]]&lt;=35,"25-35",IF(Table1[[#This Row],[Age]]&lt;=50,"36-50","50+")))</f>
        <v>50+</v>
      </c>
    </row>
    <row r="902" spans="1:20" x14ac:dyDescent="0.3">
      <c r="A902" s="2" t="s">
        <v>37</v>
      </c>
      <c r="B902" s="2" t="s">
        <v>16</v>
      </c>
      <c r="C902" s="3">
        <v>57</v>
      </c>
      <c r="D902" s="2" t="s">
        <v>38</v>
      </c>
      <c r="E902" s="2" t="s">
        <v>18</v>
      </c>
      <c r="F902" s="2" t="s">
        <v>27</v>
      </c>
      <c r="G902" t="s">
        <v>39</v>
      </c>
      <c r="H902" t="s">
        <v>40</v>
      </c>
      <c r="I902" s="4">
        <v>887.52</v>
      </c>
      <c r="J902" s="3">
        <v>3</v>
      </c>
      <c r="K902" s="1">
        <v>45376</v>
      </c>
      <c r="L902" s="1" t="str">
        <f>TEXT(Table1[[#This Row],[Purchase_Date]],"YYYY")</f>
        <v>2024</v>
      </c>
      <c r="M902" s="1" t="str">
        <f>TEXT(Table1[[#This Row],[Purchase_Date]],"MMM")</f>
        <v>Mar</v>
      </c>
      <c r="N902" s="1" t="str">
        <f>TEXT(Table1[[#This Row],[Purchase_Date]],"DD")</f>
        <v>25</v>
      </c>
      <c r="O902" s="2" t="s">
        <v>41</v>
      </c>
      <c r="P902" s="3">
        <v>6</v>
      </c>
      <c r="Q902" s="2" t="s">
        <v>23</v>
      </c>
      <c r="R902" s="2" t="s">
        <v>24</v>
      </c>
      <c r="S902">
        <f>Table1[[#This Row],[Purchase_Amount]]*Table1[[#This Row],[Quantity]]</f>
        <v>2662.56</v>
      </c>
      <c r="T902" t="str">
        <f>IF(Table1[[#This Row],[Age]]&lt;25,"&lt;25",IF(Table1[[#This Row],[Age]]&lt;=35,"25-35",IF(Table1[[#This Row],[Age]]&lt;=50,"36-50","50+")))</f>
        <v>50+</v>
      </c>
    </row>
    <row r="903" spans="1:20" x14ac:dyDescent="0.3">
      <c r="A903" s="2" t="s">
        <v>644</v>
      </c>
      <c r="B903" s="2" t="s">
        <v>16</v>
      </c>
      <c r="C903" s="3">
        <v>62</v>
      </c>
      <c r="D903" s="2" t="s">
        <v>64</v>
      </c>
      <c r="E903" s="2" t="s">
        <v>33</v>
      </c>
      <c r="F903" s="2" t="s">
        <v>27</v>
      </c>
      <c r="G903" t="s">
        <v>39</v>
      </c>
      <c r="H903" t="s">
        <v>202</v>
      </c>
      <c r="I903" s="4">
        <v>269.77999999999997</v>
      </c>
      <c r="J903" s="3">
        <v>5</v>
      </c>
      <c r="K903" s="1">
        <v>45245</v>
      </c>
      <c r="L903" s="1" t="str">
        <f>TEXT(Table1[[#This Row],[Purchase_Date]],"YYYY")</f>
        <v>2023</v>
      </c>
      <c r="M903" s="1" t="str">
        <f>TEXT(Table1[[#This Row],[Purchase_Date]],"MMM")</f>
        <v>Nov</v>
      </c>
      <c r="N903" s="1" t="str">
        <f>TEXT(Table1[[#This Row],[Purchase_Date]],"DD")</f>
        <v>15</v>
      </c>
      <c r="O903" s="2" t="s">
        <v>22</v>
      </c>
      <c r="P903" s="3">
        <v>5</v>
      </c>
      <c r="Q903" s="2" t="s">
        <v>46</v>
      </c>
      <c r="R903" s="2" t="s">
        <v>24</v>
      </c>
      <c r="S903">
        <f>Table1[[#This Row],[Purchase_Amount]]*Table1[[#This Row],[Quantity]]</f>
        <v>1348.8999999999999</v>
      </c>
      <c r="T903" t="str">
        <f>IF(Table1[[#This Row],[Age]]&lt;25,"&lt;25",IF(Table1[[#This Row],[Age]]&lt;=35,"25-35",IF(Table1[[#This Row],[Age]]&lt;=50,"36-50","50+")))</f>
        <v>50+</v>
      </c>
    </row>
    <row r="904" spans="1:20" x14ac:dyDescent="0.3">
      <c r="A904" s="2" t="s">
        <v>1176</v>
      </c>
      <c r="B904" s="2" t="s">
        <v>16</v>
      </c>
      <c r="C904" s="3">
        <v>63</v>
      </c>
      <c r="D904" s="2" t="s">
        <v>60</v>
      </c>
      <c r="E904" s="2" t="s">
        <v>18</v>
      </c>
      <c r="F904" s="2" t="s">
        <v>19</v>
      </c>
      <c r="G904" t="s">
        <v>39</v>
      </c>
      <c r="H904" t="s">
        <v>127</v>
      </c>
      <c r="I904" s="4">
        <v>134</v>
      </c>
      <c r="J904" s="3">
        <v>1</v>
      </c>
      <c r="K904" s="1">
        <v>45459</v>
      </c>
      <c r="L904" s="1" t="str">
        <f>TEXT(Table1[[#This Row],[Purchase_Date]],"YYYY")</f>
        <v>2024</v>
      </c>
      <c r="M904" s="1" t="str">
        <f>TEXT(Table1[[#This Row],[Purchase_Date]],"MMM")</f>
        <v>Jun</v>
      </c>
      <c r="N904" s="1" t="str">
        <f>TEXT(Table1[[#This Row],[Purchase_Date]],"DD")</f>
        <v>16</v>
      </c>
      <c r="O904" s="2" t="s">
        <v>22</v>
      </c>
      <c r="P904" s="3">
        <v>3</v>
      </c>
      <c r="Q904" s="2" t="s">
        <v>46</v>
      </c>
      <c r="R904" s="2" t="s">
        <v>47</v>
      </c>
      <c r="S904">
        <f>Table1[[#This Row],[Purchase_Amount]]*Table1[[#This Row],[Quantity]]</f>
        <v>134</v>
      </c>
      <c r="T904" t="str">
        <f>IF(Table1[[#This Row],[Age]]&lt;25,"&lt;25",IF(Table1[[#This Row],[Age]]&lt;=35,"25-35",IF(Table1[[#This Row],[Age]]&lt;=50,"36-50","50+")))</f>
        <v>50+</v>
      </c>
    </row>
    <row r="905" spans="1:20" x14ac:dyDescent="0.3">
      <c r="A905" s="2" t="s">
        <v>1193</v>
      </c>
      <c r="B905" s="2" t="s">
        <v>16</v>
      </c>
      <c r="C905" s="3">
        <v>63</v>
      </c>
      <c r="D905" s="2" t="s">
        <v>60</v>
      </c>
      <c r="E905" s="2" t="s">
        <v>49</v>
      </c>
      <c r="F905" s="2" t="s">
        <v>44</v>
      </c>
      <c r="G905" t="s">
        <v>39</v>
      </c>
      <c r="H905" t="s">
        <v>243</v>
      </c>
      <c r="I905" s="4">
        <v>200.57</v>
      </c>
      <c r="J905" s="3">
        <v>2</v>
      </c>
      <c r="K905" s="1">
        <v>45294</v>
      </c>
      <c r="L905" s="1" t="str">
        <f>TEXT(Table1[[#This Row],[Purchase_Date]],"YYYY")</f>
        <v>2024</v>
      </c>
      <c r="M905" s="1" t="str">
        <f>TEXT(Table1[[#This Row],[Purchase_Date]],"MMM")</f>
        <v>Jan</v>
      </c>
      <c r="N905" s="1" t="str">
        <f>TEXT(Table1[[#This Row],[Purchase_Date]],"DD")</f>
        <v>03</v>
      </c>
      <c r="O905" s="2" t="s">
        <v>36</v>
      </c>
      <c r="P905" s="3">
        <v>2</v>
      </c>
      <c r="Q905" s="2" t="s">
        <v>23</v>
      </c>
      <c r="R905" s="2" t="s">
        <v>24</v>
      </c>
      <c r="S905">
        <f>Table1[[#This Row],[Purchase_Amount]]*Table1[[#This Row],[Quantity]]</f>
        <v>401.14</v>
      </c>
      <c r="T905" t="str">
        <f>IF(Table1[[#This Row],[Age]]&lt;25,"&lt;25",IF(Table1[[#This Row],[Age]]&lt;=35,"25-35",IF(Table1[[#This Row],[Age]]&lt;=50,"36-50","50+")))</f>
        <v>50+</v>
      </c>
    </row>
    <row r="906" spans="1:20" x14ac:dyDescent="0.3">
      <c r="A906" s="2" t="s">
        <v>259</v>
      </c>
      <c r="B906" s="2" t="s">
        <v>16</v>
      </c>
      <c r="C906" s="3">
        <v>64</v>
      </c>
      <c r="D906" s="2" t="s">
        <v>60</v>
      </c>
      <c r="E906" s="2" t="s">
        <v>18</v>
      </c>
      <c r="F906" s="2" t="s">
        <v>27</v>
      </c>
      <c r="G906" t="s">
        <v>39</v>
      </c>
      <c r="H906" t="s">
        <v>260</v>
      </c>
      <c r="I906" s="4">
        <v>327.2</v>
      </c>
      <c r="J906" s="3">
        <v>1</v>
      </c>
      <c r="K906" s="1">
        <v>45063</v>
      </c>
      <c r="L906" s="1" t="str">
        <f>TEXT(Table1[[#This Row],[Purchase_Date]],"YYYY")</f>
        <v>2023</v>
      </c>
      <c r="M906" s="1" t="str">
        <f>TEXT(Table1[[#This Row],[Purchase_Date]],"MMM")</f>
        <v>May</v>
      </c>
      <c r="N906" s="1" t="str">
        <f>TEXT(Table1[[#This Row],[Purchase_Date]],"DD")</f>
        <v>17</v>
      </c>
      <c r="O906" s="2" t="s">
        <v>36</v>
      </c>
      <c r="P906" s="3">
        <v>2</v>
      </c>
      <c r="Q906" s="2" t="s">
        <v>23</v>
      </c>
      <c r="R906" s="2" t="s">
        <v>24</v>
      </c>
      <c r="S906">
        <f>Table1[[#This Row],[Purchase_Amount]]*Table1[[#This Row],[Quantity]]</f>
        <v>327.2</v>
      </c>
      <c r="T906" t="str">
        <f>IF(Table1[[#This Row],[Age]]&lt;25,"&lt;25",IF(Table1[[#This Row],[Age]]&lt;=35,"25-35",IF(Table1[[#This Row],[Age]]&lt;=50,"36-50","50+")))</f>
        <v>50+</v>
      </c>
    </row>
    <row r="907" spans="1:20" x14ac:dyDescent="0.3">
      <c r="A907" s="2" t="s">
        <v>1153</v>
      </c>
      <c r="B907" s="2" t="s">
        <v>16</v>
      </c>
      <c r="C907" s="3">
        <v>64</v>
      </c>
      <c r="D907" s="2" t="s">
        <v>64</v>
      </c>
      <c r="E907" s="2" t="s">
        <v>33</v>
      </c>
      <c r="F907" s="2" t="s">
        <v>44</v>
      </c>
      <c r="G907" t="s">
        <v>39</v>
      </c>
      <c r="H907" t="s">
        <v>185</v>
      </c>
      <c r="I907" s="4">
        <v>444.74</v>
      </c>
      <c r="J907" s="3">
        <v>5</v>
      </c>
      <c r="K907" s="1">
        <v>45412</v>
      </c>
      <c r="L907" s="1" t="str">
        <f>TEXT(Table1[[#This Row],[Purchase_Date]],"YYYY")</f>
        <v>2024</v>
      </c>
      <c r="M907" s="1" t="str">
        <f>TEXT(Table1[[#This Row],[Purchase_Date]],"MMM")</f>
        <v>Apr</v>
      </c>
      <c r="N907" s="1" t="str">
        <f>TEXT(Table1[[#This Row],[Purchase_Date]],"DD")</f>
        <v>30</v>
      </c>
      <c r="O907" s="2" t="s">
        <v>41</v>
      </c>
      <c r="P907" s="3">
        <v>10</v>
      </c>
      <c r="Q907" s="2" t="s">
        <v>23</v>
      </c>
      <c r="R907" s="2" t="s">
        <v>47</v>
      </c>
      <c r="S907">
        <f>Table1[[#This Row],[Purchase_Amount]]*Table1[[#This Row],[Quantity]]</f>
        <v>2223.6999999999998</v>
      </c>
      <c r="T907" t="str">
        <f>IF(Table1[[#This Row],[Age]]&lt;25,"&lt;25",IF(Table1[[#This Row],[Age]]&lt;=35,"25-35",IF(Table1[[#This Row],[Age]]&lt;=50,"36-50","50+")))</f>
        <v>50+</v>
      </c>
    </row>
    <row r="908" spans="1:20" x14ac:dyDescent="0.3">
      <c r="A908" s="2" t="s">
        <v>374</v>
      </c>
      <c r="B908" s="2" t="s">
        <v>16</v>
      </c>
      <c r="C908" s="3">
        <v>64</v>
      </c>
      <c r="D908" s="2" t="s">
        <v>109</v>
      </c>
      <c r="E908" s="2" t="s">
        <v>33</v>
      </c>
      <c r="F908" s="2" t="s">
        <v>44</v>
      </c>
      <c r="G908" t="s">
        <v>39</v>
      </c>
      <c r="H908" t="s">
        <v>45</v>
      </c>
      <c r="I908" s="4">
        <v>816.24</v>
      </c>
      <c r="J908" s="3">
        <v>1</v>
      </c>
      <c r="K908" s="1">
        <v>45239</v>
      </c>
      <c r="L908" s="1" t="str">
        <f>TEXT(Table1[[#This Row],[Purchase_Date]],"YYYY")</f>
        <v>2023</v>
      </c>
      <c r="M908" s="1" t="str">
        <f>TEXT(Table1[[#This Row],[Purchase_Date]],"MMM")</f>
        <v>Nov</v>
      </c>
      <c r="N908" s="1" t="str">
        <f>TEXT(Table1[[#This Row],[Purchase_Date]],"DD")</f>
        <v>09</v>
      </c>
      <c r="O908" s="2" t="s">
        <v>41</v>
      </c>
      <c r="P908" s="3">
        <v>2</v>
      </c>
      <c r="Q908" s="2" t="s">
        <v>23</v>
      </c>
      <c r="R908" s="2" t="s">
        <v>47</v>
      </c>
      <c r="S908">
        <f>Table1[[#This Row],[Purchase_Amount]]*Table1[[#This Row],[Quantity]]</f>
        <v>816.24</v>
      </c>
      <c r="T908" t="str">
        <f>IF(Table1[[#This Row],[Age]]&lt;25,"&lt;25",IF(Table1[[#This Row],[Age]]&lt;=35,"25-35",IF(Table1[[#This Row],[Age]]&lt;=50,"36-50","50+")))</f>
        <v>50+</v>
      </c>
    </row>
    <row r="909" spans="1:20" x14ac:dyDescent="0.3">
      <c r="A909" s="2" t="s">
        <v>268</v>
      </c>
      <c r="B909" s="2" t="s">
        <v>16</v>
      </c>
      <c r="C909" s="3">
        <v>68</v>
      </c>
      <c r="D909" s="2" t="s">
        <v>38</v>
      </c>
      <c r="E909" s="2" t="s">
        <v>18</v>
      </c>
      <c r="F909" s="2" t="s">
        <v>27</v>
      </c>
      <c r="G909" t="s">
        <v>39</v>
      </c>
      <c r="H909" t="s">
        <v>269</v>
      </c>
      <c r="I909" s="4">
        <v>132.61000000000001</v>
      </c>
      <c r="J909" s="3">
        <v>1</v>
      </c>
      <c r="K909" s="1">
        <v>45096</v>
      </c>
      <c r="L909" s="1" t="str">
        <f>TEXT(Table1[[#This Row],[Purchase_Date]],"YYYY")</f>
        <v>2023</v>
      </c>
      <c r="M909" s="1" t="str">
        <f>TEXT(Table1[[#This Row],[Purchase_Date]],"MMM")</f>
        <v>Jun</v>
      </c>
      <c r="N909" s="1" t="str">
        <f>TEXT(Table1[[#This Row],[Purchase_Date]],"DD")</f>
        <v>19</v>
      </c>
      <c r="O909" s="2" t="s">
        <v>30</v>
      </c>
      <c r="P909" s="3">
        <v>1</v>
      </c>
      <c r="Q909" s="2" t="s">
        <v>23</v>
      </c>
      <c r="R909" s="2" t="s">
        <v>24</v>
      </c>
      <c r="S909">
        <f>Table1[[#This Row],[Purchase_Amount]]*Table1[[#This Row],[Quantity]]</f>
        <v>132.61000000000001</v>
      </c>
      <c r="T909" t="str">
        <f>IF(Table1[[#This Row],[Age]]&lt;25,"&lt;25",IF(Table1[[#This Row],[Age]]&lt;=35,"25-35",IF(Table1[[#This Row],[Age]]&lt;=50,"36-50","50+")))</f>
        <v>50+</v>
      </c>
    </row>
    <row r="910" spans="1:20" x14ac:dyDescent="0.3">
      <c r="A910" s="2" t="s">
        <v>1109</v>
      </c>
      <c r="B910" s="2" t="s">
        <v>16</v>
      </c>
      <c r="C910" s="3">
        <v>69</v>
      </c>
      <c r="D910" s="2" t="s">
        <v>64</v>
      </c>
      <c r="E910" s="2" t="s">
        <v>33</v>
      </c>
      <c r="F910" s="2" t="s">
        <v>27</v>
      </c>
      <c r="G910" t="s">
        <v>39</v>
      </c>
      <c r="H910" t="s">
        <v>208</v>
      </c>
      <c r="I910" s="4">
        <v>154.06</v>
      </c>
      <c r="J910" s="3">
        <v>3</v>
      </c>
      <c r="K910" s="1">
        <v>45508</v>
      </c>
      <c r="L910" s="1" t="str">
        <f>TEXT(Table1[[#This Row],[Purchase_Date]],"YYYY")</f>
        <v>2024</v>
      </c>
      <c r="M910" s="1" t="str">
        <f>TEXT(Table1[[#This Row],[Purchase_Date]],"MMM")</f>
        <v>Aug</v>
      </c>
      <c r="N910" s="1" t="str">
        <f>TEXT(Table1[[#This Row],[Purchase_Date]],"DD")</f>
        <v>04</v>
      </c>
      <c r="O910" s="2" t="s">
        <v>36</v>
      </c>
      <c r="P910" s="3">
        <v>1</v>
      </c>
      <c r="Q910" s="2" t="s">
        <v>23</v>
      </c>
      <c r="R910" s="2" t="s">
        <v>47</v>
      </c>
      <c r="S910">
        <f>Table1[[#This Row],[Purchase_Amount]]*Table1[[#This Row],[Quantity]]</f>
        <v>462.18</v>
      </c>
      <c r="T910" t="str">
        <f>IF(Table1[[#This Row],[Age]]&lt;25,"&lt;25",IF(Table1[[#This Row],[Age]]&lt;=35,"25-35",IF(Table1[[#This Row],[Age]]&lt;=50,"36-50","50+")))</f>
        <v>50+</v>
      </c>
    </row>
    <row r="911" spans="1:20" x14ac:dyDescent="0.3">
      <c r="A911" s="2" t="s">
        <v>819</v>
      </c>
      <c r="B911" s="2" t="s">
        <v>16</v>
      </c>
      <c r="C911" s="3">
        <v>69</v>
      </c>
      <c r="D911" s="2" t="s">
        <v>64</v>
      </c>
      <c r="E911" s="2" t="s">
        <v>18</v>
      </c>
      <c r="F911" s="2" t="s">
        <v>27</v>
      </c>
      <c r="G911" t="s">
        <v>39</v>
      </c>
      <c r="H911" t="s">
        <v>345</v>
      </c>
      <c r="I911" s="4">
        <v>422.99</v>
      </c>
      <c r="J911" s="3">
        <v>3</v>
      </c>
      <c r="K911" s="1">
        <v>45099</v>
      </c>
      <c r="L911" s="1" t="str">
        <f>TEXT(Table1[[#This Row],[Purchase_Date]],"YYYY")</f>
        <v>2023</v>
      </c>
      <c r="M911" s="1" t="str">
        <f>TEXT(Table1[[#This Row],[Purchase_Date]],"MMM")</f>
        <v>Jun</v>
      </c>
      <c r="N911" s="1" t="str">
        <f>TEXT(Table1[[#This Row],[Purchase_Date]],"DD")</f>
        <v>22</v>
      </c>
      <c r="O911" s="2" t="s">
        <v>36</v>
      </c>
      <c r="P911" s="3">
        <v>6</v>
      </c>
      <c r="Q911" s="2" t="s">
        <v>23</v>
      </c>
      <c r="R911" s="2" t="s">
        <v>24</v>
      </c>
      <c r="S911">
        <f>Table1[[#This Row],[Purchase_Amount]]*Table1[[#This Row],[Quantity]]</f>
        <v>1268.97</v>
      </c>
      <c r="T911" t="str">
        <f>IF(Table1[[#This Row],[Age]]&lt;25,"&lt;25",IF(Table1[[#This Row],[Age]]&lt;=35,"25-35",IF(Table1[[#This Row],[Age]]&lt;=50,"36-50","50+")))</f>
        <v>50+</v>
      </c>
    </row>
    <row r="912" spans="1:20" x14ac:dyDescent="0.3">
      <c r="A912" s="2" t="s">
        <v>416</v>
      </c>
      <c r="B912" s="2" t="s">
        <v>16</v>
      </c>
      <c r="C912" s="3">
        <v>18</v>
      </c>
      <c r="D912" s="2" t="s">
        <v>38</v>
      </c>
      <c r="E912" s="2" t="s">
        <v>18</v>
      </c>
      <c r="F912" s="2" t="s">
        <v>27</v>
      </c>
      <c r="G912" t="s">
        <v>69</v>
      </c>
      <c r="H912" t="s">
        <v>283</v>
      </c>
      <c r="I912" s="4">
        <v>926.8</v>
      </c>
      <c r="J912" s="3">
        <v>4</v>
      </c>
      <c r="K912" s="1">
        <v>45052</v>
      </c>
      <c r="L912" s="1" t="str">
        <f>TEXT(Table1[[#This Row],[Purchase_Date]],"YYYY")</f>
        <v>2023</v>
      </c>
      <c r="M912" s="1" t="str">
        <f>TEXT(Table1[[#This Row],[Purchase_Date]],"MMM")</f>
        <v>May</v>
      </c>
      <c r="N912" s="1" t="str">
        <f>TEXT(Table1[[#This Row],[Purchase_Date]],"DD")</f>
        <v>06</v>
      </c>
      <c r="O912" s="2" t="s">
        <v>22</v>
      </c>
      <c r="P912" s="3">
        <v>4</v>
      </c>
      <c r="Q912" s="2" t="s">
        <v>46</v>
      </c>
      <c r="R912" s="2" t="s">
        <v>24</v>
      </c>
      <c r="S912">
        <f>Table1[[#This Row],[Purchase_Amount]]*Table1[[#This Row],[Quantity]]</f>
        <v>3707.2</v>
      </c>
      <c r="T912" t="str">
        <f>IF(Table1[[#This Row],[Age]]&lt;25,"&lt;25",IF(Table1[[#This Row],[Age]]&lt;=35,"25-35",IF(Table1[[#This Row],[Age]]&lt;=50,"36-50","50+")))</f>
        <v>&lt;25</v>
      </c>
    </row>
    <row r="913" spans="1:20" x14ac:dyDescent="0.3">
      <c r="A913" s="2" t="s">
        <v>447</v>
      </c>
      <c r="B913" s="2" t="s">
        <v>16</v>
      </c>
      <c r="C913" s="3">
        <v>19</v>
      </c>
      <c r="D913" s="2" t="s">
        <v>38</v>
      </c>
      <c r="E913" s="2" t="s">
        <v>18</v>
      </c>
      <c r="F913" s="2" t="s">
        <v>44</v>
      </c>
      <c r="G913" t="s">
        <v>69</v>
      </c>
      <c r="H913" t="s">
        <v>164</v>
      </c>
      <c r="I913" s="4">
        <v>429.53</v>
      </c>
      <c r="J913" s="3">
        <v>4</v>
      </c>
      <c r="K913" s="1">
        <v>45431</v>
      </c>
      <c r="L913" s="1" t="str">
        <f>TEXT(Table1[[#This Row],[Purchase_Date]],"YYYY")</f>
        <v>2024</v>
      </c>
      <c r="M913" s="1" t="str">
        <f>TEXT(Table1[[#This Row],[Purchase_Date]],"MMM")</f>
        <v>May</v>
      </c>
      <c r="N913" s="1" t="str">
        <f>TEXT(Table1[[#This Row],[Purchase_Date]],"DD")</f>
        <v>19</v>
      </c>
      <c r="O913" s="2" t="s">
        <v>41</v>
      </c>
      <c r="P913" s="3">
        <v>10</v>
      </c>
      <c r="Q913" s="2" t="s">
        <v>23</v>
      </c>
      <c r="R913" s="2" t="s">
        <v>24</v>
      </c>
      <c r="S913">
        <f>Table1[[#This Row],[Purchase_Amount]]*Table1[[#This Row],[Quantity]]</f>
        <v>1718.12</v>
      </c>
      <c r="T913" t="str">
        <f>IF(Table1[[#This Row],[Age]]&lt;25,"&lt;25",IF(Table1[[#This Row],[Age]]&lt;=35,"25-35",IF(Table1[[#This Row],[Age]]&lt;=50,"36-50","50+")))</f>
        <v>&lt;25</v>
      </c>
    </row>
    <row r="914" spans="1:20" x14ac:dyDescent="0.3">
      <c r="A914" s="2" t="s">
        <v>805</v>
      </c>
      <c r="B914" s="2" t="s">
        <v>16</v>
      </c>
      <c r="C914" s="3">
        <v>24</v>
      </c>
      <c r="D914" s="2" t="s">
        <v>32</v>
      </c>
      <c r="E914" s="2" t="s">
        <v>18</v>
      </c>
      <c r="F914" s="2" t="s">
        <v>44</v>
      </c>
      <c r="G914" t="s">
        <v>69</v>
      </c>
      <c r="H914" t="s">
        <v>414</v>
      </c>
      <c r="I914" s="4">
        <v>720.09</v>
      </c>
      <c r="J914" s="3">
        <v>3</v>
      </c>
      <c r="K914" s="1">
        <v>45510</v>
      </c>
      <c r="L914" s="1" t="str">
        <f>TEXT(Table1[[#This Row],[Purchase_Date]],"YYYY")</f>
        <v>2024</v>
      </c>
      <c r="M914" s="1" t="str">
        <f>TEXT(Table1[[#This Row],[Purchase_Date]],"MMM")</f>
        <v>Aug</v>
      </c>
      <c r="N914" s="1" t="str">
        <f>TEXT(Table1[[#This Row],[Purchase_Date]],"DD")</f>
        <v>06</v>
      </c>
      <c r="O914" s="2" t="s">
        <v>41</v>
      </c>
      <c r="P914" s="3">
        <v>1</v>
      </c>
      <c r="Q914" s="2" t="s">
        <v>46</v>
      </c>
      <c r="R914" s="2" t="s">
        <v>24</v>
      </c>
      <c r="S914">
        <f>Table1[[#This Row],[Purchase_Amount]]*Table1[[#This Row],[Quantity]]</f>
        <v>2160.27</v>
      </c>
      <c r="T914" t="str">
        <f>IF(Table1[[#This Row],[Age]]&lt;25,"&lt;25",IF(Table1[[#This Row],[Age]]&lt;=35,"25-35",IF(Table1[[#This Row],[Age]]&lt;=50,"36-50","50+")))</f>
        <v>&lt;25</v>
      </c>
    </row>
    <row r="915" spans="1:20" x14ac:dyDescent="0.3">
      <c r="A915" s="2" t="s">
        <v>777</v>
      </c>
      <c r="B915" s="2" t="s">
        <v>16</v>
      </c>
      <c r="C915" s="3">
        <v>25</v>
      </c>
      <c r="D915" s="2" t="s">
        <v>32</v>
      </c>
      <c r="E915" s="2" t="s">
        <v>49</v>
      </c>
      <c r="F915" s="2" t="s">
        <v>19</v>
      </c>
      <c r="G915" t="s">
        <v>69</v>
      </c>
      <c r="H915" t="s">
        <v>766</v>
      </c>
      <c r="I915" s="4">
        <v>450.13</v>
      </c>
      <c r="J915" s="3">
        <v>4</v>
      </c>
      <c r="K915" s="1">
        <v>45412</v>
      </c>
      <c r="L915" s="1" t="str">
        <f>TEXT(Table1[[#This Row],[Purchase_Date]],"YYYY")</f>
        <v>2024</v>
      </c>
      <c r="M915" s="1" t="str">
        <f>TEXT(Table1[[#This Row],[Purchase_Date]],"MMM")</f>
        <v>Apr</v>
      </c>
      <c r="N915" s="1" t="str">
        <f>TEXT(Table1[[#This Row],[Purchase_Date]],"DD")</f>
        <v>30</v>
      </c>
      <c r="O915" s="2" t="s">
        <v>41</v>
      </c>
      <c r="P915" s="3">
        <v>3</v>
      </c>
      <c r="Q915" s="2" t="s">
        <v>23</v>
      </c>
      <c r="R915" s="2" t="s">
        <v>24</v>
      </c>
      <c r="S915">
        <f>Table1[[#This Row],[Purchase_Amount]]*Table1[[#This Row],[Quantity]]</f>
        <v>1800.52</v>
      </c>
      <c r="T915" t="str">
        <f>IF(Table1[[#This Row],[Age]]&lt;25,"&lt;25",IF(Table1[[#This Row],[Age]]&lt;=35,"25-35",IF(Table1[[#This Row],[Age]]&lt;=50,"36-50","50+")))</f>
        <v>25-35</v>
      </c>
    </row>
    <row r="916" spans="1:20" x14ac:dyDescent="0.3">
      <c r="A916" s="2" t="s">
        <v>1180</v>
      </c>
      <c r="B916" s="2" t="s">
        <v>16</v>
      </c>
      <c r="C916" s="3">
        <v>25</v>
      </c>
      <c r="D916" s="2" t="s">
        <v>17</v>
      </c>
      <c r="E916" s="2" t="s">
        <v>33</v>
      </c>
      <c r="F916" s="2" t="s">
        <v>19</v>
      </c>
      <c r="G916" t="s">
        <v>69</v>
      </c>
      <c r="H916" t="s">
        <v>893</v>
      </c>
      <c r="I916" s="4">
        <v>871</v>
      </c>
      <c r="J916" s="3">
        <v>4</v>
      </c>
      <c r="K916" s="1">
        <v>45218</v>
      </c>
      <c r="L916" s="1" t="str">
        <f>TEXT(Table1[[#This Row],[Purchase_Date]],"YYYY")</f>
        <v>2023</v>
      </c>
      <c r="M916" s="1" t="str">
        <f>TEXT(Table1[[#This Row],[Purchase_Date]],"MMM")</f>
        <v>Oct</v>
      </c>
      <c r="N916" s="1" t="str">
        <f>TEXT(Table1[[#This Row],[Purchase_Date]],"DD")</f>
        <v>19</v>
      </c>
      <c r="O916" s="2" t="s">
        <v>36</v>
      </c>
      <c r="P916" s="3">
        <v>6</v>
      </c>
      <c r="Q916" s="2" t="s">
        <v>23</v>
      </c>
      <c r="R916" s="2" t="s">
        <v>24</v>
      </c>
      <c r="S916">
        <f>Table1[[#This Row],[Purchase_Amount]]*Table1[[#This Row],[Quantity]]</f>
        <v>3484</v>
      </c>
      <c r="T916" t="str">
        <f>IF(Table1[[#This Row],[Age]]&lt;25,"&lt;25",IF(Table1[[#This Row],[Age]]&lt;=35,"25-35",IF(Table1[[#This Row],[Age]]&lt;=50,"36-50","50+")))</f>
        <v>25-35</v>
      </c>
    </row>
    <row r="917" spans="1:20" x14ac:dyDescent="0.3">
      <c r="A917" s="2" t="s">
        <v>978</v>
      </c>
      <c r="B917" s="2" t="s">
        <v>16</v>
      </c>
      <c r="C917" s="3">
        <v>26</v>
      </c>
      <c r="D917" s="2" t="s">
        <v>38</v>
      </c>
      <c r="E917" s="2" t="s">
        <v>49</v>
      </c>
      <c r="F917" s="2" t="s">
        <v>19</v>
      </c>
      <c r="G917" t="s">
        <v>69</v>
      </c>
      <c r="H917" t="s">
        <v>260</v>
      </c>
      <c r="I917" s="4">
        <v>327.79</v>
      </c>
      <c r="J917" s="3">
        <v>3</v>
      </c>
      <c r="K917" s="1">
        <v>45535</v>
      </c>
      <c r="L917" s="1" t="str">
        <f>TEXT(Table1[[#This Row],[Purchase_Date]],"YYYY")</f>
        <v>2024</v>
      </c>
      <c r="M917" s="1" t="str">
        <f>TEXT(Table1[[#This Row],[Purchase_Date]],"MMM")</f>
        <v>Aug</v>
      </c>
      <c r="N917" s="1" t="str">
        <f>TEXT(Table1[[#This Row],[Purchase_Date]],"DD")</f>
        <v>31</v>
      </c>
      <c r="O917" s="2" t="s">
        <v>30</v>
      </c>
      <c r="P917" s="3">
        <v>8</v>
      </c>
      <c r="Q917" s="2" t="s">
        <v>23</v>
      </c>
      <c r="R917" s="2" t="s">
        <v>47</v>
      </c>
      <c r="S917">
        <f>Table1[[#This Row],[Purchase_Amount]]*Table1[[#This Row],[Quantity]]</f>
        <v>983.37000000000012</v>
      </c>
      <c r="T917" t="str">
        <f>IF(Table1[[#This Row],[Age]]&lt;25,"&lt;25",IF(Table1[[#This Row],[Age]]&lt;=35,"25-35",IF(Table1[[#This Row],[Age]]&lt;=50,"36-50","50+")))</f>
        <v>25-35</v>
      </c>
    </row>
    <row r="918" spans="1:20" x14ac:dyDescent="0.3">
      <c r="A918" s="2" t="s">
        <v>972</v>
      </c>
      <c r="B918" s="2" t="s">
        <v>16</v>
      </c>
      <c r="C918" s="3">
        <v>26</v>
      </c>
      <c r="D918" s="2" t="s">
        <v>38</v>
      </c>
      <c r="E918" s="2" t="s">
        <v>49</v>
      </c>
      <c r="F918" s="2" t="s">
        <v>19</v>
      </c>
      <c r="G918" t="s">
        <v>69</v>
      </c>
      <c r="H918" t="s">
        <v>99</v>
      </c>
      <c r="I918" s="4">
        <v>958.56</v>
      </c>
      <c r="J918" s="3">
        <v>5</v>
      </c>
      <c r="K918" s="1">
        <v>45449</v>
      </c>
      <c r="L918" s="1" t="str">
        <f>TEXT(Table1[[#This Row],[Purchase_Date]],"YYYY")</f>
        <v>2024</v>
      </c>
      <c r="M918" s="1" t="str">
        <f>TEXT(Table1[[#This Row],[Purchase_Date]],"MMM")</f>
        <v>Jun</v>
      </c>
      <c r="N918" s="1" t="str">
        <f>TEXT(Table1[[#This Row],[Purchase_Date]],"DD")</f>
        <v>06</v>
      </c>
      <c r="O918" s="2" t="s">
        <v>41</v>
      </c>
      <c r="P918" s="3">
        <v>4</v>
      </c>
      <c r="Q918" s="2" t="s">
        <v>46</v>
      </c>
      <c r="R918" s="2" t="s">
        <v>24</v>
      </c>
      <c r="S918">
        <f>Table1[[#This Row],[Purchase_Amount]]*Table1[[#This Row],[Quantity]]</f>
        <v>4792.7999999999993</v>
      </c>
      <c r="T918" t="str">
        <f>IF(Table1[[#This Row],[Age]]&lt;25,"&lt;25",IF(Table1[[#This Row],[Age]]&lt;=35,"25-35",IF(Table1[[#This Row],[Age]]&lt;=50,"36-50","50+")))</f>
        <v>25-35</v>
      </c>
    </row>
    <row r="919" spans="1:20" x14ac:dyDescent="0.3">
      <c r="A919" s="2" t="s">
        <v>152</v>
      </c>
      <c r="B919" s="2" t="s">
        <v>16</v>
      </c>
      <c r="C919" s="3">
        <v>30</v>
      </c>
      <c r="D919" s="2" t="s">
        <v>17</v>
      </c>
      <c r="E919" s="2" t="s">
        <v>33</v>
      </c>
      <c r="F919" s="2" t="s">
        <v>27</v>
      </c>
      <c r="G919" t="s">
        <v>69</v>
      </c>
      <c r="H919" t="s">
        <v>153</v>
      </c>
      <c r="I919" s="4">
        <v>129.16</v>
      </c>
      <c r="J919" s="3">
        <v>4</v>
      </c>
      <c r="K919" s="1">
        <v>45498</v>
      </c>
      <c r="L919" s="1" t="str">
        <f>TEXT(Table1[[#This Row],[Purchase_Date]],"YYYY")</f>
        <v>2024</v>
      </c>
      <c r="M919" s="1" t="str">
        <f>TEXT(Table1[[#This Row],[Purchase_Date]],"MMM")</f>
        <v>Jul</v>
      </c>
      <c r="N919" s="1" t="str">
        <f>TEXT(Table1[[#This Row],[Purchase_Date]],"DD")</f>
        <v>25</v>
      </c>
      <c r="O919" s="2" t="s">
        <v>30</v>
      </c>
      <c r="P919" s="3">
        <v>9</v>
      </c>
      <c r="Q919" s="2" t="s">
        <v>23</v>
      </c>
      <c r="R919" s="2" t="s">
        <v>47</v>
      </c>
      <c r="S919">
        <f>Table1[[#This Row],[Purchase_Amount]]*Table1[[#This Row],[Quantity]]</f>
        <v>516.64</v>
      </c>
      <c r="T919" t="str">
        <f>IF(Table1[[#This Row],[Age]]&lt;25,"&lt;25",IF(Table1[[#This Row],[Age]]&lt;=35,"25-35",IF(Table1[[#This Row],[Age]]&lt;=50,"36-50","50+")))</f>
        <v>25-35</v>
      </c>
    </row>
    <row r="920" spans="1:20" x14ac:dyDescent="0.3">
      <c r="A920" s="2" t="s">
        <v>850</v>
      </c>
      <c r="B920" s="2" t="s">
        <v>16</v>
      </c>
      <c r="C920" s="3">
        <v>30</v>
      </c>
      <c r="D920" s="2" t="s">
        <v>43</v>
      </c>
      <c r="E920" s="2" t="s">
        <v>33</v>
      </c>
      <c r="F920" s="2" t="s">
        <v>19</v>
      </c>
      <c r="G920" t="s">
        <v>69</v>
      </c>
      <c r="H920" t="s">
        <v>287</v>
      </c>
      <c r="I920" s="4">
        <v>983.87</v>
      </c>
      <c r="J920" s="3">
        <v>3</v>
      </c>
      <c r="K920" s="1">
        <v>45519</v>
      </c>
      <c r="L920" s="1" t="str">
        <f>TEXT(Table1[[#This Row],[Purchase_Date]],"YYYY")</f>
        <v>2024</v>
      </c>
      <c r="M920" s="1" t="str">
        <f>TEXT(Table1[[#This Row],[Purchase_Date]],"MMM")</f>
        <v>Aug</v>
      </c>
      <c r="N920" s="1" t="str">
        <f>TEXT(Table1[[#This Row],[Purchase_Date]],"DD")</f>
        <v>15</v>
      </c>
      <c r="O920" s="2" t="s">
        <v>30</v>
      </c>
      <c r="P920" s="3">
        <v>6</v>
      </c>
      <c r="Q920" s="2" t="s">
        <v>46</v>
      </c>
      <c r="R920" s="2" t="s">
        <v>24</v>
      </c>
      <c r="S920">
        <f>Table1[[#This Row],[Purchase_Amount]]*Table1[[#This Row],[Quantity]]</f>
        <v>2951.61</v>
      </c>
      <c r="T920" t="str">
        <f>IF(Table1[[#This Row],[Age]]&lt;25,"&lt;25",IF(Table1[[#This Row],[Age]]&lt;=35,"25-35",IF(Table1[[#This Row],[Age]]&lt;=50,"36-50","50+")))</f>
        <v>25-35</v>
      </c>
    </row>
    <row r="921" spans="1:20" x14ac:dyDescent="0.3">
      <c r="A921" s="2" t="s">
        <v>186</v>
      </c>
      <c r="B921" s="2" t="s">
        <v>16</v>
      </c>
      <c r="C921" s="3">
        <v>31</v>
      </c>
      <c r="D921" s="2" t="s">
        <v>43</v>
      </c>
      <c r="E921" s="2" t="s">
        <v>49</v>
      </c>
      <c r="F921" s="2" t="s">
        <v>27</v>
      </c>
      <c r="G921" t="s">
        <v>69</v>
      </c>
      <c r="H921" t="s">
        <v>187</v>
      </c>
      <c r="I921" s="4">
        <v>347.83</v>
      </c>
      <c r="J921" s="3">
        <v>5</v>
      </c>
      <c r="K921" s="1">
        <v>45220</v>
      </c>
      <c r="L921" s="1" t="str">
        <f>TEXT(Table1[[#This Row],[Purchase_Date]],"YYYY")</f>
        <v>2023</v>
      </c>
      <c r="M921" s="1" t="str">
        <f>TEXT(Table1[[#This Row],[Purchase_Date]],"MMM")</f>
        <v>Oct</v>
      </c>
      <c r="N921" s="1" t="str">
        <f>TEXT(Table1[[#This Row],[Purchase_Date]],"DD")</f>
        <v>21</v>
      </c>
      <c r="O921" s="2" t="s">
        <v>41</v>
      </c>
      <c r="P921" s="3">
        <v>1</v>
      </c>
      <c r="Q921" s="2" t="s">
        <v>23</v>
      </c>
      <c r="R921" s="2" t="s">
        <v>24</v>
      </c>
      <c r="S921">
        <f>Table1[[#This Row],[Purchase_Amount]]*Table1[[#This Row],[Quantity]]</f>
        <v>1739.1499999999999</v>
      </c>
      <c r="T921" t="str">
        <f>IF(Table1[[#This Row],[Age]]&lt;25,"&lt;25",IF(Table1[[#This Row],[Age]]&lt;=35,"25-35",IF(Table1[[#This Row],[Age]]&lt;=50,"36-50","50+")))</f>
        <v>25-35</v>
      </c>
    </row>
    <row r="922" spans="1:20" x14ac:dyDescent="0.3">
      <c r="A922" s="2" t="s">
        <v>251</v>
      </c>
      <c r="B922" s="2" t="s">
        <v>16</v>
      </c>
      <c r="C922" s="3">
        <v>32</v>
      </c>
      <c r="D922" s="2" t="s">
        <v>43</v>
      </c>
      <c r="E922" s="2" t="s">
        <v>33</v>
      </c>
      <c r="F922" s="2" t="s">
        <v>27</v>
      </c>
      <c r="G922" t="s">
        <v>69</v>
      </c>
      <c r="H922" t="s">
        <v>237</v>
      </c>
      <c r="I922" s="4">
        <v>115.73</v>
      </c>
      <c r="J922" s="3">
        <v>1</v>
      </c>
      <c r="K922" s="1">
        <v>45170</v>
      </c>
      <c r="L922" s="1" t="str">
        <f>TEXT(Table1[[#This Row],[Purchase_Date]],"YYYY")</f>
        <v>2023</v>
      </c>
      <c r="M922" s="1" t="str">
        <f>TEXT(Table1[[#This Row],[Purchase_Date]],"MMM")</f>
        <v>Sep</v>
      </c>
      <c r="N922" s="1" t="str">
        <f>TEXT(Table1[[#This Row],[Purchase_Date]],"DD")</f>
        <v>01</v>
      </c>
      <c r="O922" s="2" t="s">
        <v>41</v>
      </c>
      <c r="P922" s="3">
        <v>10</v>
      </c>
      <c r="Q922" s="2" t="s">
        <v>23</v>
      </c>
      <c r="R922" s="2" t="s">
        <v>24</v>
      </c>
      <c r="S922">
        <f>Table1[[#This Row],[Purchase_Amount]]*Table1[[#This Row],[Quantity]]</f>
        <v>115.73</v>
      </c>
      <c r="T922" t="str">
        <f>IF(Table1[[#This Row],[Age]]&lt;25,"&lt;25",IF(Table1[[#This Row],[Age]]&lt;=35,"25-35",IF(Table1[[#This Row],[Age]]&lt;=50,"36-50","50+")))</f>
        <v>25-35</v>
      </c>
    </row>
    <row r="923" spans="1:20" x14ac:dyDescent="0.3">
      <c r="A923" s="2" t="s">
        <v>1239</v>
      </c>
      <c r="B923" s="2" t="s">
        <v>16</v>
      </c>
      <c r="C923" s="3">
        <v>32</v>
      </c>
      <c r="D923" s="2" t="s">
        <v>32</v>
      </c>
      <c r="E923" s="2" t="s">
        <v>18</v>
      </c>
      <c r="F923" s="2" t="s">
        <v>19</v>
      </c>
      <c r="G923" t="s">
        <v>69</v>
      </c>
      <c r="H923" t="s">
        <v>1046</v>
      </c>
      <c r="I923" s="4">
        <v>783.65</v>
      </c>
      <c r="J923" s="3">
        <v>3</v>
      </c>
      <c r="K923" s="1">
        <v>45460</v>
      </c>
      <c r="L923" s="1" t="str">
        <f>TEXT(Table1[[#This Row],[Purchase_Date]],"YYYY")</f>
        <v>2024</v>
      </c>
      <c r="M923" s="1" t="str">
        <f>TEXT(Table1[[#This Row],[Purchase_Date]],"MMM")</f>
        <v>Jun</v>
      </c>
      <c r="N923" s="1" t="str">
        <f>TEXT(Table1[[#This Row],[Purchase_Date]],"DD")</f>
        <v>17</v>
      </c>
      <c r="O923" s="2" t="s">
        <v>30</v>
      </c>
      <c r="P923" s="3">
        <v>2</v>
      </c>
      <c r="Q923" s="2" t="s">
        <v>23</v>
      </c>
      <c r="R923" s="2" t="s">
        <v>47</v>
      </c>
      <c r="S923">
        <f>Table1[[#This Row],[Purchase_Amount]]*Table1[[#This Row],[Quantity]]</f>
        <v>2350.9499999999998</v>
      </c>
      <c r="T923" t="str">
        <f>IF(Table1[[#This Row],[Age]]&lt;25,"&lt;25",IF(Table1[[#This Row],[Age]]&lt;=35,"25-35",IF(Table1[[#This Row],[Age]]&lt;=50,"36-50","50+")))</f>
        <v>25-35</v>
      </c>
    </row>
    <row r="924" spans="1:20" x14ac:dyDescent="0.3">
      <c r="A924" s="2" t="s">
        <v>1156</v>
      </c>
      <c r="B924" s="2" t="s">
        <v>16</v>
      </c>
      <c r="C924" s="3">
        <v>37</v>
      </c>
      <c r="D924" s="2" t="s">
        <v>109</v>
      </c>
      <c r="E924" s="2" t="s">
        <v>49</v>
      </c>
      <c r="F924" s="2" t="s">
        <v>27</v>
      </c>
      <c r="G924" t="s">
        <v>69</v>
      </c>
      <c r="H924" t="s">
        <v>52</v>
      </c>
      <c r="I924" s="4">
        <v>828.13</v>
      </c>
      <c r="J924" s="3">
        <v>1</v>
      </c>
      <c r="K924" s="1">
        <v>45205</v>
      </c>
      <c r="L924" s="1" t="str">
        <f>TEXT(Table1[[#This Row],[Purchase_Date]],"YYYY")</f>
        <v>2023</v>
      </c>
      <c r="M924" s="1" t="str">
        <f>TEXT(Table1[[#This Row],[Purchase_Date]],"MMM")</f>
        <v>Oct</v>
      </c>
      <c r="N924" s="1" t="str">
        <f>TEXT(Table1[[#This Row],[Purchase_Date]],"DD")</f>
        <v>06</v>
      </c>
      <c r="O924" s="2" t="s">
        <v>41</v>
      </c>
      <c r="P924" s="3">
        <v>3</v>
      </c>
      <c r="Q924" s="2" t="s">
        <v>23</v>
      </c>
      <c r="R924" s="2" t="s">
        <v>24</v>
      </c>
      <c r="S924">
        <f>Table1[[#This Row],[Purchase_Amount]]*Table1[[#This Row],[Quantity]]</f>
        <v>828.13</v>
      </c>
      <c r="T924" t="str">
        <f>IF(Table1[[#This Row],[Age]]&lt;25,"&lt;25",IF(Table1[[#This Row],[Age]]&lt;=35,"25-35",IF(Table1[[#This Row],[Age]]&lt;=50,"36-50","50+")))</f>
        <v>36-50</v>
      </c>
    </row>
    <row r="925" spans="1:20" x14ac:dyDescent="0.3">
      <c r="A925" s="2" t="s">
        <v>626</v>
      </c>
      <c r="B925" s="2" t="s">
        <v>16</v>
      </c>
      <c r="C925" s="3">
        <v>39</v>
      </c>
      <c r="D925" s="2" t="s">
        <v>78</v>
      </c>
      <c r="E925" s="2" t="s">
        <v>33</v>
      </c>
      <c r="F925" s="2" t="s">
        <v>27</v>
      </c>
      <c r="G925" t="s">
        <v>69</v>
      </c>
      <c r="H925" t="s">
        <v>85</v>
      </c>
      <c r="I925" s="4">
        <v>84.15</v>
      </c>
      <c r="J925" s="3">
        <v>3</v>
      </c>
      <c r="K925" s="1">
        <v>45582</v>
      </c>
      <c r="L925" s="1" t="str">
        <f>TEXT(Table1[[#This Row],[Purchase_Date]],"YYYY")</f>
        <v>2024</v>
      </c>
      <c r="M925" s="1" t="str">
        <f>TEXT(Table1[[#This Row],[Purchase_Date]],"MMM")</f>
        <v>Oct</v>
      </c>
      <c r="N925" s="1" t="str">
        <f>TEXT(Table1[[#This Row],[Purchase_Date]],"DD")</f>
        <v>17</v>
      </c>
      <c r="O925" s="2" t="s">
        <v>41</v>
      </c>
      <c r="P925" s="3">
        <v>3</v>
      </c>
      <c r="Q925" s="2" t="s">
        <v>23</v>
      </c>
      <c r="R925" s="2" t="s">
        <v>47</v>
      </c>
      <c r="S925">
        <f>Table1[[#This Row],[Purchase_Amount]]*Table1[[#This Row],[Quantity]]</f>
        <v>252.45000000000002</v>
      </c>
      <c r="T925" t="str">
        <f>IF(Table1[[#This Row],[Age]]&lt;25,"&lt;25",IF(Table1[[#This Row],[Age]]&lt;=35,"25-35",IF(Table1[[#This Row],[Age]]&lt;=50,"36-50","50+")))</f>
        <v>36-50</v>
      </c>
    </row>
    <row r="926" spans="1:20" x14ac:dyDescent="0.3">
      <c r="A926" s="2" t="s">
        <v>814</v>
      </c>
      <c r="B926" s="2" t="s">
        <v>16</v>
      </c>
      <c r="C926" s="3">
        <v>40</v>
      </c>
      <c r="D926" s="2" t="s">
        <v>32</v>
      </c>
      <c r="E926" s="2" t="s">
        <v>49</v>
      </c>
      <c r="F926" s="2" t="s">
        <v>44</v>
      </c>
      <c r="G926" t="s">
        <v>69</v>
      </c>
      <c r="H926" t="s">
        <v>125</v>
      </c>
      <c r="I926" s="4">
        <v>92.39</v>
      </c>
      <c r="J926" s="3">
        <v>4</v>
      </c>
      <c r="K926" s="1">
        <v>45007</v>
      </c>
      <c r="L926" s="1" t="str">
        <f>TEXT(Table1[[#This Row],[Purchase_Date]],"YYYY")</f>
        <v>2023</v>
      </c>
      <c r="M926" s="1" t="str">
        <f>TEXT(Table1[[#This Row],[Purchase_Date]],"MMM")</f>
        <v>Mar</v>
      </c>
      <c r="N926" s="1" t="str">
        <f>TEXT(Table1[[#This Row],[Purchase_Date]],"DD")</f>
        <v>22</v>
      </c>
      <c r="O926" s="2" t="s">
        <v>30</v>
      </c>
      <c r="P926" s="3">
        <v>10</v>
      </c>
      <c r="Q926" s="2" t="s">
        <v>23</v>
      </c>
      <c r="R926" s="2" t="s">
        <v>47</v>
      </c>
      <c r="S926">
        <f>Table1[[#This Row],[Purchase_Amount]]*Table1[[#This Row],[Quantity]]</f>
        <v>369.56</v>
      </c>
      <c r="T926" t="str">
        <f>IF(Table1[[#This Row],[Age]]&lt;25,"&lt;25",IF(Table1[[#This Row],[Age]]&lt;=35,"25-35",IF(Table1[[#This Row],[Age]]&lt;=50,"36-50","50+")))</f>
        <v>36-50</v>
      </c>
    </row>
    <row r="927" spans="1:20" x14ac:dyDescent="0.3">
      <c r="A927" s="2" t="s">
        <v>801</v>
      </c>
      <c r="B927" s="2" t="s">
        <v>16</v>
      </c>
      <c r="C927" s="3">
        <v>40</v>
      </c>
      <c r="D927" s="2" t="s">
        <v>43</v>
      </c>
      <c r="E927" s="2" t="s">
        <v>33</v>
      </c>
      <c r="F927" s="2" t="s">
        <v>27</v>
      </c>
      <c r="G927" t="s">
        <v>69</v>
      </c>
      <c r="H927" t="s">
        <v>131</v>
      </c>
      <c r="I927" s="4">
        <v>979.24</v>
      </c>
      <c r="J927" s="3">
        <v>2</v>
      </c>
      <c r="K927" s="1">
        <v>45153</v>
      </c>
      <c r="L927" s="1" t="str">
        <f>TEXT(Table1[[#This Row],[Purchase_Date]],"YYYY")</f>
        <v>2023</v>
      </c>
      <c r="M927" s="1" t="str">
        <f>TEXT(Table1[[#This Row],[Purchase_Date]],"MMM")</f>
        <v>Aug</v>
      </c>
      <c r="N927" s="1" t="str">
        <f>TEXT(Table1[[#This Row],[Purchase_Date]],"DD")</f>
        <v>15</v>
      </c>
      <c r="O927" s="2" t="s">
        <v>41</v>
      </c>
      <c r="P927" s="3">
        <v>1</v>
      </c>
      <c r="Q927" s="2" t="s">
        <v>23</v>
      </c>
      <c r="R927" s="2" t="s">
        <v>24</v>
      </c>
      <c r="S927">
        <f>Table1[[#This Row],[Purchase_Amount]]*Table1[[#This Row],[Quantity]]</f>
        <v>1958.48</v>
      </c>
      <c r="T927" t="str">
        <f>IF(Table1[[#This Row],[Age]]&lt;25,"&lt;25",IF(Table1[[#This Row],[Age]]&lt;=35,"25-35",IF(Table1[[#This Row],[Age]]&lt;=50,"36-50","50+")))</f>
        <v>36-50</v>
      </c>
    </row>
    <row r="928" spans="1:20" x14ac:dyDescent="0.3">
      <c r="A928" s="2" t="s">
        <v>567</v>
      </c>
      <c r="B928" s="2" t="s">
        <v>16</v>
      </c>
      <c r="C928" s="3">
        <v>45</v>
      </c>
      <c r="D928" s="2" t="s">
        <v>60</v>
      </c>
      <c r="E928" s="2" t="s">
        <v>18</v>
      </c>
      <c r="F928" s="2" t="s">
        <v>27</v>
      </c>
      <c r="G928" t="s">
        <v>69</v>
      </c>
      <c r="H928" t="s">
        <v>215</v>
      </c>
      <c r="I928" s="4">
        <v>62.3</v>
      </c>
      <c r="J928" s="3">
        <v>5</v>
      </c>
      <c r="K928" s="1">
        <v>45028</v>
      </c>
      <c r="L928" s="1" t="str">
        <f>TEXT(Table1[[#This Row],[Purchase_Date]],"YYYY")</f>
        <v>2023</v>
      </c>
      <c r="M928" s="1" t="str">
        <f>TEXT(Table1[[#This Row],[Purchase_Date]],"MMM")</f>
        <v>Apr</v>
      </c>
      <c r="N928" s="1" t="str">
        <f>TEXT(Table1[[#This Row],[Purchase_Date]],"DD")</f>
        <v>12</v>
      </c>
      <c r="O928" s="2" t="s">
        <v>30</v>
      </c>
      <c r="P928" s="3">
        <v>1</v>
      </c>
      <c r="Q928" s="2" t="s">
        <v>23</v>
      </c>
      <c r="R928" s="2" t="s">
        <v>24</v>
      </c>
      <c r="S928">
        <f>Table1[[#This Row],[Purchase_Amount]]*Table1[[#This Row],[Quantity]]</f>
        <v>311.5</v>
      </c>
      <c r="T928" t="str">
        <f>IF(Table1[[#This Row],[Age]]&lt;25,"&lt;25",IF(Table1[[#This Row],[Age]]&lt;=35,"25-35",IF(Table1[[#This Row],[Age]]&lt;=50,"36-50","50+")))</f>
        <v>36-50</v>
      </c>
    </row>
    <row r="929" spans="1:20" x14ac:dyDescent="0.3">
      <c r="A929" s="2" t="s">
        <v>1042</v>
      </c>
      <c r="B929" s="2" t="s">
        <v>16</v>
      </c>
      <c r="C929" s="3">
        <v>49</v>
      </c>
      <c r="D929" s="2" t="s">
        <v>17</v>
      </c>
      <c r="E929" s="2" t="s">
        <v>49</v>
      </c>
      <c r="F929" s="2" t="s">
        <v>44</v>
      </c>
      <c r="G929" t="s">
        <v>69</v>
      </c>
      <c r="H929" t="s">
        <v>198</v>
      </c>
      <c r="I929" s="4">
        <v>319.70999999999998</v>
      </c>
      <c r="J929" s="3">
        <v>1</v>
      </c>
      <c r="K929" s="1">
        <v>45375</v>
      </c>
      <c r="L929" s="1" t="str">
        <f>TEXT(Table1[[#This Row],[Purchase_Date]],"YYYY")</f>
        <v>2024</v>
      </c>
      <c r="M929" s="1" t="str">
        <f>TEXT(Table1[[#This Row],[Purchase_Date]],"MMM")</f>
        <v>Mar</v>
      </c>
      <c r="N929" s="1" t="str">
        <f>TEXT(Table1[[#This Row],[Purchase_Date]],"DD")</f>
        <v>24</v>
      </c>
      <c r="O929" s="2" t="s">
        <v>22</v>
      </c>
      <c r="P929" s="3">
        <v>2</v>
      </c>
      <c r="Q929" s="2" t="s">
        <v>46</v>
      </c>
      <c r="R929" s="2" t="s">
        <v>47</v>
      </c>
      <c r="S929">
        <f>Table1[[#This Row],[Purchase_Amount]]*Table1[[#This Row],[Quantity]]</f>
        <v>319.70999999999998</v>
      </c>
      <c r="T929" t="str">
        <f>IF(Table1[[#This Row],[Age]]&lt;25,"&lt;25",IF(Table1[[#This Row],[Age]]&lt;=35,"25-35",IF(Table1[[#This Row],[Age]]&lt;=50,"36-50","50+")))</f>
        <v>36-50</v>
      </c>
    </row>
    <row r="930" spans="1:20" x14ac:dyDescent="0.3">
      <c r="A930" s="2" t="s">
        <v>1226</v>
      </c>
      <c r="B930" s="2" t="s">
        <v>16</v>
      </c>
      <c r="C930" s="3">
        <v>50</v>
      </c>
      <c r="D930" s="2" t="s">
        <v>43</v>
      </c>
      <c r="E930" s="2" t="s">
        <v>49</v>
      </c>
      <c r="F930" s="2" t="s">
        <v>27</v>
      </c>
      <c r="G930" t="s">
        <v>69</v>
      </c>
      <c r="H930" t="s">
        <v>175</v>
      </c>
      <c r="I930" s="4">
        <v>213.82</v>
      </c>
      <c r="J930" s="3">
        <v>1</v>
      </c>
      <c r="K930" s="1">
        <v>45420</v>
      </c>
      <c r="L930" s="1" t="str">
        <f>TEXT(Table1[[#This Row],[Purchase_Date]],"YYYY")</f>
        <v>2024</v>
      </c>
      <c r="M930" s="1" t="str">
        <f>TEXT(Table1[[#This Row],[Purchase_Date]],"MMM")</f>
        <v>May</v>
      </c>
      <c r="N930" s="1" t="str">
        <f>TEXT(Table1[[#This Row],[Purchase_Date]],"DD")</f>
        <v>08</v>
      </c>
      <c r="O930" s="2" t="s">
        <v>36</v>
      </c>
      <c r="P930" s="3">
        <v>1</v>
      </c>
      <c r="Q930" s="2" t="s">
        <v>23</v>
      </c>
      <c r="R930" s="2" t="s">
        <v>24</v>
      </c>
      <c r="S930">
        <f>Table1[[#This Row],[Purchase_Amount]]*Table1[[#This Row],[Quantity]]</f>
        <v>213.82</v>
      </c>
      <c r="T930" t="str">
        <f>IF(Table1[[#This Row],[Age]]&lt;25,"&lt;25",IF(Table1[[#This Row],[Age]]&lt;=35,"25-35",IF(Table1[[#This Row],[Age]]&lt;=50,"36-50","50+")))</f>
        <v>36-50</v>
      </c>
    </row>
    <row r="931" spans="1:20" x14ac:dyDescent="0.3">
      <c r="A931" s="2" t="s">
        <v>1244</v>
      </c>
      <c r="B931" s="2" t="s">
        <v>16</v>
      </c>
      <c r="C931" s="3">
        <v>50</v>
      </c>
      <c r="D931" s="2" t="s">
        <v>17</v>
      </c>
      <c r="E931" s="2" t="s">
        <v>49</v>
      </c>
      <c r="F931" s="2" t="s">
        <v>27</v>
      </c>
      <c r="G931" t="s">
        <v>69</v>
      </c>
      <c r="H931" t="s">
        <v>52</v>
      </c>
      <c r="I931" s="4">
        <v>852.34</v>
      </c>
      <c r="J931" s="3">
        <v>3</v>
      </c>
      <c r="K931" s="1">
        <v>44975</v>
      </c>
      <c r="L931" s="1" t="str">
        <f>TEXT(Table1[[#This Row],[Purchase_Date]],"YYYY")</f>
        <v>2023</v>
      </c>
      <c r="M931" s="1" t="str">
        <f>TEXT(Table1[[#This Row],[Purchase_Date]],"MMM")</f>
        <v>Feb</v>
      </c>
      <c r="N931" s="1" t="str">
        <f>TEXT(Table1[[#This Row],[Purchase_Date]],"DD")</f>
        <v>18</v>
      </c>
      <c r="O931" s="2" t="s">
        <v>22</v>
      </c>
      <c r="P931" s="3">
        <v>7</v>
      </c>
      <c r="Q931" s="2" t="s">
        <v>46</v>
      </c>
      <c r="R931" s="2" t="s">
        <v>47</v>
      </c>
      <c r="S931">
        <f>Table1[[#This Row],[Purchase_Amount]]*Table1[[#This Row],[Quantity]]</f>
        <v>2557.02</v>
      </c>
      <c r="T931" t="str">
        <f>IF(Table1[[#This Row],[Age]]&lt;25,"&lt;25",IF(Table1[[#This Row],[Age]]&lt;=35,"25-35",IF(Table1[[#This Row],[Age]]&lt;=50,"36-50","50+")))</f>
        <v>36-50</v>
      </c>
    </row>
    <row r="932" spans="1:20" x14ac:dyDescent="0.3">
      <c r="A932" s="2" t="s">
        <v>984</v>
      </c>
      <c r="B932" s="2" t="s">
        <v>16</v>
      </c>
      <c r="C932" s="3">
        <v>51</v>
      </c>
      <c r="D932" s="2" t="s">
        <v>43</v>
      </c>
      <c r="E932" s="2" t="s">
        <v>33</v>
      </c>
      <c r="F932" s="2" t="s">
        <v>19</v>
      </c>
      <c r="G932" t="s">
        <v>69</v>
      </c>
      <c r="H932" t="s">
        <v>269</v>
      </c>
      <c r="I932" s="4">
        <v>58.8</v>
      </c>
      <c r="J932" s="3">
        <v>4</v>
      </c>
      <c r="K932" s="1">
        <v>45063</v>
      </c>
      <c r="L932" s="1" t="str">
        <f>TEXT(Table1[[#This Row],[Purchase_Date]],"YYYY")</f>
        <v>2023</v>
      </c>
      <c r="M932" s="1" t="str">
        <f>TEXT(Table1[[#This Row],[Purchase_Date]],"MMM")</f>
        <v>May</v>
      </c>
      <c r="N932" s="1" t="str">
        <f>TEXT(Table1[[#This Row],[Purchase_Date]],"DD")</f>
        <v>17</v>
      </c>
      <c r="O932" s="2" t="s">
        <v>30</v>
      </c>
      <c r="P932" s="3">
        <v>1</v>
      </c>
      <c r="Q932" s="2" t="s">
        <v>46</v>
      </c>
      <c r="R932" s="2" t="s">
        <v>24</v>
      </c>
      <c r="S932">
        <f>Table1[[#This Row],[Purchase_Amount]]*Table1[[#This Row],[Quantity]]</f>
        <v>235.2</v>
      </c>
      <c r="T932" t="str">
        <f>IF(Table1[[#This Row],[Age]]&lt;25,"&lt;25",IF(Table1[[#This Row],[Age]]&lt;=35,"25-35",IF(Table1[[#This Row],[Age]]&lt;=50,"36-50","50+")))</f>
        <v>50+</v>
      </c>
    </row>
    <row r="933" spans="1:20" x14ac:dyDescent="0.3">
      <c r="A933" s="2" t="s">
        <v>1164</v>
      </c>
      <c r="B933" s="2" t="s">
        <v>16</v>
      </c>
      <c r="C933" s="3">
        <v>51</v>
      </c>
      <c r="D933" s="2" t="s">
        <v>60</v>
      </c>
      <c r="E933" s="2" t="s">
        <v>49</v>
      </c>
      <c r="F933" s="2" t="s">
        <v>27</v>
      </c>
      <c r="G933" t="s">
        <v>69</v>
      </c>
      <c r="H933" t="s">
        <v>371</v>
      </c>
      <c r="I933" s="4">
        <v>318.54000000000002</v>
      </c>
      <c r="J933" s="3">
        <v>4</v>
      </c>
      <c r="K933" s="1">
        <v>45232</v>
      </c>
      <c r="L933" s="1" t="str">
        <f>TEXT(Table1[[#This Row],[Purchase_Date]],"YYYY")</f>
        <v>2023</v>
      </c>
      <c r="M933" s="1" t="str">
        <f>TEXT(Table1[[#This Row],[Purchase_Date]],"MMM")</f>
        <v>Nov</v>
      </c>
      <c r="N933" s="1" t="str">
        <f>TEXT(Table1[[#This Row],[Purchase_Date]],"DD")</f>
        <v>02</v>
      </c>
      <c r="O933" s="2" t="s">
        <v>41</v>
      </c>
      <c r="P933" s="3">
        <v>4</v>
      </c>
      <c r="Q933" s="2" t="s">
        <v>46</v>
      </c>
      <c r="R933" s="2" t="s">
        <v>24</v>
      </c>
      <c r="S933">
        <f>Table1[[#This Row],[Purchase_Amount]]*Table1[[#This Row],[Quantity]]</f>
        <v>1274.1600000000001</v>
      </c>
      <c r="T933" t="str">
        <f>IF(Table1[[#This Row],[Age]]&lt;25,"&lt;25",IF(Table1[[#This Row],[Age]]&lt;=35,"25-35",IF(Table1[[#This Row],[Age]]&lt;=50,"36-50","50+")))</f>
        <v>50+</v>
      </c>
    </row>
    <row r="934" spans="1:20" x14ac:dyDescent="0.3">
      <c r="A934" s="2" t="s">
        <v>1079</v>
      </c>
      <c r="B934" s="2" t="s">
        <v>16</v>
      </c>
      <c r="C934" s="3">
        <v>51</v>
      </c>
      <c r="D934" s="2" t="s">
        <v>38</v>
      </c>
      <c r="E934" s="2" t="s">
        <v>18</v>
      </c>
      <c r="F934" s="2" t="s">
        <v>44</v>
      </c>
      <c r="G934" t="s">
        <v>69</v>
      </c>
      <c r="H934" t="s">
        <v>730</v>
      </c>
      <c r="I934" s="4">
        <v>509.09</v>
      </c>
      <c r="J934" s="3">
        <v>1</v>
      </c>
      <c r="K934" s="1">
        <v>45295</v>
      </c>
      <c r="L934" s="1" t="str">
        <f>TEXT(Table1[[#This Row],[Purchase_Date]],"YYYY")</f>
        <v>2024</v>
      </c>
      <c r="M934" s="1" t="str">
        <f>TEXT(Table1[[#This Row],[Purchase_Date]],"MMM")</f>
        <v>Jan</v>
      </c>
      <c r="N934" s="1" t="str">
        <f>TEXT(Table1[[#This Row],[Purchase_Date]],"DD")</f>
        <v>04</v>
      </c>
      <c r="O934" s="2" t="s">
        <v>30</v>
      </c>
      <c r="P934" s="3">
        <v>8</v>
      </c>
      <c r="Q934" s="2" t="s">
        <v>46</v>
      </c>
      <c r="R934" s="2" t="s">
        <v>47</v>
      </c>
      <c r="S934">
        <f>Table1[[#This Row],[Purchase_Amount]]*Table1[[#This Row],[Quantity]]</f>
        <v>509.09</v>
      </c>
      <c r="T934" t="str">
        <f>IF(Table1[[#This Row],[Age]]&lt;25,"&lt;25",IF(Table1[[#This Row],[Age]]&lt;=35,"25-35",IF(Table1[[#This Row],[Age]]&lt;=50,"36-50","50+")))</f>
        <v>50+</v>
      </c>
    </row>
    <row r="935" spans="1:20" x14ac:dyDescent="0.3">
      <c r="A935" s="2" t="s">
        <v>759</v>
      </c>
      <c r="B935" s="2" t="s">
        <v>16</v>
      </c>
      <c r="C935" s="3">
        <v>51</v>
      </c>
      <c r="D935" s="2" t="s">
        <v>38</v>
      </c>
      <c r="E935" s="2" t="s">
        <v>33</v>
      </c>
      <c r="F935" s="2" t="s">
        <v>19</v>
      </c>
      <c r="G935" t="s">
        <v>69</v>
      </c>
      <c r="H935" t="s">
        <v>167</v>
      </c>
      <c r="I935" s="4">
        <v>646.35</v>
      </c>
      <c r="J935" s="3">
        <v>5</v>
      </c>
      <c r="K935" s="1">
        <v>45210</v>
      </c>
      <c r="L935" s="1" t="str">
        <f>TEXT(Table1[[#This Row],[Purchase_Date]],"YYYY")</f>
        <v>2023</v>
      </c>
      <c r="M935" s="1" t="str">
        <f>TEXT(Table1[[#This Row],[Purchase_Date]],"MMM")</f>
        <v>Oct</v>
      </c>
      <c r="N935" s="1" t="str">
        <f>TEXT(Table1[[#This Row],[Purchase_Date]],"DD")</f>
        <v>11</v>
      </c>
      <c r="O935" s="2" t="s">
        <v>22</v>
      </c>
      <c r="P935" s="3">
        <v>4</v>
      </c>
      <c r="Q935" s="2" t="s">
        <v>23</v>
      </c>
      <c r="R935" s="2" t="s">
        <v>47</v>
      </c>
      <c r="S935">
        <f>Table1[[#This Row],[Purchase_Amount]]*Table1[[#This Row],[Quantity]]</f>
        <v>3231.75</v>
      </c>
      <c r="T935" t="str">
        <f>IF(Table1[[#This Row],[Age]]&lt;25,"&lt;25",IF(Table1[[#This Row],[Age]]&lt;=35,"25-35",IF(Table1[[#This Row],[Age]]&lt;=50,"36-50","50+")))</f>
        <v>50+</v>
      </c>
    </row>
    <row r="936" spans="1:20" x14ac:dyDescent="0.3">
      <c r="A936" s="2" t="s">
        <v>1108</v>
      </c>
      <c r="B936" s="2" t="s">
        <v>16</v>
      </c>
      <c r="C936" s="3">
        <v>52</v>
      </c>
      <c r="D936" s="2" t="s">
        <v>32</v>
      </c>
      <c r="E936" s="2" t="s">
        <v>49</v>
      </c>
      <c r="F936" s="2" t="s">
        <v>27</v>
      </c>
      <c r="G936" t="s">
        <v>69</v>
      </c>
      <c r="H936" t="s">
        <v>605</v>
      </c>
      <c r="I936" s="4">
        <v>113.27</v>
      </c>
      <c r="J936" s="3">
        <v>5</v>
      </c>
      <c r="K936" s="1">
        <v>45090</v>
      </c>
      <c r="L936" s="1" t="str">
        <f>TEXT(Table1[[#This Row],[Purchase_Date]],"YYYY")</f>
        <v>2023</v>
      </c>
      <c r="M936" s="1" t="str">
        <f>TEXT(Table1[[#This Row],[Purchase_Date]],"MMM")</f>
        <v>Jun</v>
      </c>
      <c r="N936" s="1" t="str">
        <f>TEXT(Table1[[#This Row],[Purchase_Date]],"DD")</f>
        <v>13</v>
      </c>
      <c r="O936" s="2" t="s">
        <v>22</v>
      </c>
      <c r="P936" s="3">
        <v>8</v>
      </c>
      <c r="Q936" s="2" t="s">
        <v>23</v>
      </c>
      <c r="R936" s="2" t="s">
        <v>47</v>
      </c>
      <c r="S936">
        <f>Table1[[#This Row],[Purchase_Amount]]*Table1[[#This Row],[Quantity]]</f>
        <v>566.35</v>
      </c>
      <c r="T936" t="str">
        <f>IF(Table1[[#This Row],[Age]]&lt;25,"&lt;25",IF(Table1[[#This Row],[Age]]&lt;=35,"25-35",IF(Table1[[#This Row],[Age]]&lt;=50,"36-50","50+")))</f>
        <v>50+</v>
      </c>
    </row>
    <row r="937" spans="1:20" x14ac:dyDescent="0.3">
      <c r="A937" s="2" t="s">
        <v>299</v>
      </c>
      <c r="B937" s="2" t="s">
        <v>16</v>
      </c>
      <c r="C937" s="3">
        <v>53</v>
      </c>
      <c r="D937" s="2" t="s">
        <v>32</v>
      </c>
      <c r="E937" s="2" t="s">
        <v>33</v>
      </c>
      <c r="F937" s="2" t="s">
        <v>27</v>
      </c>
      <c r="G937" t="s">
        <v>69</v>
      </c>
      <c r="H937" t="s">
        <v>58</v>
      </c>
      <c r="I937" s="4">
        <v>207.23</v>
      </c>
      <c r="J937" s="3">
        <v>4</v>
      </c>
      <c r="K937" s="1">
        <v>45318</v>
      </c>
      <c r="L937" s="1" t="str">
        <f>TEXT(Table1[[#This Row],[Purchase_Date]],"YYYY")</f>
        <v>2024</v>
      </c>
      <c r="M937" s="1" t="str">
        <f>TEXT(Table1[[#This Row],[Purchase_Date]],"MMM")</f>
        <v>Jan</v>
      </c>
      <c r="N937" s="1" t="str">
        <f>TEXT(Table1[[#This Row],[Purchase_Date]],"DD")</f>
        <v>27</v>
      </c>
      <c r="O937" s="2" t="s">
        <v>36</v>
      </c>
      <c r="P937" s="3">
        <v>6</v>
      </c>
      <c r="Q937" s="2" t="s">
        <v>23</v>
      </c>
      <c r="R937" s="2" t="s">
        <v>47</v>
      </c>
      <c r="S937">
        <f>Table1[[#This Row],[Purchase_Amount]]*Table1[[#This Row],[Quantity]]</f>
        <v>828.92</v>
      </c>
      <c r="T937" t="str">
        <f>IF(Table1[[#This Row],[Age]]&lt;25,"&lt;25",IF(Table1[[#This Row],[Age]]&lt;=35,"25-35",IF(Table1[[#This Row],[Age]]&lt;=50,"36-50","50+")))</f>
        <v>50+</v>
      </c>
    </row>
    <row r="938" spans="1:20" x14ac:dyDescent="0.3">
      <c r="A938" s="2" t="s">
        <v>1155</v>
      </c>
      <c r="B938" s="2" t="s">
        <v>16</v>
      </c>
      <c r="C938" s="3">
        <v>54</v>
      </c>
      <c r="D938" s="2" t="s">
        <v>60</v>
      </c>
      <c r="E938" s="2" t="s">
        <v>49</v>
      </c>
      <c r="F938" s="2" t="s">
        <v>44</v>
      </c>
      <c r="G938" t="s">
        <v>69</v>
      </c>
      <c r="H938" t="s">
        <v>164</v>
      </c>
      <c r="I938" s="4">
        <v>368.67</v>
      </c>
      <c r="J938" s="3">
        <v>2</v>
      </c>
      <c r="K938" s="1">
        <v>45460</v>
      </c>
      <c r="L938" s="1" t="str">
        <f>TEXT(Table1[[#This Row],[Purchase_Date]],"YYYY")</f>
        <v>2024</v>
      </c>
      <c r="M938" s="1" t="str">
        <f>TEXT(Table1[[#This Row],[Purchase_Date]],"MMM")</f>
        <v>Jun</v>
      </c>
      <c r="N938" s="1" t="str">
        <f>TEXT(Table1[[#This Row],[Purchase_Date]],"DD")</f>
        <v>17</v>
      </c>
      <c r="O938" s="2" t="s">
        <v>36</v>
      </c>
      <c r="P938" s="3">
        <v>3</v>
      </c>
      <c r="Q938" s="2" t="s">
        <v>46</v>
      </c>
      <c r="R938" s="2" t="s">
        <v>24</v>
      </c>
      <c r="S938">
        <f>Table1[[#This Row],[Purchase_Amount]]*Table1[[#This Row],[Quantity]]</f>
        <v>737.34</v>
      </c>
      <c r="T938" t="str">
        <f>IF(Table1[[#This Row],[Age]]&lt;25,"&lt;25",IF(Table1[[#This Row],[Age]]&lt;=35,"25-35",IF(Table1[[#This Row],[Age]]&lt;=50,"36-50","50+")))</f>
        <v>50+</v>
      </c>
    </row>
    <row r="939" spans="1:20" x14ac:dyDescent="0.3">
      <c r="A939" s="2" t="s">
        <v>782</v>
      </c>
      <c r="B939" s="2" t="s">
        <v>16</v>
      </c>
      <c r="C939" s="3">
        <v>54</v>
      </c>
      <c r="D939" s="2" t="s">
        <v>32</v>
      </c>
      <c r="E939" s="2" t="s">
        <v>18</v>
      </c>
      <c r="F939" s="2" t="s">
        <v>27</v>
      </c>
      <c r="G939" t="s">
        <v>69</v>
      </c>
      <c r="H939" t="s">
        <v>730</v>
      </c>
      <c r="I939" s="4">
        <v>479.57</v>
      </c>
      <c r="J939" s="3">
        <v>5</v>
      </c>
      <c r="K939" s="1">
        <v>45539</v>
      </c>
      <c r="L939" s="1" t="str">
        <f>TEXT(Table1[[#This Row],[Purchase_Date]],"YYYY")</f>
        <v>2024</v>
      </c>
      <c r="M939" s="1" t="str">
        <f>TEXT(Table1[[#This Row],[Purchase_Date]],"MMM")</f>
        <v>Sep</v>
      </c>
      <c r="N939" s="1" t="str">
        <f>TEXT(Table1[[#This Row],[Purchase_Date]],"DD")</f>
        <v>04</v>
      </c>
      <c r="O939" s="2" t="s">
        <v>41</v>
      </c>
      <c r="P939" s="3">
        <v>3</v>
      </c>
      <c r="Q939" s="2" t="s">
        <v>23</v>
      </c>
      <c r="R939" s="2" t="s">
        <v>47</v>
      </c>
      <c r="S939">
        <f>Table1[[#This Row],[Purchase_Amount]]*Table1[[#This Row],[Quantity]]</f>
        <v>2397.85</v>
      </c>
      <c r="T939" t="str">
        <f>IF(Table1[[#This Row],[Age]]&lt;25,"&lt;25",IF(Table1[[#This Row],[Age]]&lt;=35,"25-35",IF(Table1[[#This Row],[Age]]&lt;=50,"36-50","50+")))</f>
        <v>50+</v>
      </c>
    </row>
    <row r="940" spans="1:20" x14ac:dyDescent="0.3">
      <c r="A940" s="2" t="s">
        <v>837</v>
      </c>
      <c r="B940" s="2" t="s">
        <v>16</v>
      </c>
      <c r="C940" s="3">
        <v>54</v>
      </c>
      <c r="D940" s="2" t="s">
        <v>64</v>
      </c>
      <c r="E940" s="2" t="s">
        <v>33</v>
      </c>
      <c r="F940" s="2" t="s">
        <v>27</v>
      </c>
      <c r="G940" t="s">
        <v>69</v>
      </c>
      <c r="H940" t="s">
        <v>502</v>
      </c>
      <c r="I940" s="4">
        <v>782.25</v>
      </c>
      <c r="J940" s="3">
        <v>2</v>
      </c>
      <c r="K940" s="1">
        <v>45391</v>
      </c>
      <c r="L940" s="1" t="str">
        <f>TEXT(Table1[[#This Row],[Purchase_Date]],"YYYY")</f>
        <v>2024</v>
      </c>
      <c r="M940" s="1" t="str">
        <f>TEXT(Table1[[#This Row],[Purchase_Date]],"MMM")</f>
        <v>Apr</v>
      </c>
      <c r="N940" s="1" t="str">
        <f>TEXT(Table1[[#This Row],[Purchase_Date]],"DD")</f>
        <v>09</v>
      </c>
      <c r="O940" s="2" t="s">
        <v>30</v>
      </c>
      <c r="P940" s="3">
        <v>8</v>
      </c>
      <c r="Q940" s="2" t="s">
        <v>23</v>
      </c>
      <c r="R940" s="2" t="s">
        <v>47</v>
      </c>
      <c r="S940">
        <f>Table1[[#This Row],[Purchase_Amount]]*Table1[[#This Row],[Quantity]]</f>
        <v>1564.5</v>
      </c>
      <c r="T940" t="str">
        <f>IF(Table1[[#This Row],[Age]]&lt;25,"&lt;25",IF(Table1[[#This Row],[Age]]&lt;=35,"25-35",IF(Table1[[#This Row],[Age]]&lt;=50,"36-50","50+")))</f>
        <v>50+</v>
      </c>
    </row>
    <row r="941" spans="1:20" x14ac:dyDescent="0.3">
      <c r="A941" s="2" t="s">
        <v>530</v>
      </c>
      <c r="B941" s="2" t="s">
        <v>16</v>
      </c>
      <c r="C941" s="3">
        <v>55</v>
      </c>
      <c r="D941" s="2" t="s">
        <v>60</v>
      </c>
      <c r="E941" s="2" t="s">
        <v>49</v>
      </c>
      <c r="F941" s="2" t="s">
        <v>19</v>
      </c>
      <c r="G941" t="s">
        <v>69</v>
      </c>
      <c r="H941" t="s">
        <v>85</v>
      </c>
      <c r="I941" s="4">
        <v>898.42</v>
      </c>
      <c r="J941" s="3">
        <v>3</v>
      </c>
      <c r="K941" s="1">
        <v>45356</v>
      </c>
      <c r="L941" s="1" t="str">
        <f>TEXT(Table1[[#This Row],[Purchase_Date]],"YYYY")</f>
        <v>2024</v>
      </c>
      <c r="M941" s="1" t="str">
        <f>TEXT(Table1[[#This Row],[Purchase_Date]],"MMM")</f>
        <v>Mar</v>
      </c>
      <c r="N941" s="1" t="str">
        <f>TEXT(Table1[[#This Row],[Purchase_Date]],"DD")</f>
        <v>05</v>
      </c>
      <c r="O941" s="2" t="s">
        <v>30</v>
      </c>
      <c r="P941" s="3">
        <v>4</v>
      </c>
      <c r="Q941" s="2" t="s">
        <v>46</v>
      </c>
      <c r="R941" s="2" t="s">
        <v>24</v>
      </c>
      <c r="S941">
        <f>Table1[[#This Row],[Purchase_Amount]]*Table1[[#This Row],[Quantity]]</f>
        <v>2695.2599999999998</v>
      </c>
      <c r="T941" t="str">
        <f>IF(Table1[[#This Row],[Age]]&lt;25,"&lt;25",IF(Table1[[#This Row],[Age]]&lt;=35,"25-35",IF(Table1[[#This Row],[Age]]&lt;=50,"36-50","50+")))</f>
        <v>50+</v>
      </c>
    </row>
    <row r="942" spans="1:20" x14ac:dyDescent="0.3">
      <c r="A942" s="2" t="s">
        <v>264</v>
      </c>
      <c r="B942" s="2" t="s">
        <v>16</v>
      </c>
      <c r="C942" s="3">
        <v>57</v>
      </c>
      <c r="D942" s="2" t="s">
        <v>60</v>
      </c>
      <c r="E942" s="2" t="s">
        <v>18</v>
      </c>
      <c r="F942" s="2" t="s">
        <v>27</v>
      </c>
      <c r="G942" t="s">
        <v>69</v>
      </c>
      <c r="H942" t="s">
        <v>265</v>
      </c>
      <c r="I942" s="4">
        <v>131.27000000000001</v>
      </c>
      <c r="J942" s="3">
        <v>2</v>
      </c>
      <c r="K942" s="1">
        <v>45109</v>
      </c>
      <c r="L942" s="1" t="str">
        <f>TEXT(Table1[[#This Row],[Purchase_Date]],"YYYY")</f>
        <v>2023</v>
      </c>
      <c r="M942" s="1" t="str">
        <f>TEXT(Table1[[#This Row],[Purchase_Date]],"MMM")</f>
        <v>Jul</v>
      </c>
      <c r="N942" s="1" t="str">
        <f>TEXT(Table1[[#This Row],[Purchase_Date]],"DD")</f>
        <v>02</v>
      </c>
      <c r="O942" s="2" t="s">
        <v>36</v>
      </c>
      <c r="P942" s="3">
        <v>3</v>
      </c>
      <c r="Q942" s="2" t="s">
        <v>46</v>
      </c>
      <c r="R942" s="2" t="s">
        <v>24</v>
      </c>
      <c r="S942">
        <f>Table1[[#This Row],[Purchase_Amount]]*Table1[[#This Row],[Quantity]]</f>
        <v>262.54000000000002</v>
      </c>
      <c r="T942" t="str">
        <f>IF(Table1[[#This Row],[Age]]&lt;25,"&lt;25",IF(Table1[[#This Row],[Age]]&lt;=35,"25-35",IF(Table1[[#This Row],[Age]]&lt;=50,"36-50","50+")))</f>
        <v>50+</v>
      </c>
    </row>
    <row r="943" spans="1:20" x14ac:dyDescent="0.3">
      <c r="A943" s="2" t="s">
        <v>745</v>
      </c>
      <c r="B943" s="2" t="s">
        <v>16</v>
      </c>
      <c r="C943" s="3">
        <v>57</v>
      </c>
      <c r="D943" s="2" t="s">
        <v>17</v>
      </c>
      <c r="E943" s="2" t="s">
        <v>33</v>
      </c>
      <c r="F943" s="2" t="s">
        <v>27</v>
      </c>
      <c r="G943" t="s">
        <v>69</v>
      </c>
      <c r="H943" t="s">
        <v>391</v>
      </c>
      <c r="I943" s="4">
        <v>282.81</v>
      </c>
      <c r="J943" s="3">
        <v>3</v>
      </c>
      <c r="K943" s="1">
        <v>45223</v>
      </c>
      <c r="L943" s="1" t="str">
        <f>TEXT(Table1[[#This Row],[Purchase_Date]],"YYYY")</f>
        <v>2023</v>
      </c>
      <c r="M943" s="1" t="str">
        <f>TEXT(Table1[[#This Row],[Purchase_Date]],"MMM")</f>
        <v>Oct</v>
      </c>
      <c r="N943" s="1" t="str">
        <f>TEXT(Table1[[#This Row],[Purchase_Date]],"DD")</f>
        <v>24</v>
      </c>
      <c r="O943" s="2" t="s">
        <v>22</v>
      </c>
      <c r="P943" s="3">
        <v>5</v>
      </c>
      <c r="Q943" s="2" t="s">
        <v>23</v>
      </c>
      <c r="R943" s="2" t="s">
        <v>47</v>
      </c>
      <c r="S943">
        <f>Table1[[#This Row],[Purchase_Amount]]*Table1[[#This Row],[Quantity]]</f>
        <v>848.43000000000006</v>
      </c>
      <c r="T943" t="str">
        <f>IF(Table1[[#This Row],[Age]]&lt;25,"&lt;25",IF(Table1[[#This Row],[Age]]&lt;=35,"25-35",IF(Table1[[#This Row],[Age]]&lt;=50,"36-50","50+")))</f>
        <v>50+</v>
      </c>
    </row>
    <row r="944" spans="1:20" x14ac:dyDescent="0.3">
      <c r="A944" s="2" t="s">
        <v>856</v>
      </c>
      <c r="B944" s="2" t="s">
        <v>16</v>
      </c>
      <c r="C944" s="3">
        <v>59</v>
      </c>
      <c r="D944" s="2" t="s">
        <v>38</v>
      </c>
      <c r="E944" s="2" t="s">
        <v>18</v>
      </c>
      <c r="F944" s="2" t="s">
        <v>27</v>
      </c>
      <c r="G944" t="s">
        <v>69</v>
      </c>
      <c r="H944" t="s">
        <v>193</v>
      </c>
      <c r="I944" s="4">
        <v>192.46</v>
      </c>
      <c r="J944" s="3">
        <v>3</v>
      </c>
      <c r="K944" s="1">
        <v>45168</v>
      </c>
      <c r="L944" s="1" t="str">
        <f>TEXT(Table1[[#This Row],[Purchase_Date]],"YYYY")</f>
        <v>2023</v>
      </c>
      <c r="M944" s="1" t="str">
        <f>TEXT(Table1[[#This Row],[Purchase_Date]],"MMM")</f>
        <v>Aug</v>
      </c>
      <c r="N944" s="1" t="str">
        <f>TEXT(Table1[[#This Row],[Purchase_Date]],"DD")</f>
        <v>30</v>
      </c>
      <c r="O944" s="2" t="s">
        <v>36</v>
      </c>
      <c r="P944" s="3">
        <v>7</v>
      </c>
      <c r="Q944" s="2" t="s">
        <v>23</v>
      </c>
      <c r="R944" s="2" t="s">
        <v>24</v>
      </c>
      <c r="S944">
        <f>Table1[[#This Row],[Purchase_Amount]]*Table1[[#This Row],[Quantity]]</f>
        <v>577.38</v>
      </c>
      <c r="T944" t="str">
        <f>IF(Table1[[#This Row],[Age]]&lt;25,"&lt;25",IF(Table1[[#This Row],[Age]]&lt;=35,"25-35",IF(Table1[[#This Row],[Age]]&lt;=50,"36-50","50+")))</f>
        <v>50+</v>
      </c>
    </row>
    <row r="945" spans="1:20" x14ac:dyDescent="0.3">
      <c r="A945" s="2" t="s">
        <v>729</v>
      </c>
      <c r="B945" s="2" t="s">
        <v>16</v>
      </c>
      <c r="C945" s="3">
        <v>60</v>
      </c>
      <c r="D945" s="2" t="s">
        <v>60</v>
      </c>
      <c r="E945" s="2" t="s">
        <v>49</v>
      </c>
      <c r="F945" s="2" t="s">
        <v>19</v>
      </c>
      <c r="G945" t="s">
        <v>69</v>
      </c>
      <c r="H945" t="s">
        <v>730</v>
      </c>
      <c r="I945" s="4">
        <v>451.37</v>
      </c>
      <c r="J945" s="3">
        <v>2</v>
      </c>
      <c r="K945" s="1">
        <v>44942</v>
      </c>
      <c r="L945" s="1" t="str">
        <f>TEXT(Table1[[#This Row],[Purchase_Date]],"YYYY")</f>
        <v>2023</v>
      </c>
      <c r="M945" s="1" t="str">
        <f>TEXT(Table1[[#This Row],[Purchase_Date]],"MMM")</f>
        <v>Jan</v>
      </c>
      <c r="N945" s="1" t="str">
        <f>TEXT(Table1[[#This Row],[Purchase_Date]],"DD")</f>
        <v>16</v>
      </c>
      <c r="O945" s="2" t="s">
        <v>41</v>
      </c>
      <c r="P945" s="3">
        <v>3</v>
      </c>
      <c r="Q945" s="2" t="s">
        <v>23</v>
      </c>
      <c r="R945" s="2" t="s">
        <v>47</v>
      </c>
      <c r="S945">
        <f>Table1[[#This Row],[Purchase_Amount]]*Table1[[#This Row],[Quantity]]</f>
        <v>902.74</v>
      </c>
      <c r="T945" t="str">
        <f>IF(Table1[[#This Row],[Age]]&lt;25,"&lt;25",IF(Table1[[#This Row],[Age]]&lt;=35,"25-35",IF(Table1[[#This Row],[Age]]&lt;=50,"36-50","50+")))</f>
        <v>50+</v>
      </c>
    </row>
    <row r="946" spans="1:20" x14ac:dyDescent="0.3">
      <c r="A946" s="2" t="s">
        <v>393</v>
      </c>
      <c r="B946" s="2" t="s">
        <v>16</v>
      </c>
      <c r="C946" s="3">
        <v>61</v>
      </c>
      <c r="D946" s="2" t="s">
        <v>78</v>
      </c>
      <c r="E946" s="2" t="s">
        <v>33</v>
      </c>
      <c r="F946" s="2" t="s">
        <v>44</v>
      </c>
      <c r="G946" t="s">
        <v>69</v>
      </c>
      <c r="H946" t="s">
        <v>62</v>
      </c>
      <c r="I946" s="4">
        <v>118.76</v>
      </c>
      <c r="J946" s="3">
        <v>3</v>
      </c>
      <c r="K946" s="1">
        <v>45443</v>
      </c>
      <c r="L946" s="1" t="str">
        <f>TEXT(Table1[[#This Row],[Purchase_Date]],"YYYY")</f>
        <v>2024</v>
      </c>
      <c r="M946" s="1" t="str">
        <f>TEXT(Table1[[#This Row],[Purchase_Date]],"MMM")</f>
        <v>May</v>
      </c>
      <c r="N946" s="1" t="str">
        <f>TEXT(Table1[[#This Row],[Purchase_Date]],"DD")</f>
        <v>31</v>
      </c>
      <c r="O946" s="2" t="s">
        <v>36</v>
      </c>
      <c r="P946" s="3">
        <v>3</v>
      </c>
      <c r="Q946" s="2" t="s">
        <v>46</v>
      </c>
      <c r="R946" s="2" t="s">
        <v>47</v>
      </c>
      <c r="S946">
        <f>Table1[[#This Row],[Purchase_Amount]]*Table1[[#This Row],[Quantity]]</f>
        <v>356.28000000000003</v>
      </c>
      <c r="T946" t="str">
        <f>IF(Table1[[#This Row],[Age]]&lt;25,"&lt;25",IF(Table1[[#This Row],[Age]]&lt;=35,"25-35",IF(Table1[[#This Row],[Age]]&lt;=50,"36-50","50+")))</f>
        <v>50+</v>
      </c>
    </row>
    <row r="947" spans="1:20" x14ac:dyDescent="0.3">
      <c r="A947" s="2" t="s">
        <v>457</v>
      </c>
      <c r="B947" s="2" t="s">
        <v>16</v>
      </c>
      <c r="C947" s="3">
        <v>61</v>
      </c>
      <c r="D947" s="2" t="s">
        <v>32</v>
      </c>
      <c r="E947" s="2" t="s">
        <v>33</v>
      </c>
      <c r="F947" s="2" t="s">
        <v>44</v>
      </c>
      <c r="G947" t="s">
        <v>69</v>
      </c>
      <c r="H947" t="s">
        <v>458</v>
      </c>
      <c r="I947" s="4">
        <v>764.55</v>
      </c>
      <c r="J947" s="3">
        <v>4</v>
      </c>
      <c r="K947" s="1">
        <v>45432</v>
      </c>
      <c r="L947" s="1" t="str">
        <f>TEXT(Table1[[#This Row],[Purchase_Date]],"YYYY")</f>
        <v>2024</v>
      </c>
      <c r="M947" s="1" t="str">
        <f>TEXT(Table1[[#This Row],[Purchase_Date]],"MMM")</f>
        <v>May</v>
      </c>
      <c r="N947" s="1" t="str">
        <f>TEXT(Table1[[#This Row],[Purchase_Date]],"DD")</f>
        <v>20</v>
      </c>
      <c r="O947" s="2" t="s">
        <v>36</v>
      </c>
      <c r="P947" s="3">
        <v>9</v>
      </c>
      <c r="Q947" s="2" t="s">
        <v>46</v>
      </c>
      <c r="R947" s="2" t="s">
        <v>24</v>
      </c>
      <c r="S947">
        <f>Table1[[#This Row],[Purchase_Amount]]*Table1[[#This Row],[Quantity]]</f>
        <v>3058.2</v>
      </c>
      <c r="T947" t="str">
        <f>IF(Table1[[#This Row],[Age]]&lt;25,"&lt;25",IF(Table1[[#This Row],[Age]]&lt;=35,"25-35",IF(Table1[[#This Row],[Age]]&lt;=50,"36-50","50+")))</f>
        <v>50+</v>
      </c>
    </row>
    <row r="948" spans="1:20" x14ac:dyDescent="0.3">
      <c r="A948" s="2" t="s">
        <v>941</v>
      </c>
      <c r="B948" s="2" t="s">
        <v>16</v>
      </c>
      <c r="C948" s="3">
        <v>64</v>
      </c>
      <c r="D948" s="2" t="s">
        <v>17</v>
      </c>
      <c r="E948" s="2" t="s">
        <v>49</v>
      </c>
      <c r="F948" s="2" t="s">
        <v>44</v>
      </c>
      <c r="G948" t="s">
        <v>69</v>
      </c>
      <c r="H948" t="s">
        <v>776</v>
      </c>
      <c r="I948" s="4">
        <v>437.49</v>
      </c>
      <c r="J948" s="3">
        <v>3</v>
      </c>
      <c r="K948" s="1">
        <v>45359</v>
      </c>
      <c r="L948" s="1" t="str">
        <f>TEXT(Table1[[#This Row],[Purchase_Date]],"YYYY")</f>
        <v>2024</v>
      </c>
      <c r="M948" s="1" t="str">
        <f>TEXT(Table1[[#This Row],[Purchase_Date]],"MMM")</f>
        <v>Mar</v>
      </c>
      <c r="N948" s="1" t="str">
        <f>TEXT(Table1[[#This Row],[Purchase_Date]],"DD")</f>
        <v>08</v>
      </c>
      <c r="O948" s="2" t="s">
        <v>22</v>
      </c>
      <c r="P948" s="3">
        <v>8</v>
      </c>
      <c r="Q948" s="2" t="s">
        <v>46</v>
      </c>
      <c r="R948" s="2" t="s">
        <v>47</v>
      </c>
      <c r="S948">
        <f>Table1[[#This Row],[Purchase_Amount]]*Table1[[#This Row],[Quantity]]</f>
        <v>1312.47</v>
      </c>
      <c r="T948" t="str">
        <f>IF(Table1[[#This Row],[Age]]&lt;25,"&lt;25",IF(Table1[[#This Row],[Age]]&lt;=35,"25-35",IF(Table1[[#This Row],[Age]]&lt;=50,"36-50","50+")))</f>
        <v>50+</v>
      </c>
    </row>
    <row r="949" spans="1:20" x14ac:dyDescent="0.3">
      <c r="A949" s="2" t="s">
        <v>1166</v>
      </c>
      <c r="B949" s="2" t="s">
        <v>16</v>
      </c>
      <c r="C949" s="3">
        <v>66</v>
      </c>
      <c r="D949" s="2" t="s">
        <v>60</v>
      </c>
      <c r="E949" s="2" t="s">
        <v>49</v>
      </c>
      <c r="F949" s="2" t="s">
        <v>27</v>
      </c>
      <c r="G949" t="s">
        <v>69</v>
      </c>
      <c r="H949" t="s">
        <v>221</v>
      </c>
      <c r="I949" s="4">
        <v>75.39</v>
      </c>
      <c r="J949" s="3">
        <v>5</v>
      </c>
      <c r="K949" s="1">
        <v>45197</v>
      </c>
      <c r="L949" s="1" t="str">
        <f>TEXT(Table1[[#This Row],[Purchase_Date]],"YYYY")</f>
        <v>2023</v>
      </c>
      <c r="M949" s="1" t="str">
        <f>TEXT(Table1[[#This Row],[Purchase_Date]],"MMM")</f>
        <v>Sep</v>
      </c>
      <c r="N949" s="1" t="str">
        <f>TEXT(Table1[[#This Row],[Purchase_Date]],"DD")</f>
        <v>28</v>
      </c>
      <c r="O949" s="2" t="s">
        <v>36</v>
      </c>
      <c r="P949" s="3">
        <v>5</v>
      </c>
      <c r="Q949" s="2" t="s">
        <v>23</v>
      </c>
      <c r="R949" s="2" t="s">
        <v>24</v>
      </c>
      <c r="S949">
        <f>Table1[[#This Row],[Purchase_Amount]]*Table1[[#This Row],[Quantity]]</f>
        <v>376.95</v>
      </c>
      <c r="T949" t="str">
        <f>IF(Table1[[#This Row],[Age]]&lt;25,"&lt;25",IF(Table1[[#This Row],[Age]]&lt;=35,"25-35",IF(Table1[[#This Row],[Age]]&lt;=50,"36-50","50+")))</f>
        <v>50+</v>
      </c>
    </row>
    <row r="950" spans="1:20" x14ac:dyDescent="0.3">
      <c r="A950" s="2" t="s">
        <v>637</v>
      </c>
      <c r="B950" s="2" t="s">
        <v>16</v>
      </c>
      <c r="C950" s="3">
        <v>67</v>
      </c>
      <c r="D950" s="2" t="s">
        <v>109</v>
      </c>
      <c r="E950" s="2" t="s">
        <v>18</v>
      </c>
      <c r="F950" s="2" t="s">
        <v>44</v>
      </c>
      <c r="G950" t="s">
        <v>69</v>
      </c>
      <c r="H950" t="s">
        <v>561</v>
      </c>
      <c r="I950" s="4">
        <v>46.1</v>
      </c>
      <c r="J950" s="3">
        <v>5</v>
      </c>
      <c r="K950" s="1">
        <v>45414</v>
      </c>
      <c r="L950" s="1" t="str">
        <f>TEXT(Table1[[#This Row],[Purchase_Date]],"YYYY")</f>
        <v>2024</v>
      </c>
      <c r="M950" s="1" t="str">
        <f>TEXT(Table1[[#This Row],[Purchase_Date]],"MMM")</f>
        <v>May</v>
      </c>
      <c r="N950" s="1" t="str">
        <f>TEXT(Table1[[#This Row],[Purchase_Date]],"DD")</f>
        <v>02</v>
      </c>
      <c r="O950" s="2" t="s">
        <v>36</v>
      </c>
      <c r="P950" s="3">
        <v>2</v>
      </c>
      <c r="Q950" s="2" t="s">
        <v>46</v>
      </c>
      <c r="R950" s="2" t="s">
        <v>47</v>
      </c>
      <c r="S950">
        <f>Table1[[#This Row],[Purchase_Amount]]*Table1[[#This Row],[Quantity]]</f>
        <v>230.5</v>
      </c>
      <c r="T950" t="str">
        <f>IF(Table1[[#This Row],[Age]]&lt;25,"&lt;25",IF(Table1[[#This Row],[Age]]&lt;=35,"25-35",IF(Table1[[#This Row],[Age]]&lt;=50,"36-50","50+")))</f>
        <v>50+</v>
      </c>
    </row>
    <row r="951" spans="1:20" x14ac:dyDescent="0.3">
      <c r="A951" s="2" t="s">
        <v>1184</v>
      </c>
      <c r="B951" s="2" t="s">
        <v>16</v>
      </c>
      <c r="C951" s="3">
        <v>67</v>
      </c>
      <c r="D951" s="2" t="s">
        <v>60</v>
      </c>
      <c r="E951" s="2" t="s">
        <v>18</v>
      </c>
      <c r="F951" s="2" t="s">
        <v>27</v>
      </c>
      <c r="G951" t="s">
        <v>69</v>
      </c>
      <c r="H951" t="s">
        <v>151</v>
      </c>
      <c r="I951" s="4">
        <v>86.2</v>
      </c>
      <c r="J951" s="3">
        <v>2</v>
      </c>
      <c r="K951" s="1">
        <v>44967</v>
      </c>
      <c r="L951" s="1" t="str">
        <f>TEXT(Table1[[#This Row],[Purchase_Date]],"YYYY")</f>
        <v>2023</v>
      </c>
      <c r="M951" s="1" t="str">
        <f>TEXT(Table1[[#This Row],[Purchase_Date]],"MMM")</f>
        <v>Feb</v>
      </c>
      <c r="N951" s="1" t="str">
        <f>TEXT(Table1[[#This Row],[Purchase_Date]],"DD")</f>
        <v>10</v>
      </c>
      <c r="O951" s="2" t="s">
        <v>41</v>
      </c>
      <c r="P951" s="3">
        <v>6</v>
      </c>
      <c r="Q951" s="2" t="s">
        <v>23</v>
      </c>
      <c r="R951" s="2" t="s">
        <v>47</v>
      </c>
      <c r="S951">
        <f>Table1[[#This Row],[Purchase_Amount]]*Table1[[#This Row],[Quantity]]</f>
        <v>172.4</v>
      </c>
      <c r="T951" t="str">
        <f>IF(Table1[[#This Row],[Age]]&lt;25,"&lt;25",IF(Table1[[#This Row],[Age]]&lt;=35,"25-35",IF(Table1[[#This Row],[Age]]&lt;=50,"36-50","50+")))</f>
        <v>50+</v>
      </c>
    </row>
    <row r="952" spans="1:20" x14ac:dyDescent="0.3">
      <c r="A952" s="2" t="s">
        <v>528</v>
      </c>
      <c r="B952" s="2" t="s">
        <v>16</v>
      </c>
      <c r="C952" s="3">
        <v>67</v>
      </c>
      <c r="D952" s="2" t="s">
        <v>17</v>
      </c>
      <c r="E952" s="2" t="s">
        <v>18</v>
      </c>
      <c r="F952" s="2" t="s">
        <v>19</v>
      </c>
      <c r="G952" t="s">
        <v>69</v>
      </c>
      <c r="H952" t="s">
        <v>29</v>
      </c>
      <c r="I952" s="4">
        <v>651.98</v>
      </c>
      <c r="J952" s="3">
        <v>2</v>
      </c>
      <c r="K952" s="1">
        <v>45102</v>
      </c>
      <c r="L952" s="1" t="str">
        <f>TEXT(Table1[[#This Row],[Purchase_Date]],"YYYY")</f>
        <v>2023</v>
      </c>
      <c r="M952" s="1" t="str">
        <f>TEXT(Table1[[#This Row],[Purchase_Date]],"MMM")</f>
        <v>Jun</v>
      </c>
      <c r="N952" s="1" t="str">
        <f>TEXT(Table1[[#This Row],[Purchase_Date]],"DD")</f>
        <v>25</v>
      </c>
      <c r="O952" s="2" t="s">
        <v>22</v>
      </c>
      <c r="P952" s="3">
        <v>9</v>
      </c>
      <c r="Q952" s="2" t="s">
        <v>23</v>
      </c>
      <c r="R952" s="2" t="s">
        <v>47</v>
      </c>
      <c r="S952">
        <f>Table1[[#This Row],[Purchase_Amount]]*Table1[[#This Row],[Quantity]]</f>
        <v>1303.96</v>
      </c>
      <c r="T952" t="str">
        <f>IF(Table1[[#This Row],[Age]]&lt;25,"&lt;25",IF(Table1[[#This Row],[Age]]&lt;=35,"25-35",IF(Table1[[#This Row],[Age]]&lt;=50,"36-50","50+")))</f>
        <v>50+</v>
      </c>
    </row>
    <row r="953" spans="1:20" x14ac:dyDescent="0.3">
      <c r="A953" s="2" t="s">
        <v>475</v>
      </c>
      <c r="B953" s="2" t="s">
        <v>16</v>
      </c>
      <c r="C953" s="3">
        <v>67</v>
      </c>
      <c r="D953" s="2" t="s">
        <v>32</v>
      </c>
      <c r="E953" s="2" t="s">
        <v>18</v>
      </c>
      <c r="F953" s="2" t="s">
        <v>44</v>
      </c>
      <c r="G953" t="s">
        <v>69</v>
      </c>
      <c r="H953" t="s">
        <v>119</v>
      </c>
      <c r="I953" s="4">
        <v>677.02</v>
      </c>
      <c r="J953" s="3">
        <v>2</v>
      </c>
      <c r="K953" s="1">
        <v>45493</v>
      </c>
      <c r="L953" s="1" t="str">
        <f>TEXT(Table1[[#This Row],[Purchase_Date]],"YYYY")</f>
        <v>2024</v>
      </c>
      <c r="M953" s="1" t="str">
        <f>TEXT(Table1[[#This Row],[Purchase_Date]],"MMM")</f>
        <v>Jul</v>
      </c>
      <c r="N953" s="1" t="str">
        <f>TEXT(Table1[[#This Row],[Purchase_Date]],"DD")</f>
        <v>20</v>
      </c>
      <c r="O953" s="2" t="s">
        <v>41</v>
      </c>
      <c r="P953" s="3">
        <v>9</v>
      </c>
      <c r="Q953" s="2" t="s">
        <v>46</v>
      </c>
      <c r="R953" s="2" t="s">
        <v>24</v>
      </c>
      <c r="S953">
        <f>Table1[[#This Row],[Purchase_Amount]]*Table1[[#This Row],[Quantity]]</f>
        <v>1354.04</v>
      </c>
      <c r="T953" t="str">
        <f>IF(Table1[[#This Row],[Age]]&lt;25,"&lt;25",IF(Table1[[#This Row],[Age]]&lt;=35,"25-35",IF(Table1[[#This Row],[Age]]&lt;=50,"36-50","50+")))</f>
        <v>50+</v>
      </c>
    </row>
    <row r="954" spans="1:20" x14ac:dyDescent="0.3">
      <c r="A954" s="2" t="s">
        <v>501</v>
      </c>
      <c r="B954" s="2" t="s">
        <v>16</v>
      </c>
      <c r="C954" s="3">
        <v>68</v>
      </c>
      <c r="D954" s="2" t="s">
        <v>78</v>
      </c>
      <c r="E954" s="2" t="s">
        <v>18</v>
      </c>
      <c r="F954" s="2" t="s">
        <v>44</v>
      </c>
      <c r="G954" t="s">
        <v>69</v>
      </c>
      <c r="H954" t="s">
        <v>502</v>
      </c>
      <c r="I954" s="4">
        <v>529.79999999999995</v>
      </c>
      <c r="J954" s="3">
        <v>5</v>
      </c>
      <c r="K954" s="1">
        <v>45392</v>
      </c>
      <c r="L954" s="1" t="str">
        <f>TEXT(Table1[[#This Row],[Purchase_Date]],"YYYY")</f>
        <v>2024</v>
      </c>
      <c r="M954" s="1" t="str">
        <f>TEXT(Table1[[#This Row],[Purchase_Date]],"MMM")</f>
        <v>Apr</v>
      </c>
      <c r="N954" s="1" t="str">
        <f>TEXT(Table1[[#This Row],[Purchase_Date]],"DD")</f>
        <v>10</v>
      </c>
      <c r="O954" s="2" t="s">
        <v>30</v>
      </c>
      <c r="P954" s="3">
        <v>4</v>
      </c>
      <c r="Q954" s="2" t="s">
        <v>46</v>
      </c>
      <c r="R954" s="2" t="s">
        <v>47</v>
      </c>
      <c r="S954">
        <f>Table1[[#This Row],[Purchase_Amount]]*Table1[[#This Row],[Quantity]]</f>
        <v>2649</v>
      </c>
      <c r="T954" t="str">
        <f>IF(Table1[[#This Row],[Age]]&lt;25,"&lt;25",IF(Table1[[#This Row],[Age]]&lt;=35,"25-35",IF(Table1[[#This Row],[Age]]&lt;=50,"36-50","50+")))</f>
        <v>50+</v>
      </c>
    </row>
    <row r="955" spans="1:20" x14ac:dyDescent="0.3">
      <c r="A955" s="2" t="s">
        <v>564</v>
      </c>
      <c r="B955" s="2" t="s">
        <v>16</v>
      </c>
      <c r="C955" s="3">
        <v>20</v>
      </c>
      <c r="D955" s="2" t="s">
        <v>78</v>
      </c>
      <c r="E955" s="2" t="s">
        <v>49</v>
      </c>
      <c r="F955" s="2" t="s">
        <v>44</v>
      </c>
      <c r="G955" t="s">
        <v>34</v>
      </c>
      <c r="H955" t="s">
        <v>269</v>
      </c>
      <c r="I955" s="4">
        <v>930.86</v>
      </c>
      <c r="J955" s="3">
        <v>4</v>
      </c>
      <c r="K955" s="1">
        <v>45507</v>
      </c>
      <c r="L955" s="1" t="str">
        <f>TEXT(Table1[[#This Row],[Purchase_Date]],"YYYY")</f>
        <v>2024</v>
      </c>
      <c r="M955" s="1" t="str">
        <f>TEXT(Table1[[#This Row],[Purchase_Date]],"MMM")</f>
        <v>Aug</v>
      </c>
      <c r="N955" s="1" t="str">
        <f>TEXT(Table1[[#This Row],[Purchase_Date]],"DD")</f>
        <v>03</v>
      </c>
      <c r="O955" s="2" t="s">
        <v>41</v>
      </c>
      <c r="P955" s="3">
        <v>2</v>
      </c>
      <c r="Q955" s="2" t="s">
        <v>23</v>
      </c>
      <c r="R955" s="2" t="s">
        <v>47</v>
      </c>
      <c r="S955">
        <f>Table1[[#This Row],[Purchase_Amount]]*Table1[[#This Row],[Quantity]]</f>
        <v>3723.44</v>
      </c>
      <c r="T955" t="str">
        <f>IF(Table1[[#This Row],[Age]]&lt;25,"&lt;25",IF(Table1[[#This Row],[Age]]&lt;=35,"25-35",IF(Table1[[#This Row],[Age]]&lt;=50,"36-50","50+")))</f>
        <v>&lt;25</v>
      </c>
    </row>
    <row r="956" spans="1:20" x14ac:dyDescent="0.3">
      <c r="A956" s="2" t="s">
        <v>316</v>
      </c>
      <c r="B956" s="2" t="s">
        <v>16</v>
      </c>
      <c r="C956" s="3">
        <v>27</v>
      </c>
      <c r="D956" s="2" t="s">
        <v>60</v>
      </c>
      <c r="E956" s="2" t="s">
        <v>49</v>
      </c>
      <c r="F956" s="2" t="s">
        <v>27</v>
      </c>
      <c r="G956" t="s">
        <v>34</v>
      </c>
      <c r="H956" t="s">
        <v>317</v>
      </c>
      <c r="I956" s="4">
        <v>742.07</v>
      </c>
      <c r="J956" s="3">
        <v>1</v>
      </c>
      <c r="K956" s="1">
        <v>45067</v>
      </c>
      <c r="L956" s="1" t="str">
        <f>TEXT(Table1[[#This Row],[Purchase_Date]],"YYYY")</f>
        <v>2023</v>
      </c>
      <c r="M956" s="1" t="str">
        <f>TEXT(Table1[[#This Row],[Purchase_Date]],"MMM")</f>
        <v>May</v>
      </c>
      <c r="N956" s="1" t="str">
        <f>TEXT(Table1[[#This Row],[Purchase_Date]],"DD")</f>
        <v>21</v>
      </c>
      <c r="O956" s="2" t="s">
        <v>30</v>
      </c>
      <c r="P956" s="3">
        <v>1</v>
      </c>
      <c r="Q956" s="2" t="s">
        <v>46</v>
      </c>
      <c r="R956" s="2" t="s">
        <v>47</v>
      </c>
      <c r="S956">
        <f>Table1[[#This Row],[Purchase_Amount]]*Table1[[#This Row],[Quantity]]</f>
        <v>742.07</v>
      </c>
      <c r="T956" t="str">
        <f>IF(Table1[[#This Row],[Age]]&lt;25,"&lt;25",IF(Table1[[#This Row],[Age]]&lt;=35,"25-35",IF(Table1[[#This Row],[Age]]&lt;=50,"36-50","50+")))</f>
        <v>25-35</v>
      </c>
    </row>
    <row r="957" spans="1:20" x14ac:dyDescent="0.3">
      <c r="A957" s="2" t="s">
        <v>1120</v>
      </c>
      <c r="B957" s="2" t="s">
        <v>16</v>
      </c>
      <c r="C957" s="3">
        <v>28</v>
      </c>
      <c r="D957" s="2" t="s">
        <v>109</v>
      </c>
      <c r="E957" s="2" t="s">
        <v>33</v>
      </c>
      <c r="F957" s="2" t="s">
        <v>19</v>
      </c>
      <c r="G957" t="s">
        <v>34</v>
      </c>
      <c r="H957" t="s">
        <v>650</v>
      </c>
      <c r="I957" s="4">
        <v>58.82</v>
      </c>
      <c r="J957" s="3">
        <v>1</v>
      </c>
      <c r="K957" s="1">
        <v>45095</v>
      </c>
      <c r="L957" s="1" t="str">
        <f>TEXT(Table1[[#This Row],[Purchase_Date]],"YYYY")</f>
        <v>2023</v>
      </c>
      <c r="M957" s="1" t="str">
        <f>TEXT(Table1[[#This Row],[Purchase_Date]],"MMM")</f>
        <v>Jun</v>
      </c>
      <c r="N957" s="1" t="str">
        <f>TEXT(Table1[[#This Row],[Purchase_Date]],"DD")</f>
        <v>18</v>
      </c>
      <c r="O957" s="2" t="s">
        <v>30</v>
      </c>
      <c r="P957" s="3">
        <v>9</v>
      </c>
      <c r="Q957" s="2" t="s">
        <v>46</v>
      </c>
      <c r="R957" s="2" t="s">
        <v>24</v>
      </c>
      <c r="S957">
        <f>Table1[[#This Row],[Purchase_Amount]]*Table1[[#This Row],[Quantity]]</f>
        <v>58.82</v>
      </c>
      <c r="T957" t="str">
        <f>IF(Table1[[#This Row],[Age]]&lt;25,"&lt;25",IF(Table1[[#This Row],[Age]]&lt;=35,"25-35",IF(Table1[[#This Row],[Age]]&lt;=50,"36-50","50+")))</f>
        <v>25-35</v>
      </c>
    </row>
    <row r="958" spans="1:20" x14ac:dyDescent="0.3">
      <c r="A958" s="2" t="s">
        <v>615</v>
      </c>
      <c r="B958" s="2" t="s">
        <v>16</v>
      </c>
      <c r="C958" s="3">
        <v>29</v>
      </c>
      <c r="D958" s="2" t="s">
        <v>17</v>
      </c>
      <c r="E958" s="2" t="s">
        <v>33</v>
      </c>
      <c r="F958" s="2" t="s">
        <v>44</v>
      </c>
      <c r="G958" t="s">
        <v>34</v>
      </c>
      <c r="H958" t="s">
        <v>321</v>
      </c>
      <c r="I958" s="4">
        <v>21.88</v>
      </c>
      <c r="J958" s="3">
        <v>5</v>
      </c>
      <c r="K958" s="1">
        <v>44953</v>
      </c>
      <c r="L958" s="1" t="str">
        <f>TEXT(Table1[[#This Row],[Purchase_Date]],"YYYY")</f>
        <v>2023</v>
      </c>
      <c r="M958" s="1" t="str">
        <f>TEXT(Table1[[#This Row],[Purchase_Date]],"MMM")</f>
        <v>Jan</v>
      </c>
      <c r="N958" s="1" t="str">
        <f>TEXT(Table1[[#This Row],[Purchase_Date]],"DD")</f>
        <v>27</v>
      </c>
      <c r="O958" s="2" t="s">
        <v>30</v>
      </c>
      <c r="P958" s="3">
        <v>5</v>
      </c>
      <c r="Q958" s="2" t="s">
        <v>23</v>
      </c>
      <c r="R958" s="2" t="s">
        <v>24</v>
      </c>
      <c r="S958">
        <f>Table1[[#This Row],[Purchase_Amount]]*Table1[[#This Row],[Quantity]]</f>
        <v>109.39999999999999</v>
      </c>
      <c r="T958" t="str">
        <f>IF(Table1[[#This Row],[Age]]&lt;25,"&lt;25",IF(Table1[[#This Row],[Age]]&lt;=35,"25-35",IF(Table1[[#This Row],[Age]]&lt;=50,"36-50","50+")))</f>
        <v>25-35</v>
      </c>
    </row>
    <row r="959" spans="1:20" x14ac:dyDescent="0.3">
      <c r="A959" s="2" t="s">
        <v>1110</v>
      </c>
      <c r="B959" s="2" t="s">
        <v>16</v>
      </c>
      <c r="C959" s="3">
        <v>29</v>
      </c>
      <c r="D959" s="2" t="s">
        <v>109</v>
      </c>
      <c r="E959" s="2" t="s">
        <v>49</v>
      </c>
      <c r="F959" s="2" t="s">
        <v>19</v>
      </c>
      <c r="G959" t="s">
        <v>34</v>
      </c>
      <c r="H959" t="s">
        <v>465</v>
      </c>
      <c r="I959" s="4">
        <v>878.36</v>
      </c>
      <c r="J959" s="3">
        <v>4</v>
      </c>
      <c r="K959" s="1">
        <v>45549</v>
      </c>
      <c r="L959" s="1" t="str">
        <f>TEXT(Table1[[#This Row],[Purchase_Date]],"YYYY")</f>
        <v>2024</v>
      </c>
      <c r="M959" s="1" t="str">
        <f>TEXT(Table1[[#This Row],[Purchase_Date]],"MMM")</f>
        <v>Sep</v>
      </c>
      <c r="N959" s="1" t="str">
        <f>TEXT(Table1[[#This Row],[Purchase_Date]],"DD")</f>
        <v>14</v>
      </c>
      <c r="O959" s="2" t="s">
        <v>30</v>
      </c>
      <c r="P959" s="3">
        <v>1</v>
      </c>
      <c r="Q959" s="2" t="s">
        <v>46</v>
      </c>
      <c r="R959" s="2" t="s">
        <v>47</v>
      </c>
      <c r="S959">
        <f>Table1[[#This Row],[Purchase_Amount]]*Table1[[#This Row],[Quantity]]</f>
        <v>3513.44</v>
      </c>
      <c r="T959" t="str">
        <f>IF(Table1[[#This Row],[Age]]&lt;25,"&lt;25",IF(Table1[[#This Row],[Age]]&lt;=35,"25-35",IF(Table1[[#This Row],[Age]]&lt;=50,"36-50","50+")))</f>
        <v>25-35</v>
      </c>
    </row>
    <row r="960" spans="1:20" x14ac:dyDescent="0.3">
      <c r="A960" s="2" t="s">
        <v>864</v>
      </c>
      <c r="B960" s="2" t="s">
        <v>16</v>
      </c>
      <c r="C960" s="3">
        <v>30</v>
      </c>
      <c r="D960" s="2" t="s">
        <v>17</v>
      </c>
      <c r="E960" s="2" t="s">
        <v>18</v>
      </c>
      <c r="F960" s="2" t="s">
        <v>44</v>
      </c>
      <c r="G960" t="s">
        <v>34</v>
      </c>
      <c r="H960" t="s">
        <v>91</v>
      </c>
      <c r="I960" s="4">
        <v>434.07</v>
      </c>
      <c r="J960" s="3">
        <v>5</v>
      </c>
      <c r="K960" s="1">
        <v>45275</v>
      </c>
      <c r="L960" s="1" t="str">
        <f>TEXT(Table1[[#This Row],[Purchase_Date]],"YYYY")</f>
        <v>2023</v>
      </c>
      <c r="M960" s="1" t="str">
        <f>TEXT(Table1[[#This Row],[Purchase_Date]],"MMM")</f>
        <v>Dec</v>
      </c>
      <c r="N960" s="1" t="str">
        <f>TEXT(Table1[[#This Row],[Purchase_Date]],"DD")</f>
        <v>15</v>
      </c>
      <c r="O960" s="2" t="s">
        <v>36</v>
      </c>
      <c r="P960" s="3">
        <v>4</v>
      </c>
      <c r="Q960" s="2" t="s">
        <v>23</v>
      </c>
      <c r="R960" s="2" t="s">
        <v>47</v>
      </c>
      <c r="S960">
        <f>Table1[[#This Row],[Purchase_Amount]]*Table1[[#This Row],[Quantity]]</f>
        <v>2170.35</v>
      </c>
      <c r="T960" t="str">
        <f>IF(Table1[[#This Row],[Age]]&lt;25,"&lt;25",IF(Table1[[#This Row],[Age]]&lt;=35,"25-35",IF(Table1[[#This Row],[Age]]&lt;=50,"36-50","50+")))</f>
        <v>25-35</v>
      </c>
    </row>
    <row r="961" spans="1:20" x14ac:dyDescent="0.3">
      <c r="A961" s="2" t="s">
        <v>828</v>
      </c>
      <c r="B961" s="2" t="s">
        <v>16</v>
      </c>
      <c r="C961" s="3">
        <v>31</v>
      </c>
      <c r="D961" s="2" t="s">
        <v>17</v>
      </c>
      <c r="E961" s="2" t="s">
        <v>18</v>
      </c>
      <c r="F961" s="2" t="s">
        <v>27</v>
      </c>
      <c r="G961" t="s">
        <v>34</v>
      </c>
      <c r="H961" t="s">
        <v>179</v>
      </c>
      <c r="I961" s="4">
        <v>517.49</v>
      </c>
      <c r="J961" s="3">
        <v>3</v>
      </c>
      <c r="K961" s="1">
        <v>45173</v>
      </c>
      <c r="L961" s="1" t="str">
        <f>TEXT(Table1[[#This Row],[Purchase_Date]],"YYYY")</f>
        <v>2023</v>
      </c>
      <c r="M961" s="1" t="str">
        <f>TEXT(Table1[[#This Row],[Purchase_Date]],"MMM")</f>
        <v>Sep</v>
      </c>
      <c r="N961" s="1" t="str">
        <f>TEXT(Table1[[#This Row],[Purchase_Date]],"DD")</f>
        <v>04</v>
      </c>
      <c r="O961" s="2" t="s">
        <v>36</v>
      </c>
      <c r="P961" s="3">
        <v>5</v>
      </c>
      <c r="Q961" s="2" t="s">
        <v>23</v>
      </c>
      <c r="R961" s="2" t="s">
        <v>47</v>
      </c>
      <c r="S961">
        <f>Table1[[#This Row],[Purchase_Amount]]*Table1[[#This Row],[Quantity]]</f>
        <v>1552.47</v>
      </c>
      <c r="T961" t="str">
        <f>IF(Table1[[#This Row],[Age]]&lt;25,"&lt;25",IF(Table1[[#This Row],[Age]]&lt;=35,"25-35",IF(Table1[[#This Row],[Age]]&lt;=50,"36-50","50+")))</f>
        <v>25-35</v>
      </c>
    </row>
    <row r="962" spans="1:20" x14ac:dyDescent="0.3">
      <c r="A962" s="2" t="s">
        <v>519</v>
      </c>
      <c r="B962" s="2" t="s">
        <v>16</v>
      </c>
      <c r="C962" s="3">
        <v>31</v>
      </c>
      <c r="D962" s="2" t="s">
        <v>17</v>
      </c>
      <c r="E962" s="2" t="s">
        <v>33</v>
      </c>
      <c r="F962" s="2" t="s">
        <v>27</v>
      </c>
      <c r="G962" t="s">
        <v>34</v>
      </c>
      <c r="H962" t="s">
        <v>520</v>
      </c>
      <c r="I962" s="4">
        <v>730.84</v>
      </c>
      <c r="J962" s="3">
        <v>1</v>
      </c>
      <c r="K962" s="1">
        <v>45012</v>
      </c>
      <c r="L962" s="1" t="str">
        <f>TEXT(Table1[[#This Row],[Purchase_Date]],"YYYY")</f>
        <v>2023</v>
      </c>
      <c r="M962" s="1" t="str">
        <f>TEXT(Table1[[#This Row],[Purchase_Date]],"MMM")</f>
        <v>Mar</v>
      </c>
      <c r="N962" s="1" t="str">
        <f>TEXT(Table1[[#This Row],[Purchase_Date]],"DD")</f>
        <v>27</v>
      </c>
      <c r="O962" s="2" t="s">
        <v>22</v>
      </c>
      <c r="P962" s="3">
        <v>1</v>
      </c>
      <c r="Q962" s="2" t="s">
        <v>23</v>
      </c>
      <c r="R962" s="2" t="s">
        <v>47</v>
      </c>
      <c r="S962">
        <f>Table1[[#This Row],[Purchase_Amount]]*Table1[[#This Row],[Quantity]]</f>
        <v>730.84</v>
      </c>
      <c r="T962" t="str">
        <f>IF(Table1[[#This Row],[Age]]&lt;25,"&lt;25",IF(Table1[[#This Row],[Age]]&lt;=35,"25-35",IF(Table1[[#This Row],[Age]]&lt;=50,"36-50","50+")))</f>
        <v>25-35</v>
      </c>
    </row>
    <row r="963" spans="1:20" x14ac:dyDescent="0.3">
      <c r="A963" s="2" t="s">
        <v>1081</v>
      </c>
      <c r="B963" s="2" t="s">
        <v>16</v>
      </c>
      <c r="C963" s="3">
        <v>32</v>
      </c>
      <c r="D963" s="2" t="s">
        <v>17</v>
      </c>
      <c r="E963" s="2" t="s">
        <v>33</v>
      </c>
      <c r="F963" s="2" t="s">
        <v>44</v>
      </c>
      <c r="G963" t="s">
        <v>34</v>
      </c>
      <c r="H963" t="s">
        <v>467</v>
      </c>
      <c r="I963" s="4">
        <v>265.52999999999997</v>
      </c>
      <c r="J963" s="3">
        <v>1</v>
      </c>
      <c r="K963" s="1">
        <v>45222</v>
      </c>
      <c r="L963" s="1" t="str">
        <f>TEXT(Table1[[#This Row],[Purchase_Date]],"YYYY")</f>
        <v>2023</v>
      </c>
      <c r="M963" s="1" t="str">
        <f>TEXT(Table1[[#This Row],[Purchase_Date]],"MMM")</f>
        <v>Oct</v>
      </c>
      <c r="N963" s="1" t="str">
        <f>TEXT(Table1[[#This Row],[Purchase_Date]],"DD")</f>
        <v>23</v>
      </c>
      <c r="O963" s="2" t="s">
        <v>22</v>
      </c>
      <c r="P963" s="3">
        <v>3</v>
      </c>
      <c r="Q963" s="2" t="s">
        <v>23</v>
      </c>
      <c r="R963" s="2" t="s">
        <v>47</v>
      </c>
      <c r="S963">
        <f>Table1[[#This Row],[Purchase_Amount]]*Table1[[#This Row],[Quantity]]</f>
        <v>265.52999999999997</v>
      </c>
      <c r="T963" t="str">
        <f>IF(Table1[[#This Row],[Age]]&lt;25,"&lt;25",IF(Table1[[#This Row],[Age]]&lt;=35,"25-35",IF(Table1[[#This Row],[Age]]&lt;=50,"36-50","50+")))</f>
        <v>25-35</v>
      </c>
    </row>
    <row r="964" spans="1:20" x14ac:dyDescent="0.3">
      <c r="A964" s="2" t="s">
        <v>669</v>
      </c>
      <c r="B964" s="2" t="s">
        <v>16</v>
      </c>
      <c r="C964" s="3">
        <v>34</v>
      </c>
      <c r="D964" s="2" t="s">
        <v>78</v>
      </c>
      <c r="E964" s="2" t="s">
        <v>49</v>
      </c>
      <c r="F964" s="2" t="s">
        <v>27</v>
      </c>
      <c r="G964" t="s">
        <v>34</v>
      </c>
      <c r="H964" t="s">
        <v>171</v>
      </c>
      <c r="I964" s="4">
        <v>324.86</v>
      </c>
      <c r="J964" s="3">
        <v>4</v>
      </c>
      <c r="K964" s="1">
        <v>45292</v>
      </c>
      <c r="L964" s="1" t="str">
        <f>TEXT(Table1[[#This Row],[Purchase_Date]],"YYYY")</f>
        <v>2024</v>
      </c>
      <c r="M964" s="1" t="str">
        <f>TEXT(Table1[[#This Row],[Purchase_Date]],"MMM")</f>
        <v>Jan</v>
      </c>
      <c r="N964" s="1" t="str">
        <f>TEXT(Table1[[#This Row],[Purchase_Date]],"DD")</f>
        <v>01</v>
      </c>
      <c r="O964" s="2" t="s">
        <v>41</v>
      </c>
      <c r="P964" s="3">
        <v>5</v>
      </c>
      <c r="Q964" s="2" t="s">
        <v>23</v>
      </c>
      <c r="R964" s="2" t="s">
        <v>47</v>
      </c>
      <c r="S964">
        <f>Table1[[#This Row],[Purchase_Amount]]*Table1[[#This Row],[Quantity]]</f>
        <v>1299.44</v>
      </c>
      <c r="T964" t="str">
        <f>IF(Table1[[#This Row],[Age]]&lt;25,"&lt;25",IF(Table1[[#This Row],[Age]]&lt;=35,"25-35",IF(Table1[[#This Row],[Age]]&lt;=50,"36-50","50+")))</f>
        <v>25-35</v>
      </c>
    </row>
    <row r="965" spans="1:20" x14ac:dyDescent="0.3">
      <c r="A965" s="2" t="s">
        <v>1064</v>
      </c>
      <c r="B965" s="2" t="s">
        <v>16</v>
      </c>
      <c r="C965" s="3">
        <v>34</v>
      </c>
      <c r="D965" s="2" t="s">
        <v>43</v>
      </c>
      <c r="E965" s="2" t="s">
        <v>18</v>
      </c>
      <c r="F965" s="2" t="s">
        <v>27</v>
      </c>
      <c r="G965" t="s">
        <v>34</v>
      </c>
      <c r="H965" t="s">
        <v>91</v>
      </c>
      <c r="I965" s="4">
        <v>754.28</v>
      </c>
      <c r="J965" s="3">
        <v>1</v>
      </c>
      <c r="K965" s="1">
        <v>45179</v>
      </c>
      <c r="L965" s="1" t="str">
        <f>TEXT(Table1[[#This Row],[Purchase_Date]],"YYYY")</f>
        <v>2023</v>
      </c>
      <c r="M965" s="1" t="str">
        <f>TEXT(Table1[[#This Row],[Purchase_Date]],"MMM")</f>
        <v>Sep</v>
      </c>
      <c r="N965" s="1" t="str">
        <f>TEXT(Table1[[#This Row],[Purchase_Date]],"DD")</f>
        <v>10</v>
      </c>
      <c r="O965" s="2" t="s">
        <v>41</v>
      </c>
      <c r="P965" s="3">
        <v>9</v>
      </c>
      <c r="Q965" s="2" t="s">
        <v>23</v>
      </c>
      <c r="R965" s="2" t="s">
        <v>24</v>
      </c>
      <c r="S965">
        <f>Table1[[#This Row],[Purchase_Amount]]*Table1[[#This Row],[Quantity]]</f>
        <v>754.28</v>
      </c>
      <c r="T965" t="str">
        <f>IF(Table1[[#This Row],[Age]]&lt;25,"&lt;25",IF(Table1[[#This Row],[Age]]&lt;=35,"25-35",IF(Table1[[#This Row],[Age]]&lt;=50,"36-50","50+")))</f>
        <v>25-35</v>
      </c>
    </row>
    <row r="966" spans="1:20" x14ac:dyDescent="0.3">
      <c r="A966" s="2" t="s">
        <v>235</v>
      </c>
      <c r="B966" s="2" t="s">
        <v>16</v>
      </c>
      <c r="C966" s="3">
        <v>35</v>
      </c>
      <c r="D966" s="2" t="s">
        <v>32</v>
      </c>
      <c r="E966" s="2" t="s">
        <v>33</v>
      </c>
      <c r="F966" s="2" t="s">
        <v>19</v>
      </c>
      <c r="G966" t="s">
        <v>34</v>
      </c>
      <c r="H966" t="s">
        <v>131</v>
      </c>
      <c r="I966" s="4">
        <v>241.23</v>
      </c>
      <c r="J966" s="3">
        <v>1</v>
      </c>
      <c r="K966" s="1">
        <v>44998</v>
      </c>
      <c r="L966" s="1" t="str">
        <f>TEXT(Table1[[#This Row],[Purchase_Date]],"YYYY")</f>
        <v>2023</v>
      </c>
      <c r="M966" s="1" t="str">
        <f>TEXT(Table1[[#This Row],[Purchase_Date]],"MMM")</f>
        <v>Mar</v>
      </c>
      <c r="N966" s="1" t="str">
        <f>TEXT(Table1[[#This Row],[Purchase_Date]],"DD")</f>
        <v>13</v>
      </c>
      <c r="O966" s="2" t="s">
        <v>30</v>
      </c>
      <c r="P966" s="3">
        <v>3</v>
      </c>
      <c r="Q966" s="2" t="s">
        <v>46</v>
      </c>
      <c r="R966" s="2" t="s">
        <v>24</v>
      </c>
      <c r="S966">
        <f>Table1[[#This Row],[Purchase_Amount]]*Table1[[#This Row],[Quantity]]</f>
        <v>241.23</v>
      </c>
      <c r="T966" t="str">
        <f>IF(Table1[[#This Row],[Age]]&lt;25,"&lt;25",IF(Table1[[#This Row],[Age]]&lt;=35,"25-35",IF(Table1[[#This Row],[Age]]&lt;=50,"36-50","50+")))</f>
        <v>25-35</v>
      </c>
    </row>
    <row r="967" spans="1:20" x14ac:dyDescent="0.3">
      <c r="A967" s="2" t="s">
        <v>515</v>
      </c>
      <c r="B967" s="2" t="s">
        <v>16</v>
      </c>
      <c r="C967" s="3">
        <v>36</v>
      </c>
      <c r="D967" s="2" t="s">
        <v>32</v>
      </c>
      <c r="E967" s="2" t="s">
        <v>33</v>
      </c>
      <c r="F967" s="2" t="s">
        <v>19</v>
      </c>
      <c r="G967" t="s">
        <v>34</v>
      </c>
      <c r="H967" t="s">
        <v>65</v>
      </c>
      <c r="I967" s="4">
        <v>840.71</v>
      </c>
      <c r="J967" s="3">
        <v>2</v>
      </c>
      <c r="K967" s="1">
        <v>45119</v>
      </c>
      <c r="L967" s="1" t="str">
        <f>TEXT(Table1[[#This Row],[Purchase_Date]],"YYYY")</f>
        <v>2023</v>
      </c>
      <c r="M967" s="1" t="str">
        <f>TEXT(Table1[[#This Row],[Purchase_Date]],"MMM")</f>
        <v>Jul</v>
      </c>
      <c r="N967" s="1" t="str">
        <f>TEXT(Table1[[#This Row],[Purchase_Date]],"DD")</f>
        <v>12</v>
      </c>
      <c r="O967" s="2" t="s">
        <v>22</v>
      </c>
      <c r="P967" s="3">
        <v>4</v>
      </c>
      <c r="Q967" s="2" t="s">
        <v>23</v>
      </c>
      <c r="R967" s="2" t="s">
        <v>24</v>
      </c>
      <c r="S967">
        <f>Table1[[#This Row],[Purchase_Amount]]*Table1[[#This Row],[Quantity]]</f>
        <v>1681.42</v>
      </c>
      <c r="T967" t="str">
        <f>IF(Table1[[#This Row],[Age]]&lt;25,"&lt;25",IF(Table1[[#This Row],[Age]]&lt;=35,"25-35",IF(Table1[[#This Row],[Age]]&lt;=50,"36-50","50+")))</f>
        <v>36-50</v>
      </c>
    </row>
    <row r="968" spans="1:20" x14ac:dyDescent="0.3">
      <c r="A968" s="2" t="s">
        <v>1243</v>
      </c>
      <c r="B968" s="2" t="s">
        <v>16</v>
      </c>
      <c r="C968" s="3">
        <v>37</v>
      </c>
      <c r="D968" s="2" t="s">
        <v>38</v>
      </c>
      <c r="E968" s="2" t="s">
        <v>49</v>
      </c>
      <c r="F968" s="2" t="s">
        <v>27</v>
      </c>
      <c r="G968" t="s">
        <v>34</v>
      </c>
      <c r="H968" t="s">
        <v>97</v>
      </c>
      <c r="I968" s="4">
        <v>750.05</v>
      </c>
      <c r="J968" s="3">
        <v>4</v>
      </c>
      <c r="K968" s="1">
        <v>45487</v>
      </c>
      <c r="L968" s="1" t="str">
        <f>TEXT(Table1[[#This Row],[Purchase_Date]],"YYYY")</f>
        <v>2024</v>
      </c>
      <c r="M968" s="1" t="str">
        <f>TEXT(Table1[[#This Row],[Purchase_Date]],"MMM")</f>
        <v>Jul</v>
      </c>
      <c r="N968" s="1" t="str">
        <f>TEXT(Table1[[#This Row],[Purchase_Date]],"DD")</f>
        <v>14</v>
      </c>
      <c r="O968" s="2" t="s">
        <v>22</v>
      </c>
      <c r="P968" s="3">
        <v>9</v>
      </c>
      <c r="Q968" s="2" t="s">
        <v>46</v>
      </c>
      <c r="R968" s="2" t="s">
        <v>47</v>
      </c>
      <c r="S968">
        <f>Table1[[#This Row],[Purchase_Amount]]*Table1[[#This Row],[Quantity]]</f>
        <v>3000.2</v>
      </c>
      <c r="T968" t="str">
        <f>IF(Table1[[#This Row],[Age]]&lt;25,"&lt;25",IF(Table1[[#This Row],[Age]]&lt;=35,"25-35",IF(Table1[[#This Row],[Age]]&lt;=50,"36-50","50+")))</f>
        <v>36-50</v>
      </c>
    </row>
    <row r="969" spans="1:20" x14ac:dyDescent="0.3">
      <c r="A969" s="2" t="s">
        <v>63</v>
      </c>
      <c r="B969" s="2" t="s">
        <v>16</v>
      </c>
      <c r="C969" s="3">
        <v>37</v>
      </c>
      <c r="D969" s="2" t="s">
        <v>64</v>
      </c>
      <c r="E969" s="2" t="s">
        <v>18</v>
      </c>
      <c r="F969" s="2" t="s">
        <v>19</v>
      </c>
      <c r="G969" t="s">
        <v>34</v>
      </c>
      <c r="H969" t="s">
        <v>65</v>
      </c>
      <c r="I969" s="4">
        <v>942.64</v>
      </c>
      <c r="J969" s="3">
        <v>3</v>
      </c>
      <c r="K969" s="1">
        <v>45186</v>
      </c>
      <c r="L969" s="1" t="str">
        <f>TEXT(Table1[[#This Row],[Purchase_Date]],"YYYY")</f>
        <v>2023</v>
      </c>
      <c r="M969" s="1" t="str">
        <f>TEXT(Table1[[#This Row],[Purchase_Date]],"MMM")</f>
        <v>Sep</v>
      </c>
      <c r="N969" s="1" t="str">
        <f>TEXT(Table1[[#This Row],[Purchase_Date]],"DD")</f>
        <v>17</v>
      </c>
      <c r="O969" s="2" t="s">
        <v>22</v>
      </c>
      <c r="P969" s="3">
        <v>8</v>
      </c>
      <c r="Q969" s="2" t="s">
        <v>23</v>
      </c>
      <c r="R969" s="2" t="s">
        <v>24</v>
      </c>
      <c r="S969">
        <f>Table1[[#This Row],[Purchase_Amount]]*Table1[[#This Row],[Quantity]]</f>
        <v>2827.92</v>
      </c>
      <c r="T969" t="str">
        <f>IF(Table1[[#This Row],[Age]]&lt;25,"&lt;25",IF(Table1[[#This Row],[Age]]&lt;=35,"25-35",IF(Table1[[#This Row],[Age]]&lt;=50,"36-50","50+")))</f>
        <v>36-50</v>
      </c>
    </row>
    <row r="970" spans="1:20" x14ac:dyDescent="0.3">
      <c r="A970" s="2" t="s">
        <v>803</v>
      </c>
      <c r="B970" s="2" t="s">
        <v>16</v>
      </c>
      <c r="C970" s="3">
        <v>38</v>
      </c>
      <c r="D970" s="2" t="s">
        <v>109</v>
      </c>
      <c r="E970" s="2" t="s">
        <v>18</v>
      </c>
      <c r="F970" s="2" t="s">
        <v>27</v>
      </c>
      <c r="G970" t="s">
        <v>34</v>
      </c>
      <c r="H970" t="s">
        <v>162</v>
      </c>
      <c r="I970" s="4">
        <v>506.93</v>
      </c>
      <c r="J970" s="3">
        <v>3</v>
      </c>
      <c r="K970" s="1">
        <v>45217</v>
      </c>
      <c r="L970" s="1" t="str">
        <f>TEXT(Table1[[#This Row],[Purchase_Date]],"YYYY")</f>
        <v>2023</v>
      </c>
      <c r="M970" s="1" t="str">
        <f>TEXT(Table1[[#This Row],[Purchase_Date]],"MMM")</f>
        <v>Oct</v>
      </c>
      <c r="N970" s="1" t="str">
        <f>TEXT(Table1[[#This Row],[Purchase_Date]],"DD")</f>
        <v>18</v>
      </c>
      <c r="O970" s="2" t="s">
        <v>30</v>
      </c>
      <c r="P970" s="3">
        <v>5</v>
      </c>
      <c r="Q970" s="2" t="s">
        <v>46</v>
      </c>
      <c r="R970" s="2" t="s">
        <v>47</v>
      </c>
      <c r="S970">
        <f>Table1[[#This Row],[Purchase_Amount]]*Table1[[#This Row],[Quantity]]</f>
        <v>1520.79</v>
      </c>
      <c r="T970" t="str">
        <f>IF(Table1[[#This Row],[Age]]&lt;25,"&lt;25",IF(Table1[[#This Row],[Age]]&lt;=35,"25-35",IF(Table1[[#This Row],[Age]]&lt;=50,"36-50","50+")))</f>
        <v>36-50</v>
      </c>
    </row>
    <row r="971" spans="1:20" x14ac:dyDescent="0.3">
      <c r="A971" s="2" t="s">
        <v>310</v>
      </c>
      <c r="B971" s="2" t="s">
        <v>16</v>
      </c>
      <c r="C971" s="3">
        <v>39</v>
      </c>
      <c r="D971" s="2" t="s">
        <v>64</v>
      </c>
      <c r="E971" s="2" t="s">
        <v>33</v>
      </c>
      <c r="F971" s="2" t="s">
        <v>27</v>
      </c>
      <c r="G971" t="s">
        <v>34</v>
      </c>
      <c r="H971" t="s">
        <v>58</v>
      </c>
      <c r="I971" s="4">
        <v>175.89</v>
      </c>
      <c r="J971" s="3">
        <v>2</v>
      </c>
      <c r="K971" s="1">
        <v>45180</v>
      </c>
      <c r="L971" s="1" t="str">
        <f>TEXT(Table1[[#This Row],[Purchase_Date]],"YYYY")</f>
        <v>2023</v>
      </c>
      <c r="M971" s="1" t="str">
        <f>TEXT(Table1[[#This Row],[Purchase_Date]],"MMM")</f>
        <v>Sep</v>
      </c>
      <c r="N971" s="1" t="str">
        <f>TEXT(Table1[[#This Row],[Purchase_Date]],"DD")</f>
        <v>11</v>
      </c>
      <c r="O971" s="2" t="s">
        <v>36</v>
      </c>
      <c r="P971" s="3">
        <v>5</v>
      </c>
      <c r="Q971" s="2" t="s">
        <v>23</v>
      </c>
      <c r="R971" s="2" t="s">
        <v>47</v>
      </c>
      <c r="S971">
        <f>Table1[[#This Row],[Purchase_Amount]]*Table1[[#This Row],[Quantity]]</f>
        <v>351.78</v>
      </c>
      <c r="T971" t="str">
        <f>IF(Table1[[#This Row],[Age]]&lt;25,"&lt;25",IF(Table1[[#This Row],[Age]]&lt;=35,"25-35",IF(Table1[[#This Row],[Age]]&lt;=50,"36-50","50+")))</f>
        <v>36-50</v>
      </c>
    </row>
    <row r="972" spans="1:20" x14ac:dyDescent="0.3">
      <c r="A972" s="2" t="s">
        <v>412</v>
      </c>
      <c r="B972" s="2" t="s">
        <v>16</v>
      </c>
      <c r="C972" s="3">
        <v>39</v>
      </c>
      <c r="D972" s="2" t="s">
        <v>38</v>
      </c>
      <c r="E972" s="2" t="s">
        <v>33</v>
      </c>
      <c r="F972" s="2" t="s">
        <v>27</v>
      </c>
      <c r="G972" t="s">
        <v>34</v>
      </c>
      <c r="H972" t="s">
        <v>232</v>
      </c>
      <c r="I972" s="4">
        <v>489.02</v>
      </c>
      <c r="J972" s="3">
        <v>2</v>
      </c>
      <c r="K972" s="1">
        <v>45046</v>
      </c>
      <c r="L972" s="1" t="str">
        <f>TEXT(Table1[[#This Row],[Purchase_Date]],"YYYY")</f>
        <v>2023</v>
      </c>
      <c r="M972" s="1" t="str">
        <f>TEXT(Table1[[#This Row],[Purchase_Date]],"MMM")</f>
        <v>Apr</v>
      </c>
      <c r="N972" s="1" t="str">
        <f>TEXT(Table1[[#This Row],[Purchase_Date]],"DD")</f>
        <v>30</v>
      </c>
      <c r="O972" s="2" t="s">
        <v>30</v>
      </c>
      <c r="P972" s="3">
        <v>2</v>
      </c>
      <c r="Q972" s="2" t="s">
        <v>23</v>
      </c>
      <c r="R972" s="2" t="s">
        <v>24</v>
      </c>
      <c r="S972">
        <f>Table1[[#This Row],[Purchase_Amount]]*Table1[[#This Row],[Quantity]]</f>
        <v>978.04</v>
      </c>
      <c r="T972" t="str">
        <f>IF(Table1[[#This Row],[Age]]&lt;25,"&lt;25",IF(Table1[[#This Row],[Age]]&lt;=35,"25-35",IF(Table1[[#This Row],[Age]]&lt;=50,"36-50","50+")))</f>
        <v>36-50</v>
      </c>
    </row>
    <row r="973" spans="1:20" x14ac:dyDescent="0.3">
      <c r="A973" s="2" t="s">
        <v>907</v>
      </c>
      <c r="B973" s="2" t="s">
        <v>16</v>
      </c>
      <c r="C973" s="3">
        <v>41</v>
      </c>
      <c r="D973" s="2" t="s">
        <v>78</v>
      </c>
      <c r="E973" s="2" t="s">
        <v>33</v>
      </c>
      <c r="F973" s="2" t="s">
        <v>19</v>
      </c>
      <c r="G973" t="s">
        <v>34</v>
      </c>
      <c r="H973" t="s">
        <v>330</v>
      </c>
      <c r="I973" s="4">
        <v>16.12</v>
      </c>
      <c r="J973" s="3">
        <v>4</v>
      </c>
      <c r="K973" s="1">
        <v>45089</v>
      </c>
      <c r="L973" s="1" t="str">
        <f>TEXT(Table1[[#This Row],[Purchase_Date]],"YYYY")</f>
        <v>2023</v>
      </c>
      <c r="M973" s="1" t="str">
        <f>TEXT(Table1[[#This Row],[Purchase_Date]],"MMM")</f>
        <v>Jun</v>
      </c>
      <c r="N973" s="1" t="str">
        <f>TEXT(Table1[[#This Row],[Purchase_Date]],"DD")</f>
        <v>12</v>
      </c>
      <c r="O973" s="2" t="s">
        <v>30</v>
      </c>
      <c r="P973" s="3">
        <v>10</v>
      </c>
      <c r="Q973" s="2" t="s">
        <v>46</v>
      </c>
      <c r="R973" s="2" t="s">
        <v>47</v>
      </c>
      <c r="S973">
        <f>Table1[[#This Row],[Purchase_Amount]]*Table1[[#This Row],[Quantity]]</f>
        <v>64.48</v>
      </c>
      <c r="T973" t="str">
        <f>IF(Table1[[#This Row],[Age]]&lt;25,"&lt;25",IF(Table1[[#This Row],[Age]]&lt;=35,"25-35",IF(Table1[[#This Row],[Age]]&lt;=50,"36-50","50+")))</f>
        <v>36-50</v>
      </c>
    </row>
    <row r="974" spans="1:20" x14ac:dyDescent="0.3">
      <c r="A974" s="2" t="s">
        <v>444</v>
      </c>
      <c r="B974" s="2" t="s">
        <v>16</v>
      </c>
      <c r="C974" s="3">
        <v>43</v>
      </c>
      <c r="D974" s="2" t="s">
        <v>38</v>
      </c>
      <c r="E974" s="2" t="s">
        <v>33</v>
      </c>
      <c r="F974" s="2" t="s">
        <v>27</v>
      </c>
      <c r="G974" t="s">
        <v>34</v>
      </c>
      <c r="H974" t="s">
        <v>296</v>
      </c>
      <c r="I974" s="4">
        <v>234.71</v>
      </c>
      <c r="J974" s="3">
        <v>2</v>
      </c>
      <c r="K974" s="1">
        <v>45461</v>
      </c>
      <c r="L974" s="1" t="str">
        <f>TEXT(Table1[[#This Row],[Purchase_Date]],"YYYY")</f>
        <v>2024</v>
      </c>
      <c r="M974" s="1" t="str">
        <f>TEXT(Table1[[#This Row],[Purchase_Date]],"MMM")</f>
        <v>Jun</v>
      </c>
      <c r="N974" s="1" t="str">
        <f>TEXT(Table1[[#This Row],[Purchase_Date]],"DD")</f>
        <v>18</v>
      </c>
      <c r="O974" s="2" t="s">
        <v>41</v>
      </c>
      <c r="P974" s="3">
        <v>8</v>
      </c>
      <c r="Q974" s="2" t="s">
        <v>46</v>
      </c>
      <c r="R974" s="2" t="s">
        <v>47</v>
      </c>
      <c r="S974">
        <f>Table1[[#This Row],[Purchase_Amount]]*Table1[[#This Row],[Quantity]]</f>
        <v>469.42</v>
      </c>
      <c r="T974" t="str">
        <f>IF(Table1[[#This Row],[Age]]&lt;25,"&lt;25",IF(Table1[[#This Row],[Age]]&lt;=35,"25-35",IF(Table1[[#This Row],[Age]]&lt;=50,"36-50","50+")))</f>
        <v>36-50</v>
      </c>
    </row>
    <row r="975" spans="1:20" x14ac:dyDescent="0.3">
      <c r="A975" s="2" t="s">
        <v>933</v>
      </c>
      <c r="B975" s="2" t="s">
        <v>16</v>
      </c>
      <c r="C975" s="3">
        <v>43</v>
      </c>
      <c r="D975" s="2" t="s">
        <v>43</v>
      </c>
      <c r="E975" s="2" t="s">
        <v>18</v>
      </c>
      <c r="F975" s="2" t="s">
        <v>27</v>
      </c>
      <c r="G975" t="s">
        <v>34</v>
      </c>
      <c r="H975" t="s">
        <v>253</v>
      </c>
      <c r="I975" s="4">
        <v>990.38</v>
      </c>
      <c r="J975" s="3">
        <v>2</v>
      </c>
      <c r="K975" s="1">
        <v>45210</v>
      </c>
      <c r="L975" s="1" t="str">
        <f>TEXT(Table1[[#This Row],[Purchase_Date]],"YYYY")</f>
        <v>2023</v>
      </c>
      <c r="M975" s="1" t="str">
        <f>TEXT(Table1[[#This Row],[Purchase_Date]],"MMM")</f>
        <v>Oct</v>
      </c>
      <c r="N975" s="1" t="str">
        <f>TEXT(Table1[[#This Row],[Purchase_Date]],"DD")</f>
        <v>11</v>
      </c>
      <c r="O975" s="2" t="s">
        <v>36</v>
      </c>
      <c r="P975" s="3">
        <v>3</v>
      </c>
      <c r="Q975" s="2" t="s">
        <v>46</v>
      </c>
      <c r="R975" s="2" t="s">
        <v>47</v>
      </c>
      <c r="S975">
        <f>Table1[[#This Row],[Purchase_Amount]]*Table1[[#This Row],[Quantity]]</f>
        <v>1980.76</v>
      </c>
      <c r="T975" t="str">
        <f>IF(Table1[[#This Row],[Age]]&lt;25,"&lt;25",IF(Table1[[#This Row],[Age]]&lt;=35,"25-35",IF(Table1[[#This Row],[Age]]&lt;=50,"36-50","50+")))</f>
        <v>36-50</v>
      </c>
    </row>
    <row r="976" spans="1:20" x14ac:dyDescent="0.3">
      <c r="A976" s="2" t="s">
        <v>1080</v>
      </c>
      <c r="B976" s="2" t="s">
        <v>16</v>
      </c>
      <c r="C976" s="3">
        <v>45</v>
      </c>
      <c r="D976" s="2" t="s">
        <v>17</v>
      </c>
      <c r="E976" s="2" t="s">
        <v>18</v>
      </c>
      <c r="F976" s="2" t="s">
        <v>27</v>
      </c>
      <c r="G976" t="s">
        <v>34</v>
      </c>
      <c r="H976" t="s">
        <v>513</v>
      </c>
      <c r="I976" s="4">
        <v>329.58</v>
      </c>
      <c r="J976" s="3">
        <v>1</v>
      </c>
      <c r="K976" s="1">
        <v>45004</v>
      </c>
      <c r="L976" s="1" t="str">
        <f>TEXT(Table1[[#This Row],[Purchase_Date]],"YYYY")</f>
        <v>2023</v>
      </c>
      <c r="M976" s="1" t="str">
        <f>TEXT(Table1[[#This Row],[Purchase_Date]],"MMM")</f>
        <v>Mar</v>
      </c>
      <c r="N976" s="1" t="str">
        <f>TEXT(Table1[[#This Row],[Purchase_Date]],"DD")</f>
        <v>19</v>
      </c>
      <c r="O976" s="2" t="s">
        <v>30</v>
      </c>
      <c r="P976" s="3">
        <v>2</v>
      </c>
      <c r="Q976" s="2" t="s">
        <v>23</v>
      </c>
      <c r="R976" s="2" t="s">
        <v>24</v>
      </c>
      <c r="S976">
        <f>Table1[[#This Row],[Purchase_Amount]]*Table1[[#This Row],[Quantity]]</f>
        <v>329.58</v>
      </c>
      <c r="T976" t="str">
        <f>IF(Table1[[#This Row],[Age]]&lt;25,"&lt;25",IF(Table1[[#This Row],[Age]]&lt;=35,"25-35",IF(Table1[[#This Row],[Age]]&lt;=50,"36-50","50+")))</f>
        <v>36-50</v>
      </c>
    </row>
    <row r="977" spans="1:20" x14ac:dyDescent="0.3">
      <c r="A977" s="2" t="s">
        <v>1150</v>
      </c>
      <c r="B977" s="2" t="s">
        <v>16</v>
      </c>
      <c r="C977" s="3">
        <v>45</v>
      </c>
      <c r="D977" s="2" t="s">
        <v>60</v>
      </c>
      <c r="E977" s="2" t="s">
        <v>18</v>
      </c>
      <c r="F977" s="2" t="s">
        <v>27</v>
      </c>
      <c r="G977" t="s">
        <v>34</v>
      </c>
      <c r="H977" t="s">
        <v>91</v>
      </c>
      <c r="I977" s="4">
        <v>653.69000000000005</v>
      </c>
      <c r="J977" s="3">
        <v>3</v>
      </c>
      <c r="K977" s="1">
        <v>45314</v>
      </c>
      <c r="L977" s="1" t="str">
        <f>TEXT(Table1[[#This Row],[Purchase_Date]],"YYYY")</f>
        <v>2024</v>
      </c>
      <c r="M977" s="1" t="str">
        <f>TEXT(Table1[[#This Row],[Purchase_Date]],"MMM")</f>
        <v>Jan</v>
      </c>
      <c r="N977" s="1" t="str">
        <f>TEXT(Table1[[#This Row],[Purchase_Date]],"DD")</f>
        <v>23</v>
      </c>
      <c r="O977" s="2" t="s">
        <v>22</v>
      </c>
      <c r="P977" s="3">
        <v>6</v>
      </c>
      <c r="Q977" s="2" t="s">
        <v>46</v>
      </c>
      <c r="R977" s="2" t="s">
        <v>24</v>
      </c>
      <c r="S977">
        <f>Table1[[#This Row],[Purchase_Amount]]*Table1[[#This Row],[Quantity]]</f>
        <v>1961.0700000000002</v>
      </c>
      <c r="T977" t="str">
        <f>IF(Table1[[#This Row],[Age]]&lt;25,"&lt;25",IF(Table1[[#This Row],[Age]]&lt;=35,"25-35",IF(Table1[[#This Row],[Age]]&lt;=50,"36-50","50+")))</f>
        <v>36-50</v>
      </c>
    </row>
    <row r="978" spans="1:20" x14ac:dyDescent="0.3">
      <c r="A978" s="2" t="s">
        <v>509</v>
      </c>
      <c r="B978" s="2" t="s">
        <v>16</v>
      </c>
      <c r="C978" s="3">
        <v>46</v>
      </c>
      <c r="D978" s="2" t="s">
        <v>60</v>
      </c>
      <c r="E978" s="2" t="s">
        <v>49</v>
      </c>
      <c r="F978" s="2" t="s">
        <v>27</v>
      </c>
      <c r="G978" t="s">
        <v>34</v>
      </c>
      <c r="H978" t="s">
        <v>125</v>
      </c>
      <c r="I978" s="4">
        <v>48.87</v>
      </c>
      <c r="J978" s="3">
        <v>1</v>
      </c>
      <c r="K978" s="1">
        <v>45317</v>
      </c>
      <c r="L978" s="1" t="str">
        <f>TEXT(Table1[[#This Row],[Purchase_Date]],"YYYY")</f>
        <v>2024</v>
      </c>
      <c r="M978" s="1" t="str">
        <f>TEXT(Table1[[#This Row],[Purchase_Date]],"MMM")</f>
        <v>Jan</v>
      </c>
      <c r="N978" s="1" t="str">
        <f>TEXT(Table1[[#This Row],[Purchase_Date]],"DD")</f>
        <v>26</v>
      </c>
      <c r="O978" s="2" t="s">
        <v>36</v>
      </c>
      <c r="P978" s="3">
        <v>8</v>
      </c>
      <c r="Q978" s="2" t="s">
        <v>46</v>
      </c>
      <c r="R978" s="2" t="s">
        <v>24</v>
      </c>
      <c r="S978">
        <f>Table1[[#This Row],[Purchase_Amount]]*Table1[[#This Row],[Quantity]]</f>
        <v>48.87</v>
      </c>
      <c r="T978" t="str">
        <f>IF(Table1[[#This Row],[Age]]&lt;25,"&lt;25",IF(Table1[[#This Row],[Age]]&lt;=35,"25-35",IF(Table1[[#This Row],[Age]]&lt;=50,"36-50","50+")))</f>
        <v>36-50</v>
      </c>
    </row>
    <row r="979" spans="1:20" x14ac:dyDescent="0.3">
      <c r="A979" s="2" t="s">
        <v>288</v>
      </c>
      <c r="B979" s="2" t="s">
        <v>16</v>
      </c>
      <c r="C979" s="3">
        <v>46</v>
      </c>
      <c r="D979" s="2" t="s">
        <v>60</v>
      </c>
      <c r="E979" s="2" t="s">
        <v>33</v>
      </c>
      <c r="F979" s="2" t="s">
        <v>27</v>
      </c>
      <c r="G979" t="s">
        <v>34</v>
      </c>
      <c r="H979" t="s">
        <v>289</v>
      </c>
      <c r="I979" s="4">
        <v>516.66</v>
      </c>
      <c r="J979" s="3">
        <v>5</v>
      </c>
      <c r="K979" s="1">
        <v>45350</v>
      </c>
      <c r="L979" s="1" t="str">
        <f>TEXT(Table1[[#This Row],[Purchase_Date]],"YYYY")</f>
        <v>2024</v>
      </c>
      <c r="M979" s="1" t="str">
        <f>TEXT(Table1[[#This Row],[Purchase_Date]],"MMM")</f>
        <v>Feb</v>
      </c>
      <c r="N979" s="1" t="str">
        <f>TEXT(Table1[[#This Row],[Purchase_Date]],"DD")</f>
        <v>28</v>
      </c>
      <c r="O979" s="2" t="s">
        <v>30</v>
      </c>
      <c r="P979" s="3">
        <v>7</v>
      </c>
      <c r="Q979" s="2" t="s">
        <v>46</v>
      </c>
      <c r="R979" s="2" t="s">
        <v>47</v>
      </c>
      <c r="S979">
        <f>Table1[[#This Row],[Purchase_Amount]]*Table1[[#This Row],[Quantity]]</f>
        <v>2583.2999999999997</v>
      </c>
      <c r="T979" t="str">
        <f>IF(Table1[[#This Row],[Age]]&lt;25,"&lt;25",IF(Table1[[#This Row],[Age]]&lt;=35,"25-35",IF(Table1[[#This Row],[Age]]&lt;=50,"36-50","50+")))</f>
        <v>36-50</v>
      </c>
    </row>
    <row r="980" spans="1:20" x14ac:dyDescent="0.3">
      <c r="A980" s="2" t="s">
        <v>815</v>
      </c>
      <c r="B980" s="2" t="s">
        <v>16</v>
      </c>
      <c r="C980" s="3">
        <v>46</v>
      </c>
      <c r="D980" s="2" t="s">
        <v>43</v>
      </c>
      <c r="E980" s="2" t="s">
        <v>18</v>
      </c>
      <c r="F980" s="2" t="s">
        <v>27</v>
      </c>
      <c r="G980" t="s">
        <v>34</v>
      </c>
      <c r="H980" t="s">
        <v>155</v>
      </c>
      <c r="I980" s="4">
        <v>864.33</v>
      </c>
      <c r="J980" s="3">
        <v>2</v>
      </c>
      <c r="K980" s="1">
        <v>45359</v>
      </c>
      <c r="L980" s="1" t="str">
        <f>TEXT(Table1[[#This Row],[Purchase_Date]],"YYYY")</f>
        <v>2024</v>
      </c>
      <c r="M980" s="1" t="str">
        <f>TEXT(Table1[[#This Row],[Purchase_Date]],"MMM")</f>
        <v>Mar</v>
      </c>
      <c r="N980" s="1" t="str">
        <f>TEXT(Table1[[#This Row],[Purchase_Date]],"DD")</f>
        <v>08</v>
      </c>
      <c r="O980" s="2" t="s">
        <v>36</v>
      </c>
      <c r="P980" s="3">
        <v>4</v>
      </c>
      <c r="Q980" s="2" t="s">
        <v>23</v>
      </c>
      <c r="R980" s="2" t="s">
        <v>24</v>
      </c>
      <c r="S980">
        <f>Table1[[#This Row],[Purchase_Amount]]*Table1[[#This Row],[Quantity]]</f>
        <v>1728.66</v>
      </c>
      <c r="T980" t="str">
        <f>IF(Table1[[#This Row],[Age]]&lt;25,"&lt;25",IF(Table1[[#This Row],[Age]]&lt;=35,"25-35",IF(Table1[[#This Row],[Age]]&lt;=50,"36-50","50+")))</f>
        <v>36-50</v>
      </c>
    </row>
    <row r="981" spans="1:20" x14ac:dyDescent="0.3">
      <c r="A981" s="2" t="s">
        <v>1216</v>
      </c>
      <c r="B981" s="2" t="s">
        <v>16</v>
      </c>
      <c r="C981" s="3">
        <v>47</v>
      </c>
      <c r="D981" s="2" t="s">
        <v>109</v>
      </c>
      <c r="E981" s="2" t="s">
        <v>49</v>
      </c>
      <c r="F981" s="2" t="s">
        <v>19</v>
      </c>
      <c r="G981" t="s">
        <v>34</v>
      </c>
      <c r="H981" t="s">
        <v>383</v>
      </c>
      <c r="I981" s="4">
        <v>333.47</v>
      </c>
      <c r="J981" s="3">
        <v>5</v>
      </c>
      <c r="K981" s="1">
        <v>44996</v>
      </c>
      <c r="L981" s="1" t="str">
        <f>TEXT(Table1[[#This Row],[Purchase_Date]],"YYYY")</f>
        <v>2023</v>
      </c>
      <c r="M981" s="1" t="str">
        <f>TEXT(Table1[[#This Row],[Purchase_Date]],"MMM")</f>
        <v>Mar</v>
      </c>
      <c r="N981" s="1" t="str">
        <f>TEXT(Table1[[#This Row],[Purchase_Date]],"DD")</f>
        <v>11</v>
      </c>
      <c r="O981" s="2" t="s">
        <v>41</v>
      </c>
      <c r="P981" s="3">
        <v>10</v>
      </c>
      <c r="Q981" s="2" t="s">
        <v>23</v>
      </c>
      <c r="R981" s="2" t="s">
        <v>47</v>
      </c>
      <c r="S981">
        <f>Table1[[#This Row],[Purchase_Amount]]*Table1[[#This Row],[Quantity]]</f>
        <v>1667.3500000000001</v>
      </c>
      <c r="T981" t="str">
        <f>IF(Table1[[#This Row],[Age]]&lt;25,"&lt;25",IF(Table1[[#This Row],[Age]]&lt;=35,"25-35",IF(Table1[[#This Row],[Age]]&lt;=50,"36-50","50+")))</f>
        <v>36-50</v>
      </c>
    </row>
    <row r="982" spans="1:20" x14ac:dyDescent="0.3">
      <c r="A982" s="2" t="s">
        <v>31</v>
      </c>
      <c r="B982" s="2" t="s">
        <v>16</v>
      </c>
      <c r="C982" s="3">
        <v>48</v>
      </c>
      <c r="D982" s="2" t="s">
        <v>32</v>
      </c>
      <c r="E982" s="2" t="s">
        <v>33</v>
      </c>
      <c r="F982" s="2" t="s">
        <v>27</v>
      </c>
      <c r="G982" t="s">
        <v>34</v>
      </c>
      <c r="H982" t="s">
        <v>35</v>
      </c>
      <c r="I982" s="4">
        <v>413.7</v>
      </c>
      <c r="J982" s="3">
        <v>1</v>
      </c>
      <c r="K982" s="1">
        <v>45171</v>
      </c>
      <c r="L982" s="1" t="str">
        <f>TEXT(Table1[[#This Row],[Purchase_Date]],"YYYY")</f>
        <v>2023</v>
      </c>
      <c r="M982" s="1" t="str">
        <f>TEXT(Table1[[#This Row],[Purchase_Date]],"MMM")</f>
        <v>Sep</v>
      </c>
      <c r="N982" s="1" t="str">
        <f>TEXT(Table1[[#This Row],[Purchase_Date]],"DD")</f>
        <v>02</v>
      </c>
      <c r="O982" s="2" t="s">
        <v>36</v>
      </c>
      <c r="P982" s="3">
        <v>10</v>
      </c>
      <c r="Q982" s="2" t="s">
        <v>23</v>
      </c>
      <c r="R982" s="2" t="s">
        <v>24</v>
      </c>
      <c r="S982">
        <f>Table1[[#This Row],[Purchase_Amount]]*Table1[[#This Row],[Quantity]]</f>
        <v>413.7</v>
      </c>
      <c r="T982" t="str">
        <f>IF(Table1[[#This Row],[Age]]&lt;25,"&lt;25",IF(Table1[[#This Row],[Age]]&lt;=35,"25-35",IF(Table1[[#This Row],[Age]]&lt;=50,"36-50","50+")))</f>
        <v>36-50</v>
      </c>
    </row>
    <row r="983" spans="1:20" x14ac:dyDescent="0.3">
      <c r="A983" s="2" t="s">
        <v>1118</v>
      </c>
      <c r="B983" s="2" t="s">
        <v>16</v>
      </c>
      <c r="C983" s="3">
        <v>49</v>
      </c>
      <c r="D983" s="2" t="s">
        <v>109</v>
      </c>
      <c r="E983" s="2" t="s">
        <v>49</v>
      </c>
      <c r="F983" s="2" t="s">
        <v>19</v>
      </c>
      <c r="G983" t="s">
        <v>34</v>
      </c>
      <c r="H983" t="s">
        <v>369</v>
      </c>
      <c r="I983" s="4">
        <v>84.53</v>
      </c>
      <c r="J983" s="3">
        <v>5</v>
      </c>
      <c r="K983" s="1">
        <v>45429</v>
      </c>
      <c r="L983" s="1" t="str">
        <f>TEXT(Table1[[#This Row],[Purchase_Date]],"YYYY")</f>
        <v>2024</v>
      </c>
      <c r="M983" s="1" t="str">
        <f>TEXT(Table1[[#This Row],[Purchase_Date]],"MMM")</f>
        <v>May</v>
      </c>
      <c r="N983" s="1" t="str">
        <f>TEXT(Table1[[#This Row],[Purchase_Date]],"DD")</f>
        <v>17</v>
      </c>
      <c r="O983" s="2" t="s">
        <v>30</v>
      </c>
      <c r="P983" s="3">
        <v>5</v>
      </c>
      <c r="Q983" s="2" t="s">
        <v>23</v>
      </c>
      <c r="R983" s="2" t="s">
        <v>47</v>
      </c>
      <c r="S983">
        <f>Table1[[#This Row],[Purchase_Amount]]*Table1[[#This Row],[Quantity]]</f>
        <v>422.65</v>
      </c>
      <c r="T983" t="str">
        <f>IF(Table1[[#This Row],[Age]]&lt;25,"&lt;25",IF(Table1[[#This Row],[Age]]&lt;=35,"25-35",IF(Table1[[#This Row],[Age]]&lt;=50,"36-50","50+")))</f>
        <v>36-50</v>
      </c>
    </row>
    <row r="984" spans="1:20" x14ac:dyDescent="0.3">
      <c r="A984" s="2" t="s">
        <v>318</v>
      </c>
      <c r="B984" s="2" t="s">
        <v>16</v>
      </c>
      <c r="C984" s="3">
        <v>50</v>
      </c>
      <c r="D984" s="2" t="s">
        <v>32</v>
      </c>
      <c r="E984" s="2" t="s">
        <v>33</v>
      </c>
      <c r="F984" s="2" t="s">
        <v>19</v>
      </c>
      <c r="G984" t="s">
        <v>34</v>
      </c>
      <c r="H984" t="s">
        <v>110</v>
      </c>
      <c r="I984" s="4">
        <v>649.08000000000004</v>
      </c>
      <c r="J984" s="3">
        <v>1</v>
      </c>
      <c r="K984" s="1">
        <v>45506</v>
      </c>
      <c r="L984" s="1" t="str">
        <f>TEXT(Table1[[#This Row],[Purchase_Date]],"YYYY")</f>
        <v>2024</v>
      </c>
      <c r="M984" s="1" t="str">
        <f>TEXT(Table1[[#This Row],[Purchase_Date]],"MMM")</f>
        <v>Aug</v>
      </c>
      <c r="N984" s="1" t="str">
        <f>TEXT(Table1[[#This Row],[Purchase_Date]],"DD")</f>
        <v>02</v>
      </c>
      <c r="O984" s="2" t="s">
        <v>22</v>
      </c>
      <c r="P984" s="3">
        <v>6</v>
      </c>
      <c r="Q984" s="2" t="s">
        <v>23</v>
      </c>
      <c r="R984" s="2" t="s">
        <v>24</v>
      </c>
      <c r="S984">
        <f>Table1[[#This Row],[Purchase_Amount]]*Table1[[#This Row],[Quantity]]</f>
        <v>649.08000000000004</v>
      </c>
      <c r="T984" t="str">
        <f>IF(Table1[[#This Row],[Age]]&lt;25,"&lt;25",IF(Table1[[#This Row],[Age]]&lt;=35,"25-35",IF(Table1[[#This Row],[Age]]&lt;=50,"36-50","50+")))</f>
        <v>36-50</v>
      </c>
    </row>
    <row r="985" spans="1:20" x14ac:dyDescent="0.3">
      <c r="A985" s="2" t="s">
        <v>453</v>
      </c>
      <c r="B985" s="2" t="s">
        <v>16</v>
      </c>
      <c r="C985" s="3">
        <v>51</v>
      </c>
      <c r="D985" s="2" t="s">
        <v>43</v>
      </c>
      <c r="E985" s="2" t="s">
        <v>49</v>
      </c>
      <c r="F985" s="2" t="s">
        <v>27</v>
      </c>
      <c r="G985" t="s">
        <v>34</v>
      </c>
      <c r="H985" t="s">
        <v>294</v>
      </c>
      <c r="I985" s="4">
        <v>494.16</v>
      </c>
      <c r="J985" s="3">
        <v>5</v>
      </c>
      <c r="K985" s="1">
        <v>45348</v>
      </c>
      <c r="L985" s="1" t="str">
        <f>TEXT(Table1[[#This Row],[Purchase_Date]],"YYYY")</f>
        <v>2024</v>
      </c>
      <c r="M985" s="1" t="str">
        <f>TEXT(Table1[[#This Row],[Purchase_Date]],"MMM")</f>
        <v>Feb</v>
      </c>
      <c r="N985" s="1" t="str">
        <f>TEXT(Table1[[#This Row],[Purchase_Date]],"DD")</f>
        <v>26</v>
      </c>
      <c r="O985" s="2" t="s">
        <v>30</v>
      </c>
      <c r="P985" s="3">
        <v>10</v>
      </c>
      <c r="Q985" s="2" t="s">
        <v>23</v>
      </c>
      <c r="R985" s="2" t="s">
        <v>24</v>
      </c>
      <c r="S985">
        <f>Table1[[#This Row],[Purchase_Amount]]*Table1[[#This Row],[Quantity]]</f>
        <v>2470.8000000000002</v>
      </c>
      <c r="T985" t="str">
        <f>IF(Table1[[#This Row],[Age]]&lt;25,"&lt;25",IF(Table1[[#This Row],[Age]]&lt;=35,"25-35",IF(Table1[[#This Row],[Age]]&lt;=50,"36-50","50+")))</f>
        <v>50+</v>
      </c>
    </row>
    <row r="986" spans="1:20" x14ac:dyDescent="0.3">
      <c r="A986" s="2" t="s">
        <v>932</v>
      </c>
      <c r="B986" s="2" t="s">
        <v>16</v>
      </c>
      <c r="C986" s="3">
        <v>51</v>
      </c>
      <c r="D986" s="2" t="s">
        <v>64</v>
      </c>
      <c r="E986" s="2" t="s">
        <v>49</v>
      </c>
      <c r="F986" s="2" t="s">
        <v>27</v>
      </c>
      <c r="G986" t="s">
        <v>34</v>
      </c>
      <c r="H986" t="s">
        <v>167</v>
      </c>
      <c r="I986" s="4">
        <v>520.02</v>
      </c>
      <c r="J986" s="3">
        <v>3</v>
      </c>
      <c r="K986" s="1">
        <v>44984</v>
      </c>
      <c r="L986" s="1" t="str">
        <f>TEXT(Table1[[#This Row],[Purchase_Date]],"YYYY")</f>
        <v>2023</v>
      </c>
      <c r="M986" s="1" t="str">
        <f>TEXT(Table1[[#This Row],[Purchase_Date]],"MMM")</f>
        <v>Feb</v>
      </c>
      <c r="N986" s="1" t="str">
        <f>TEXT(Table1[[#This Row],[Purchase_Date]],"DD")</f>
        <v>27</v>
      </c>
      <c r="O986" s="2" t="s">
        <v>41</v>
      </c>
      <c r="P986" s="3">
        <v>10</v>
      </c>
      <c r="Q986" s="2" t="s">
        <v>23</v>
      </c>
      <c r="R986" s="2" t="s">
        <v>24</v>
      </c>
      <c r="S986">
        <f>Table1[[#This Row],[Purchase_Amount]]*Table1[[#This Row],[Quantity]]</f>
        <v>1560.06</v>
      </c>
      <c r="T986" t="str">
        <f>IF(Table1[[#This Row],[Age]]&lt;25,"&lt;25",IF(Table1[[#This Row],[Age]]&lt;=35,"25-35",IF(Table1[[#This Row],[Age]]&lt;=50,"36-50","50+")))</f>
        <v>50+</v>
      </c>
    </row>
    <row r="987" spans="1:20" x14ac:dyDescent="0.3">
      <c r="A987" s="2" t="s">
        <v>218</v>
      </c>
      <c r="B987" s="2" t="s">
        <v>16</v>
      </c>
      <c r="C987" s="3">
        <v>54</v>
      </c>
      <c r="D987" s="2" t="s">
        <v>32</v>
      </c>
      <c r="E987" s="2" t="s">
        <v>49</v>
      </c>
      <c r="F987" s="2" t="s">
        <v>44</v>
      </c>
      <c r="G987" t="s">
        <v>34</v>
      </c>
      <c r="H987" t="s">
        <v>219</v>
      </c>
      <c r="I987" s="4">
        <v>352.12</v>
      </c>
      <c r="J987" s="3">
        <v>4</v>
      </c>
      <c r="K987" s="1">
        <v>45345</v>
      </c>
      <c r="L987" s="1" t="str">
        <f>TEXT(Table1[[#This Row],[Purchase_Date]],"YYYY")</f>
        <v>2024</v>
      </c>
      <c r="M987" s="1" t="str">
        <f>TEXT(Table1[[#This Row],[Purchase_Date]],"MMM")</f>
        <v>Feb</v>
      </c>
      <c r="N987" s="1" t="str">
        <f>TEXT(Table1[[#This Row],[Purchase_Date]],"DD")</f>
        <v>23</v>
      </c>
      <c r="O987" s="2" t="s">
        <v>36</v>
      </c>
      <c r="P987" s="3">
        <v>4</v>
      </c>
      <c r="Q987" s="2" t="s">
        <v>23</v>
      </c>
      <c r="R987" s="2" t="s">
        <v>47</v>
      </c>
      <c r="S987">
        <f>Table1[[#This Row],[Purchase_Amount]]*Table1[[#This Row],[Quantity]]</f>
        <v>1408.48</v>
      </c>
      <c r="T987" t="str">
        <f>IF(Table1[[#This Row],[Age]]&lt;25,"&lt;25",IF(Table1[[#This Row],[Age]]&lt;=35,"25-35",IF(Table1[[#This Row],[Age]]&lt;=50,"36-50","50+")))</f>
        <v>50+</v>
      </c>
    </row>
    <row r="988" spans="1:20" x14ac:dyDescent="0.3">
      <c r="A988" s="2" t="s">
        <v>658</v>
      </c>
      <c r="B988" s="2" t="s">
        <v>16</v>
      </c>
      <c r="C988" s="3">
        <v>54</v>
      </c>
      <c r="D988" s="2" t="s">
        <v>38</v>
      </c>
      <c r="E988" s="2" t="s">
        <v>33</v>
      </c>
      <c r="F988" s="2" t="s">
        <v>44</v>
      </c>
      <c r="G988" t="s">
        <v>34</v>
      </c>
      <c r="H988" t="s">
        <v>439</v>
      </c>
      <c r="I988" s="4">
        <v>970.37</v>
      </c>
      <c r="J988" s="3">
        <v>1</v>
      </c>
      <c r="K988" s="1">
        <v>45492</v>
      </c>
      <c r="L988" s="1" t="str">
        <f>TEXT(Table1[[#This Row],[Purchase_Date]],"YYYY")</f>
        <v>2024</v>
      </c>
      <c r="M988" s="1" t="str">
        <f>TEXT(Table1[[#This Row],[Purchase_Date]],"MMM")</f>
        <v>Jul</v>
      </c>
      <c r="N988" s="1" t="str">
        <f>TEXT(Table1[[#This Row],[Purchase_Date]],"DD")</f>
        <v>19</v>
      </c>
      <c r="O988" s="2" t="s">
        <v>22</v>
      </c>
      <c r="P988" s="3">
        <v>6</v>
      </c>
      <c r="Q988" s="2" t="s">
        <v>23</v>
      </c>
      <c r="R988" s="2" t="s">
        <v>24</v>
      </c>
      <c r="S988">
        <f>Table1[[#This Row],[Purchase_Amount]]*Table1[[#This Row],[Quantity]]</f>
        <v>970.37</v>
      </c>
      <c r="T988" t="str">
        <f>IF(Table1[[#This Row],[Age]]&lt;25,"&lt;25",IF(Table1[[#This Row],[Age]]&lt;=35,"25-35",IF(Table1[[#This Row],[Age]]&lt;=50,"36-50","50+")))</f>
        <v>50+</v>
      </c>
    </row>
    <row r="989" spans="1:20" x14ac:dyDescent="0.3">
      <c r="A989" s="2" t="s">
        <v>870</v>
      </c>
      <c r="B989" s="2" t="s">
        <v>16</v>
      </c>
      <c r="C989" s="3">
        <v>56</v>
      </c>
      <c r="D989" s="2" t="s">
        <v>60</v>
      </c>
      <c r="E989" s="2" t="s">
        <v>18</v>
      </c>
      <c r="F989" s="2" t="s">
        <v>19</v>
      </c>
      <c r="G989" t="s">
        <v>34</v>
      </c>
      <c r="H989" t="s">
        <v>553</v>
      </c>
      <c r="I989" s="4">
        <v>438.51</v>
      </c>
      <c r="J989" s="3">
        <v>3</v>
      </c>
      <c r="K989" s="1">
        <v>45362</v>
      </c>
      <c r="L989" s="1" t="str">
        <f>TEXT(Table1[[#This Row],[Purchase_Date]],"YYYY")</f>
        <v>2024</v>
      </c>
      <c r="M989" s="1" t="str">
        <f>TEXT(Table1[[#This Row],[Purchase_Date]],"MMM")</f>
        <v>Mar</v>
      </c>
      <c r="N989" s="1" t="str">
        <f>TEXT(Table1[[#This Row],[Purchase_Date]],"DD")</f>
        <v>11</v>
      </c>
      <c r="O989" s="2" t="s">
        <v>41</v>
      </c>
      <c r="P989" s="3">
        <v>2</v>
      </c>
      <c r="Q989" s="2" t="s">
        <v>46</v>
      </c>
      <c r="R989" s="2" t="s">
        <v>24</v>
      </c>
      <c r="S989">
        <f>Table1[[#This Row],[Purchase_Amount]]*Table1[[#This Row],[Quantity]]</f>
        <v>1315.53</v>
      </c>
      <c r="T989" t="str">
        <f>IF(Table1[[#This Row],[Age]]&lt;25,"&lt;25",IF(Table1[[#This Row],[Age]]&lt;=35,"25-35",IF(Table1[[#This Row],[Age]]&lt;=50,"36-50","50+")))</f>
        <v>50+</v>
      </c>
    </row>
    <row r="990" spans="1:20" x14ac:dyDescent="0.3">
      <c r="A990" s="2" t="s">
        <v>883</v>
      </c>
      <c r="B990" s="2" t="s">
        <v>16</v>
      </c>
      <c r="C990" s="3">
        <v>56</v>
      </c>
      <c r="D990" s="2" t="s">
        <v>43</v>
      </c>
      <c r="E990" s="2" t="s">
        <v>18</v>
      </c>
      <c r="F990" s="2" t="s">
        <v>27</v>
      </c>
      <c r="G990" t="s">
        <v>34</v>
      </c>
      <c r="H990" t="s">
        <v>465</v>
      </c>
      <c r="I990" s="4">
        <v>959.28</v>
      </c>
      <c r="J990" s="3">
        <v>3</v>
      </c>
      <c r="K990" s="1">
        <v>45422</v>
      </c>
      <c r="L990" s="1" t="str">
        <f>TEXT(Table1[[#This Row],[Purchase_Date]],"YYYY")</f>
        <v>2024</v>
      </c>
      <c r="M990" s="1" t="str">
        <f>TEXT(Table1[[#This Row],[Purchase_Date]],"MMM")</f>
        <v>May</v>
      </c>
      <c r="N990" s="1" t="str">
        <f>TEXT(Table1[[#This Row],[Purchase_Date]],"DD")</f>
        <v>10</v>
      </c>
      <c r="O990" s="2" t="s">
        <v>36</v>
      </c>
      <c r="P990" s="3">
        <v>7</v>
      </c>
      <c r="Q990" s="2" t="s">
        <v>46</v>
      </c>
      <c r="R990" s="2" t="s">
        <v>47</v>
      </c>
      <c r="S990">
        <f>Table1[[#This Row],[Purchase_Amount]]*Table1[[#This Row],[Quantity]]</f>
        <v>2877.84</v>
      </c>
      <c r="T990" t="str">
        <f>IF(Table1[[#This Row],[Age]]&lt;25,"&lt;25",IF(Table1[[#This Row],[Age]]&lt;=35,"25-35",IF(Table1[[#This Row],[Age]]&lt;=50,"36-50","50+")))</f>
        <v>50+</v>
      </c>
    </row>
    <row r="991" spans="1:20" x14ac:dyDescent="0.3">
      <c r="A991" s="2" t="s">
        <v>1008</v>
      </c>
      <c r="B991" s="2" t="s">
        <v>16</v>
      </c>
      <c r="C991" s="3">
        <v>57</v>
      </c>
      <c r="D991" s="2" t="s">
        <v>38</v>
      </c>
      <c r="E991" s="2" t="s">
        <v>18</v>
      </c>
      <c r="F991" s="2" t="s">
        <v>27</v>
      </c>
      <c r="G991" t="s">
        <v>34</v>
      </c>
      <c r="H991" t="s">
        <v>762</v>
      </c>
      <c r="I991" s="4">
        <v>40.049999999999997</v>
      </c>
      <c r="J991" s="3">
        <v>4</v>
      </c>
      <c r="K991" s="1">
        <v>45319</v>
      </c>
      <c r="L991" s="1" t="str">
        <f>TEXT(Table1[[#This Row],[Purchase_Date]],"YYYY")</f>
        <v>2024</v>
      </c>
      <c r="M991" s="1" t="str">
        <f>TEXT(Table1[[#This Row],[Purchase_Date]],"MMM")</f>
        <v>Jan</v>
      </c>
      <c r="N991" s="1" t="str">
        <f>TEXT(Table1[[#This Row],[Purchase_Date]],"DD")</f>
        <v>28</v>
      </c>
      <c r="O991" s="2" t="s">
        <v>30</v>
      </c>
      <c r="P991" s="3">
        <v>1</v>
      </c>
      <c r="Q991" s="2" t="s">
        <v>46</v>
      </c>
      <c r="R991" s="2" t="s">
        <v>24</v>
      </c>
      <c r="S991">
        <f>Table1[[#This Row],[Purchase_Amount]]*Table1[[#This Row],[Quantity]]</f>
        <v>160.19999999999999</v>
      </c>
      <c r="T991" t="str">
        <f>IF(Table1[[#This Row],[Age]]&lt;25,"&lt;25",IF(Table1[[#This Row],[Age]]&lt;=35,"25-35",IF(Table1[[#This Row],[Age]]&lt;=50,"36-50","50+")))</f>
        <v>50+</v>
      </c>
    </row>
    <row r="992" spans="1:20" x14ac:dyDescent="0.3">
      <c r="A992" s="2" t="s">
        <v>713</v>
      </c>
      <c r="B992" s="2" t="s">
        <v>16</v>
      </c>
      <c r="C992" s="3">
        <v>57</v>
      </c>
      <c r="D992" s="2" t="s">
        <v>64</v>
      </c>
      <c r="E992" s="2" t="s">
        <v>18</v>
      </c>
      <c r="F992" s="2" t="s">
        <v>19</v>
      </c>
      <c r="G992" t="s">
        <v>34</v>
      </c>
      <c r="H992" t="s">
        <v>479</v>
      </c>
      <c r="I992" s="4">
        <v>620.46</v>
      </c>
      <c r="J992" s="3">
        <v>4</v>
      </c>
      <c r="K992" s="1">
        <v>45585</v>
      </c>
      <c r="L992" s="1" t="str">
        <f>TEXT(Table1[[#This Row],[Purchase_Date]],"YYYY")</f>
        <v>2024</v>
      </c>
      <c r="M992" s="1" t="str">
        <f>TEXT(Table1[[#This Row],[Purchase_Date]],"MMM")</f>
        <v>Oct</v>
      </c>
      <c r="N992" s="1" t="str">
        <f>TEXT(Table1[[#This Row],[Purchase_Date]],"DD")</f>
        <v>20</v>
      </c>
      <c r="O992" s="2" t="s">
        <v>41</v>
      </c>
      <c r="P992" s="3">
        <v>8</v>
      </c>
      <c r="Q992" s="2" t="s">
        <v>46</v>
      </c>
      <c r="R992" s="2" t="s">
        <v>24</v>
      </c>
      <c r="S992">
        <f>Table1[[#This Row],[Purchase_Amount]]*Table1[[#This Row],[Quantity]]</f>
        <v>2481.84</v>
      </c>
      <c r="T992" t="str">
        <f>IF(Table1[[#This Row],[Age]]&lt;25,"&lt;25",IF(Table1[[#This Row],[Age]]&lt;=35,"25-35",IF(Table1[[#This Row],[Age]]&lt;=50,"36-50","50+")))</f>
        <v>50+</v>
      </c>
    </row>
    <row r="993" spans="1:20" x14ac:dyDescent="0.3">
      <c r="A993" s="2" t="s">
        <v>823</v>
      </c>
      <c r="B993" s="2" t="s">
        <v>16</v>
      </c>
      <c r="C993" s="3">
        <v>59</v>
      </c>
      <c r="D993" s="2" t="s">
        <v>109</v>
      </c>
      <c r="E993" s="2" t="s">
        <v>33</v>
      </c>
      <c r="F993" s="2" t="s">
        <v>27</v>
      </c>
      <c r="G993" t="s">
        <v>34</v>
      </c>
      <c r="H993" t="s">
        <v>824</v>
      </c>
      <c r="I993" s="4">
        <v>562.11</v>
      </c>
      <c r="J993" s="3">
        <v>4</v>
      </c>
      <c r="K993" s="1">
        <v>45117</v>
      </c>
      <c r="L993" s="1" t="str">
        <f>TEXT(Table1[[#This Row],[Purchase_Date]],"YYYY")</f>
        <v>2023</v>
      </c>
      <c r="M993" s="1" t="str">
        <f>TEXT(Table1[[#This Row],[Purchase_Date]],"MMM")</f>
        <v>Jul</v>
      </c>
      <c r="N993" s="1" t="str">
        <f>TEXT(Table1[[#This Row],[Purchase_Date]],"DD")</f>
        <v>10</v>
      </c>
      <c r="O993" s="2" t="s">
        <v>36</v>
      </c>
      <c r="P993" s="3">
        <v>9</v>
      </c>
      <c r="Q993" s="2" t="s">
        <v>46</v>
      </c>
      <c r="R993" s="2" t="s">
        <v>24</v>
      </c>
      <c r="S993">
        <f>Table1[[#This Row],[Purchase_Amount]]*Table1[[#This Row],[Quantity]]</f>
        <v>2248.44</v>
      </c>
      <c r="T993" t="str">
        <f>IF(Table1[[#This Row],[Age]]&lt;25,"&lt;25",IF(Table1[[#This Row],[Age]]&lt;=35,"25-35",IF(Table1[[#This Row],[Age]]&lt;=50,"36-50","50+")))</f>
        <v>50+</v>
      </c>
    </row>
    <row r="994" spans="1:20" x14ac:dyDescent="0.3">
      <c r="A994" s="2" t="s">
        <v>282</v>
      </c>
      <c r="B994" s="2" t="s">
        <v>16</v>
      </c>
      <c r="C994" s="3">
        <v>59</v>
      </c>
      <c r="D994" s="2" t="s">
        <v>17</v>
      </c>
      <c r="E994" s="2" t="s">
        <v>33</v>
      </c>
      <c r="F994" s="2" t="s">
        <v>44</v>
      </c>
      <c r="G994" t="s">
        <v>34</v>
      </c>
      <c r="H994" t="s">
        <v>283</v>
      </c>
      <c r="I994" s="4">
        <v>861.05</v>
      </c>
      <c r="J994" s="3">
        <v>2</v>
      </c>
      <c r="K994" s="1">
        <v>45037</v>
      </c>
      <c r="L994" s="1" t="str">
        <f>TEXT(Table1[[#This Row],[Purchase_Date]],"YYYY")</f>
        <v>2023</v>
      </c>
      <c r="M994" s="1" t="str">
        <f>TEXT(Table1[[#This Row],[Purchase_Date]],"MMM")</f>
        <v>Apr</v>
      </c>
      <c r="N994" s="1" t="str">
        <f>TEXT(Table1[[#This Row],[Purchase_Date]],"DD")</f>
        <v>21</v>
      </c>
      <c r="O994" s="2" t="s">
        <v>22</v>
      </c>
      <c r="P994" s="3">
        <v>1</v>
      </c>
      <c r="Q994" s="2" t="s">
        <v>23</v>
      </c>
      <c r="R994" s="2" t="s">
        <v>24</v>
      </c>
      <c r="S994">
        <f>Table1[[#This Row],[Purchase_Amount]]*Table1[[#This Row],[Quantity]]</f>
        <v>1722.1</v>
      </c>
      <c r="T994" t="str">
        <f>IF(Table1[[#This Row],[Age]]&lt;25,"&lt;25",IF(Table1[[#This Row],[Age]]&lt;=35,"25-35",IF(Table1[[#This Row],[Age]]&lt;=50,"36-50","50+")))</f>
        <v>50+</v>
      </c>
    </row>
    <row r="995" spans="1:20" x14ac:dyDescent="0.3">
      <c r="A995" s="2" t="s">
        <v>754</v>
      </c>
      <c r="B995" s="2" t="s">
        <v>16</v>
      </c>
      <c r="C995" s="3">
        <v>61</v>
      </c>
      <c r="D995" s="2" t="s">
        <v>64</v>
      </c>
      <c r="E995" s="2" t="s">
        <v>33</v>
      </c>
      <c r="F995" s="2" t="s">
        <v>27</v>
      </c>
      <c r="G995" t="s">
        <v>34</v>
      </c>
      <c r="H995" t="s">
        <v>755</v>
      </c>
      <c r="I995" s="4">
        <v>393.35</v>
      </c>
      <c r="J995" s="3">
        <v>3</v>
      </c>
      <c r="K995" s="1">
        <v>45409</v>
      </c>
      <c r="L995" s="1" t="str">
        <f>TEXT(Table1[[#This Row],[Purchase_Date]],"YYYY")</f>
        <v>2024</v>
      </c>
      <c r="M995" s="1" t="str">
        <f>TEXT(Table1[[#This Row],[Purchase_Date]],"MMM")</f>
        <v>Apr</v>
      </c>
      <c r="N995" s="1" t="str">
        <f>TEXT(Table1[[#This Row],[Purchase_Date]],"DD")</f>
        <v>27</v>
      </c>
      <c r="O995" s="2" t="s">
        <v>41</v>
      </c>
      <c r="P995" s="3">
        <v>7</v>
      </c>
      <c r="Q995" s="2" t="s">
        <v>23</v>
      </c>
      <c r="R995" s="2" t="s">
        <v>24</v>
      </c>
      <c r="S995">
        <f>Table1[[#This Row],[Purchase_Amount]]*Table1[[#This Row],[Quantity]]</f>
        <v>1180.0500000000002</v>
      </c>
      <c r="T995" t="str">
        <f>IF(Table1[[#This Row],[Age]]&lt;25,"&lt;25",IF(Table1[[#This Row],[Age]]&lt;=35,"25-35",IF(Table1[[#This Row],[Age]]&lt;=50,"36-50","50+")))</f>
        <v>50+</v>
      </c>
    </row>
    <row r="996" spans="1:20" x14ac:dyDescent="0.3">
      <c r="A996" s="2" t="s">
        <v>900</v>
      </c>
      <c r="B996" s="2" t="s">
        <v>16</v>
      </c>
      <c r="C996" s="3">
        <v>65</v>
      </c>
      <c r="D996" s="2" t="s">
        <v>38</v>
      </c>
      <c r="E996" s="2" t="s">
        <v>18</v>
      </c>
      <c r="F996" s="2" t="s">
        <v>44</v>
      </c>
      <c r="G996" t="s">
        <v>34</v>
      </c>
      <c r="H996" t="s">
        <v>273</v>
      </c>
      <c r="I996" s="4">
        <v>96.1</v>
      </c>
      <c r="J996" s="3">
        <v>4</v>
      </c>
      <c r="K996" s="1">
        <v>45285</v>
      </c>
      <c r="L996" s="1" t="str">
        <f>TEXT(Table1[[#This Row],[Purchase_Date]],"YYYY")</f>
        <v>2023</v>
      </c>
      <c r="M996" s="1" t="str">
        <f>TEXT(Table1[[#This Row],[Purchase_Date]],"MMM")</f>
        <v>Dec</v>
      </c>
      <c r="N996" s="1" t="str">
        <f>TEXT(Table1[[#This Row],[Purchase_Date]],"DD")</f>
        <v>25</v>
      </c>
      <c r="O996" s="2" t="s">
        <v>36</v>
      </c>
      <c r="P996" s="3">
        <v>5</v>
      </c>
      <c r="Q996" s="2" t="s">
        <v>46</v>
      </c>
      <c r="R996" s="2" t="s">
        <v>47</v>
      </c>
      <c r="S996">
        <f>Table1[[#This Row],[Purchase_Amount]]*Table1[[#This Row],[Quantity]]</f>
        <v>384.4</v>
      </c>
      <c r="T996" t="str">
        <f>IF(Table1[[#This Row],[Age]]&lt;25,"&lt;25",IF(Table1[[#This Row],[Age]]&lt;=35,"25-35",IF(Table1[[#This Row],[Age]]&lt;=50,"36-50","50+")))</f>
        <v>50+</v>
      </c>
    </row>
    <row r="997" spans="1:20" x14ac:dyDescent="0.3">
      <c r="A997" s="2" t="s">
        <v>1001</v>
      </c>
      <c r="B997" s="2" t="s">
        <v>16</v>
      </c>
      <c r="C997" s="3">
        <v>67</v>
      </c>
      <c r="D997" s="2" t="s">
        <v>109</v>
      </c>
      <c r="E997" s="2" t="s">
        <v>49</v>
      </c>
      <c r="F997" s="2" t="s">
        <v>27</v>
      </c>
      <c r="G997" t="s">
        <v>34</v>
      </c>
      <c r="H997" t="s">
        <v>592</v>
      </c>
      <c r="I997" s="4">
        <v>97.69</v>
      </c>
      <c r="J997" s="3">
        <v>1</v>
      </c>
      <c r="K997" s="1">
        <v>45281</v>
      </c>
      <c r="L997" s="1" t="str">
        <f>TEXT(Table1[[#This Row],[Purchase_Date]],"YYYY")</f>
        <v>2023</v>
      </c>
      <c r="M997" s="1" t="str">
        <f>TEXT(Table1[[#This Row],[Purchase_Date]],"MMM")</f>
        <v>Dec</v>
      </c>
      <c r="N997" s="1" t="str">
        <f>TEXT(Table1[[#This Row],[Purchase_Date]],"DD")</f>
        <v>21</v>
      </c>
      <c r="O997" s="2" t="s">
        <v>41</v>
      </c>
      <c r="P997" s="3">
        <v>4</v>
      </c>
      <c r="Q997" s="2" t="s">
        <v>23</v>
      </c>
      <c r="R997" s="2" t="s">
        <v>24</v>
      </c>
      <c r="S997">
        <f>Table1[[#This Row],[Purchase_Amount]]*Table1[[#This Row],[Quantity]]</f>
        <v>97.69</v>
      </c>
      <c r="T997" t="str">
        <f>IF(Table1[[#This Row],[Age]]&lt;25,"&lt;25",IF(Table1[[#This Row],[Age]]&lt;=35,"25-35",IF(Table1[[#This Row],[Age]]&lt;=50,"36-50","50+")))</f>
        <v>50+</v>
      </c>
    </row>
    <row r="998" spans="1:20" x14ac:dyDescent="0.3">
      <c r="A998" s="2" t="s">
        <v>184</v>
      </c>
      <c r="B998" s="2" t="s">
        <v>16</v>
      </c>
      <c r="C998" s="3">
        <v>67</v>
      </c>
      <c r="D998" s="2" t="s">
        <v>60</v>
      </c>
      <c r="E998" s="2" t="s">
        <v>18</v>
      </c>
      <c r="F998" s="2" t="s">
        <v>27</v>
      </c>
      <c r="G998" t="s">
        <v>34</v>
      </c>
      <c r="H998" t="s">
        <v>185</v>
      </c>
      <c r="I998" s="4">
        <v>804.38</v>
      </c>
      <c r="J998" s="3">
        <v>4</v>
      </c>
      <c r="K998" s="1">
        <v>45397</v>
      </c>
      <c r="L998" s="1" t="str">
        <f>TEXT(Table1[[#This Row],[Purchase_Date]],"YYYY")</f>
        <v>2024</v>
      </c>
      <c r="M998" s="1" t="str">
        <f>TEXT(Table1[[#This Row],[Purchase_Date]],"MMM")</f>
        <v>Apr</v>
      </c>
      <c r="N998" s="1" t="str">
        <f>TEXT(Table1[[#This Row],[Purchase_Date]],"DD")</f>
        <v>15</v>
      </c>
      <c r="O998" s="2" t="s">
        <v>41</v>
      </c>
      <c r="P998" s="3">
        <v>4</v>
      </c>
      <c r="Q998" s="2" t="s">
        <v>46</v>
      </c>
      <c r="R998" s="2" t="s">
        <v>24</v>
      </c>
      <c r="S998">
        <f>Table1[[#This Row],[Purchase_Amount]]*Table1[[#This Row],[Quantity]]</f>
        <v>3217.52</v>
      </c>
      <c r="T998" t="str">
        <f>IF(Table1[[#This Row],[Age]]&lt;25,"&lt;25",IF(Table1[[#This Row],[Age]]&lt;=35,"25-35",IF(Table1[[#This Row],[Age]]&lt;=50,"36-50","50+")))</f>
        <v>50+</v>
      </c>
    </row>
    <row r="999" spans="1:20" x14ac:dyDescent="0.3">
      <c r="A999" s="2" t="s">
        <v>1119</v>
      </c>
      <c r="B999" s="2" t="s">
        <v>16</v>
      </c>
      <c r="C999" s="3">
        <v>68</v>
      </c>
      <c r="D999" s="2" t="s">
        <v>43</v>
      </c>
      <c r="E999" s="2" t="s">
        <v>33</v>
      </c>
      <c r="F999" s="2" t="s">
        <v>27</v>
      </c>
      <c r="G999" t="s">
        <v>34</v>
      </c>
      <c r="H999" t="s">
        <v>129</v>
      </c>
      <c r="I999" s="4">
        <v>121.27</v>
      </c>
      <c r="J999" s="3">
        <v>4</v>
      </c>
      <c r="K999" s="1">
        <v>45333</v>
      </c>
      <c r="L999" s="1" t="str">
        <f>TEXT(Table1[[#This Row],[Purchase_Date]],"YYYY")</f>
        <v>2024</v>
      </c>
      <c r="M999" s="1" t="str">
        <f>TEXT(Table1[[#This Row],[Purchase_Date]],"MMM")</f>
        <v>Feb</v>
      </c>
      <c r="N999" s="1" t="str">
        <f>TEXT(Table1[[#This Row],[Purchase_Date]],"DD")</f>
        <v>11</v>
      </c>
      <c r="O999" s="2" t="s">
        <v>41</v>
      </c>
      <c r="P999" s="3">
        <v>1</v>
      </c>
      <c r="Q999" s="2" t="s">
        <v>46</v>
      </c>
      <c r="R999" s="2" t="s">
        <v>47</v>
      </c>
      <c r="S999">
        <f>Table1[[#This Row],[Purchase_Amount]]*Table1[[#This Row],[Quantity]]</f>
        <v>485.08</v>
      </c>
      <c r="T999" t="str">
        <f>IF(Table1[[#This Row],[Age]]&lt;25,"&lt;25",IF(Table1[[#This Row],[Age]]&lt;=35,"25-35",IF(Table1[[#This Row],[Age]]&lt;=50,"36-50","50+")))</f>
        <v>50+</v>
      </c>
    </row>
    <row r="1000" spans="1:20" x14ac:dyDescent="0.3">
      <c r="A1000" s="2" t="s">
        <v>350</v>
      </c>
      <c r="B1000" s="2" t="s">
        <v>16</v>
      </c>
      <c r="C1000" s="3">
        <v>68</v>
      </c>
      <c r="D1000" s="2" t="s">
        <v>60</v>
      </c>
      <c r="E1000" s="2" t="s">
        <v>18</v>
      </c>
      <c r="F1000" s="2" t="s">
        <v>27</v>
      </c>
      <c r="G1000" t="s">
        <v>34</v>
      </c>
      <c r="H1000" t="s">
        <v>351</v>
      </c>
      <c r="I1000" s="4">
        <v>349.17</v>
      </c>
      <c r="J1000" s="3">
        <v>2</v>
      </c>
      <c r="K1000" s="1">
        <v>45476</v>
      </c>
      <c r="L1000" s="1" t="str">
        <f>TEXT(Table1[[#This Row],[Purchase_Date]],"YYYY")</f>
        <v>2024</v>
      </c>
      <c r="M1000" s="1" t="str">
        <f>TEXT(Table1[[#This Row],[Purchase_Date]],"MMM")</f>
        <v>Jul</v>
      </c>
      <c r="N1000" s="1" t="str">
        <f>TEXT(Table1[[#This Row],[Purchase_Date]],"DD")</f>
        <v>03</v>
      </c>
      <c r="O1000" s="2" t="s">
        <v>36</v>
      </c>
      <c r="P1000" s="3">
        <v>4</v>
      </c>
      <c r="Q1000" s="2" t="s">
        <v>23</v>
      </c>
      <c r="R1000" s="2" t="s">
        <v>47</v>
      </c>
      <c r="S1000">
        <f>Table1[[#This Row],[Purchase_Amount]]*Table1[[#This Row],[Quantity]]</f>
        <v>698.34</v>
      </c>
      <c r="T1000" t="str">
        <f>IF(Table1[[#This Row],[Age]]&lt;25,"&lt;25",IF(Table1[[#This Row],[Age]]&lt;=35,"25-35",IF(Table1[[#This Row],[Age]]&lt;=50,"36-50","50+")))</f>
        <v>50+</v>
      </c>
    </row>
    <row r="1001" spans="1:20" x14ac:dyDescent="0.3">
      <c r="A1001" s="2" t="s">
        <v>284</v>
      </c>
      <c r="B1001" s="2" t="s">
        <v>16</v>
      </c>
      <c r="C1001" s="3">
        <v>69</v>
      </c>
      <c r="D1001" s="2" t="s">
        <v>43</v>
      </c>
      <c r="E1001" s="2" t="s">
        <v>18</v>
      </c>
      <c r="F1001" s="2" t="s">
        <v>44</v>
      </c>
      <c r="G1001" t="s">
        <v>34</v>
      </c>
      <c r="H1001" t="s">
        <v>269</v>
      </c>
      <c r="I1001" s="4">
        <v>177.12</v>
      </c>
      <c r="J1001" s="3">
        <v>1</v>
      </c>
      <c r="K1001" s="1">
        <v>45295</v>
      </c>
      <c r="L1001" s="1" t="str">
        <f>TEXT(Table1[[#This Row],[Purchase_Date]],"YYYY")</f>
        <v>2024</v>
      </c>
      <c r="M1001" s="1" t="str">
        <f>TEXT(Table1[[#This Row],[Purchase_Date]],"MMM")</f>
        <v>Jan</v>
      </c>
      <c r="N1001" s="1" t="str">
        <f>TEXT(Table1[[#This Row],[Purchase_Date]],"DD")</f>
        <v>04</v>
      </c>
      <c r="O1001" s="2" t="s">
        <v>30</v>
      </c>
      <c r="P1001" s="3">
        <v>10</v>
      </c>
      <c r="Q1001" s="2" t="s">
        <v>23</v>
      </c>
      <c r="R1001" s="2" t="s">
        <v>24</v>
      </c>
      <c r="S1001">
        <f>Table1[[#This Row],[Purchase_Amount]]*Table1[[#This Row],[Quantity]]</f>
        <v>177.12</v>
      </c>
      <c r="T1001" t="str">
        <f>IF(Table1[[#This Row],[Age]]&lt;25,"&lt;25",IF(Table1[[#This Row],[Age]]&lt;=35,"25-35",IF(Table1[[#This Row],[Age]]&lt;=50,"36-50","50+")))</f>
        <v>50+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886423-B808-488D-9332-5F2E3F24FE4D}">
  <dimension ref="A2:B12"/>
  <sheetViews>
    <sheetView workbookViewId="0">
      <selection activeCell="B7" sqref="B7"/>
    </sheetView>
  </sheetViews>
  <sheetFormatPr defaultRowHeight="14.4" x14ac:dyDescent="0.3"/>
  <cols>
    <col min="1" max="1" width="12.5546875" bestFit="1" customWidth="1"/>
    <col min="2" max="2" width="18.21875" bestFit="1" customWidth="1"/>
    <col min="4" max="4" width="12.5546875" bestFit="1" customWidth="1"/>
    <col min="5" max="5" width="18.21875" bestFit="1" customWidth="1"/>
  </cols>
  <sheetData>
    <row r="2" spans="1:2" ht="12" customHeight="1" x14ac:dyDescent="0.3"/>
    <row r="4" spans="1:2" x14ac:dyDescent="0.3">
      <c r="A4" s="5" t="s">
        <v>1247</v>
      </c>
      <c r="B4" t="s">
        <v>1249</v>
      </c>
    </row>
    <row r="5" spans="1:2" x14ac:dyDescent="0.3">
      <c r="A5" s="6" t="s">
        <v>55</v>
      </c>
      <c r="B5" s="3">
        <v>72191.210000000036</v>
      </c>
    </row>
    <row r="6" spans="1:2" x14ac:dyDescent="0.3">
      <c r="A6" s="6" t="s">
        <v>61</v>
      </c>
      <c r="B6" s="3">
        <v>79023.27</v>
      </c>
    </row>
    <row r="7" spans="1:2" x14ac:dyDescent="0.3">
      <c r="A7" s="6" t="s">
        <v>28</v>
      </c>
      <c r="B7" s="3">
        <v>47883.889999999992</v>
      </c>
    </row>
    <row r="8" spans="1:2" x14ac:dyDescent="0.3">
      <c r="A8" s="6" t="s">
        <v>20</v>
      </c>
      <c r="B8" s="3">
        <v>78781.450000000012</v>
      </c>
    </row>
    <row r="9" spans="1:2" x14ac:dyDescent="0.3">
      <c r="A9" s="6" t="s">
        <v>39</v>
      </c>
      <c r="B9" s="3">
        <v>66574.28</v>
      </c>
    </row>
    <row r="10" spans="1:2" x14ac:dyDescent="0.3">
      <c r="A10" s="6" t="s">
        <v>69</v>
      </c>
      <c r="B10" s="3">
        <v>60576.339999999982</v>
      </c>
    </row>
    <row r="11" spans="1:2" x14ac:dyDescent="0.3">
      <c r="A11" s="6" t="s">
        <v>34</v>
      </c>
      <c r="B11" s="3">
        <v>61296.240000000005</v>
      </c>
    </row>
    <row r="12" spans="1:2" x14ac:dyDescent="0.3">
      <c r="A12" s="6" t="s">
        <v>1248</v>
      </c>
      <c r="B12" s="3">
        <v>466326.68000000005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9ECE6-8547-4C42-9B83-031B5CD03849}">
  <dimension ref="A3:B7"/>
  <sheetViews>
    <sheetView workbookViewId="0">
      <selection activeCell="L10" sqref="L10"/>
    </sheetView>
  </sheetViews>
  <sheetFormatPr defaultRowHeight="14.4" x14ac:dyDescent="0.3"/>
  <cols>
    <col min="1" max="1" width="12.5546875" bestFit="1" customWidth="1"/>
    <col min="2" max="2" width="18.21875" bestFit="1" customWidth="1"/>
  </cols>
  <sheetData>
    <row r="3" spans="1:2" x14ac:dyDescent="0.3">
      <c r="A3" s="5" t="s">
        <v>1247</v>
      </c>
      <c r="B3" t="s">
        <v>1249</v>
      </c>
    </row>
    <row r="4" spans="1:2" x14ac:dyDescent="0.3">
      <c r="A4" s="6" t="s">
        <v>54</v>
      </c>
      <c r="B4" s="3">
        <v>445707.43999999994</v>
      </c>
    </row>
    <row r="5" spans="1:2" x14ac:dyDescent="0.3">
      <c r="A5" s="6" t="s">
        <v>26</v>
      </c>
      <c r="B5" s="3">
        <v>538677.68000000005</v>
      </c>
    </row>
    <row r="6" spans="1:2" x14ac:dyDescent="0.3">
      <c r="A6" s="6" t="s">
        <v>16</v>
      </c>
      <c r="B6" s="3">
        <v>466326.68000000011</v>
      </c>
    </row>
    <row r="7" spans="1:2" x14ac:dyDescent="0.3">
      <c r="A7" s="6" t="s">
        <v>1248</v>
      </c>
      <c r="B7" s="3">
        <v>1450711.8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18EF0D-0376-4649-92FF-AAEDE5D65AF3}">
  <dimension ref="A3:B16"/>
  <sheetViews>
    <sheetView workbookViewId="0">
      <selection activeCell="D16" sqref="D16"/>
    </sheetView>
  </sheetViews>
  <sheetFormatPr defaultRowHeight="14.4" x14ac:dyDescent="0.3"/>
  <cols>
    <col min="1" max="1" width="12.5546875" bestFit="1" customWidth="1"/>
    <col min="2" max="2" width="18.21875" bestFit="1" customWidth="1"/>
  </cols>
  <sheetData>
    <row r="3" spans="1:2" x14ac:dyDescent="0.3">
      <c r="A3" s="5" t="s">
        <v>1247</v>
      </c>
      <c r="B3" t="s">
        <v>1249</v>
      </c>
    </row>
    <row r="4" spans="1:2" x14ac:dyDescent="0.3">
      <c r="A4" s="6" t="s">
        <v>1259</v>
      </c>
      <c r="B4" s="3">
        <v>112496.67999999998</v>
      </c>
    </row>
    <row r="5" spans="1:2" x14ac:dyDescent="0.3">
      <c r="A5" s="6" t="s">
        <v>1258</v>
      </c>
      <c r="B5" s="3">
        <v>118558.48</v>
      </c>
    </row>
    <row r="6" spans="1:2" x14ac:dyDescent="0.3">
      <c r="A6" s="6" t="s">
        <v>1262</v>
      </c>
      <c r="B6" s="3">
        <v>160684.61000000002</v>
      </c>
    </row>
    <row r="7" spans="1:2" x14ac:dyDescent="0.3">
      <c r="A7" s="6" t="s">
        <v>1255</v>
      </c>
      <c r="B7" s="3">
        <v>145962.21999999997</v>
      </c>
    </row>
    <row r="8" spans="1:2" x14ac:dyDescent="0.3">
      <c r="A8" s="6" t="s">
        <v>1263</v>
      </c>
      <c r="B8" s="3">
        <v>121075.06000000001</v>
      </c>
    </row>
    <row r="9" spans="1:2" x14ac:dyDescent="0.3">
      <c r="A9" s="6" t="s">
        <v>1261</v>
      </c>
      <c r="B9" s="3">
        <v>163443.86000000007</v>
      </c>
    </row>
    <row r="10" spans="1:2" x14ac:dyDescent="0.3">
      <c r="A10" s="6" t="s">
        <v>1260</v>
      </c>
      <c r="B10" s="3">
        <v>131210.4</v>
      </c>
    </row>
    <row r="11" spans="1:2" x14ac:dyDescent="0.3">
      <c r="A11" s="6" t="s">
        <v>1256</v>
      </c>
      <c r="B11" s="3">
        <v>100176.3</v>
      </c>
    </row>
    <row r="12" spans="1:2" x14ac:dyDescent="0.3">
      <c r="A12" s="6" t="s">
        <v>1265</v>
      </c>
      <c r="B12" s="3">
        <v>109009.87999999999</v>
      </c>
    </row>
    <row r="13" spans="1:2" x14ac:dyDescent="0.3">
      <c r="A13" s="6" t="s">
        <v>1264</v>
      </c>
      <c r="B13" s="3">
        <v>149883.60000000003</v>
      </c>
    </row>
    <row r="14" spans="1:2" x14ac:dyDescent="0.3">
      <c r="A14" s="6" t="s">
        <v>1251</v>
      </c>
      <c r="B14" s="3">
        <v>82334.060000000012</v>
      </c>
    </row>
    <row r="15" spans="1:2" x14ac:dyDescent="0.3">
      <c r="A15" s="6" t="s">
        <v>1257</v>
      </c>
      <c r="B15" s="3">
        <v>55876.649999999994</v>
      </c>
    </row>
    <row r="16" spans="1:2" x14ac:dyDescent="0.3">
      <c r="A16" s="6" t="s">
        <v>1248</v>
      </c>
      <c r="B16" s="3">
        <v>1450711.8000000005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8516E7-D9DC-47D1-9022-3400127E7FD6}">
  <dimension ref="A2:B8"/>
  <sheetViews>
    <sheetView workbookViewId="0">
      <selection activeCell="M19" sqref="M19"/>
    </sheetView>
  </sheetViews>
  <sheetFormatPr defaultRowHeight="14.4" x14ac:dyDescent="0.3"/>
  <cols>
    <col min="1" max="1" width="12.5546875" bestFit="1" customWidth="1"/>
    <col min="2" max="2" width="18.21875" bestFit="1" customWidth="1"/>
  </cols>
  <sheetData>
    <row r="2" spans="1:2" ht="15" customHeight="1" x14ac:dyDescent="0.3"/>
    <row r="3" spans="1:2" x14ac:dyDescent="0.3">
      <c r="A3" s="5" t="s">
        <v>1247</v>
      </c>
      <c r="B3" t="s">
        <v>1249</v>
      </c>
    </row>
    <row r="4" spans="1:2" x14ac:dyDescent="0.3">
      <c r="A4" s="6" t="s">
        <v>22</v>
      </c>
      <c r="B4" s="3">
        <v>368749.6</v>
      </c>
    </row>
    <row r="5" spans="1:2" x14ac:dyDescent="0.3">
      <c r="A5" s="6" t="s">
        <v>36</v>
      </c>
      <c r="B5" s="3">
        <v>411941.86</v>
      </c>
    </row>
    <row r="6" spans="1:2" x14ac:dyDescent="0.3">
      <c r="A6" s="6" t="s">
        <v>30</v>
      </c>
      <c r="B6" s="3">
        <v>331857.64000000007</v>
      </c>
    </row>
    <row r="7" spans="1:2" x14ac:dyDescent="0.3">
      <c r="A7" s="6" t="s">
        <v>41</v>
      </c>
      <c r="B7" s="3">
        <v>338162.70000000013</v>
      </c>
    </row>
    <row r="8" spans="1:2" x14ac:dyDescent="0.3">
      <c r="A8" s="6" t="s">
        <v>1248</v>
      </c>
      <c r="B8" s="3">
        <v>1450711.8000000003</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05CF2-D829-455E-9A2E-A4591B8424AD}">
  <dimension ref="A3:B14"/>
  <sheetViews>
    <sheetView workbookViewId="0">
      <selection activeCell="B14" sqref="B14"/>
    </sheetView>
  </sheetViews>
  <sheetFormatPr defaultRowHeight="14.4" x14ac:dyDescent="0.3"/>
  <cols>
    <col min="1" max="1" width="12.5546875" bestFit="1" customWidth="1"/>
    <col min="2" max="2" width="18.21875" bestFit="1" customWidth="1"/>
  </cols>
  <sheetData>
    <row r="3" spans="1:2" x14ac:dyDescent="0.3">
      <c r="A3" s="7" t="s">
        <v>1247</v>
      </c>
      <c r="B3" t="s">
        <v>1249</v>
      </c>
    </row>
    <row r="4" spans="1:2" x14ac:dyDescent="0.3">
      <c r="A4" s="6" t="s">
        <v>1135</v>
      </c>
      <c r="B4" s="3">
        <v>4988.5</v>
      </c>
    </row>
    <row r="5" spans="1:2" x14ac:dyDescent="0.3">
      <c r="A5" s="6" t="s">
        <v>174</v>
      </c>
      <c r="B5" s="3">
        <v>4971.95</v>
      </c>
    </row>
    <row r="6" spans="1:2" x14ac:dyDescent="0.3">
      <c r="A6" s="6" t="s">
        <v>203</v>
      </c>
      <c r="B6" s="3">
        <v>4944.75</v>
      </c>
    </row>
    <row r="7" spans="1:2" x14ac:dyDescent="0.3">
      <c r="A7" s="6" t="s">
        <v>205</v>
      </c>
      <c r="B7" s="3">
        <v>4935.1499999999996</v>
      </c>
    </row>
    <row r="8" spans="1:2" x14ac:dyDescent="0.3">
      <c r="A8" s="6" t="s">
        <v>718</v>
      </c>
      <c r="B8" s="3">
        <v>4924.0499999999993</v>
      </c>
    </row>
    <row r="9" spans="1:2" x14ac:dyDescent="0.3">
      <c r="A9" s="6" t="s">
        <v>758</v>
      </c>
      <c r="B9" s="3">
        <v>4915.6000000000004</v>
      </c>
    </row>
    <row r="10" spans="1:2" x14ac:dyDescent="0.3">
      <c r="A10" s="6" t="s">
        <v>510</v>
      </c>
      <c r="B10" s="3">
        <v>4887.55</v>
      </c>
    </row>
    <row r="11" spans="1:2" x14ac:dyDescent="0.3">
      <c r="A11" s="6" t="s">
        <v>525</v>
      </c>
      <c r="B11" s="3">
        <v>4878.3</v>
      </c>
    </row>
    <row r="12" spans="1:2" x14ac:dyDescent="0.3">
      <c r="A12" s="6" t="s">
        <v>48</v>
      </c>
      <c r="B12" s="3">
        <v>4809</v>
      </c>
    </row>
    <row r="13" spans="1:2" x14ac:dyDescent="0.3">
      <c r="A13" s="6" t="s">
        <v>912</v>
      </c>
      <c r="B13" s="3">
        <v>4805.7</v>
      </c>
    </row>
    <row r="14" spans="1:2" x14ac:dyDescent="0.3">
      <c r="A14" s="6" t="s">
        <v>1248</v>
      </c>
      <c r="B14" s="3">
        <v>49060.549999999996</v>
      </c>
    </row>
  </sheetData>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8FB80CE-96C7-4ADF-94B2-FC5BC2D8A9E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customer_purchase_behavior_data</vt:lpstr>
      <vt:lpstr>Sheet2</vt:lpstr>
      <vt:lpstr>Sheet3</vt:lpstr>
      <vt:lpstr>Sheet7</vt:lpstr>
      <vt:lpstr>Sheet6</vt:lpstr>
      <vt:lpstr>Sheet8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Santhiya</dc:creator>
  <cp:lastModifiedBy>919360110299</cp:lastModifiedBy>
  <cp:lastPrinted>2025-11-13T06:58:34Z</cp:lastPrinted>
  <dcterms:created xsi:type="dcterms:W3CDTF">2025-11-13T13:55:25Z</dcterms:created>
  <dcterms:modified xsi:type="dcterms:W3CDTF">2025-11-13T15:25:20Z</dcterms:modified>
</cp:coreProperties>
</file>